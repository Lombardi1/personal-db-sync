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Z:\Gestione\Schede\"/>
    </mc:Choice>
  </mc:AlternateContent>
  <xr:revisionPtr revIDLastSave="0" documentId="13_ncr:1_{68140E1F-67E1-4B8D-95FE-4A38AFB1B08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cheda" sheetId="1" r:id="rId1"/>
    <sheet name="CLIENTI" sheetId="2" r:id="rId2"/>
  </sheets>
  <externalReferences>
    <externalReference r:id="rId3"/>
    <externalReference r:id="rId4"/>
    <externalReference r:id="rId5"/>
    <externalReference r:id="rId6"/>
  </externalReferences>
  <definedNames>
    <definedName name="_xlnm.Print_Area" localSheetId="0">Scheda!$A$1:$BU$164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Q4" i="1" l="1"/>
  <c r="F3" i="1"/>
  <c r="BE4" i="1"/>
  <c r="T3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V41" i="1"/>
  <c r="BW42" i="1"/>
  <c r="BW43" i="1"/>
  <c r="BR4" i="1"/>
  <c r="AG3" i="1"/>
  <c r="BR3" i="1"/>
  <c r="AG2" i="1"/>
  <c r="BI3" i="1"/>
  <c r="X2" i="1"/>
  <c r="BA3" i="1"/>
  <c r="P2" i="1"/>
  <c r="F2" i="1"/>
  <c r="CU6" i="1"/>
  <c r="CU7" i="1"/>
  <c r="CU8" i="1"/>
  <c r="CU9" i="1"/>
  <c r="CU10" i="1"/>
  <c r="CU11" i="1"/>
  <c r="CU12" i="1"/>
  <c r="CU13" i="1"/>
  <c r="CU14" i="1"/>
  <c r="CU15" i="1"/>
  <c r="CU16" i="1"/>
  <c r="CU17" i="1"/>
  <c r="CU18" i="1"/>
  <c r="CU19" i="1"/>
  <c r="CU20" i="1"/>
  <c r="CU21" i="1"/>
  <c r="CU22" i="1"/>
  <c r="CU23" i="1"/>
  <c r="CU24" i="1"/>
  <c r="CU25" i="1"/>
  <c r="CU26" i="1"/>
  <c r="CU27" i="1"/>
  <c r="CU28" i="1"/>
  <c r="CU29" i="1"/>
  <c r="CU30" i="1"/>
  <c r="CU31" i="1"/>
  <c r="CU32" i="1"/>
  <c r="CU33" i="1"/>
  <c r="CU34" i="1"/>
  <c r="CU35" i="1"/>
  <c r="CU36" i="1"/>
  <c r="CU37" i="1"/>
  <c r="CU38" i="1"/>
  <c r="CU39" i="1"/>
  <c r="CU40" i="1"/>
  <c r="CU41" i="1"/>
  <c r="CU42" i="1"/>
  <c r="CU43" i="1"/>
  <c r="F105" i="1"/>
  <c r="S139" i="1"/>
  <c r="H139" i="1"/>
  <c r="F125" i="1"/>
  <c r="AE105" i="1"/>
  <c r="Z105" i="1"/>
  <c r="T105" i="1"/>
  <c r="M105" i="1"/>
  <c r="BO10" i="1"/>
  <c r="BE10" i="1"/>
  <c r="AY11" i="1"/>
  <c r="AX10" i="1"/>
  <c r="AS11" i="1"/>
  <c r="AR11" i="1"/>
  <c r="AP11" i="1"/>
  <c r="AP10" i="1"/>
  <c r="DA40" i="1"/>
  <c r="CZ40" i="1"/>
  <c r="CY40" i="1"/>
  <c r="CX40" i="1"/>
  <c r="CW40" i="1"/>
  <c r="CV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DA39" i="1"/>
  <c r="CZ39" i="1"/>
  <c r="CY39" i="1"/>
  <c r="CX39" i="1"/>
  <c r="CW39" i="1"/>
  <c r="CV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DA38" i="1"/>
  <c r="CZ38" i="1"/>
  <c r="CY38" i="1"/>
  <c r="CX38" i="1"/>
  <c r="CW38" i="1"/>
  <c r="CV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DA37" i="1"/>
  <c r="CZ37" i="1"/>
  <c r="CY37" i="1"/>
  <c r="CX37" i="1"/>
  <c r="CW37" i="1"/>
  <c r="CV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DA36" i="1"/>
  <c r="CZ36" i="1"/>
  <c r="CY36" i="1"/>
  <c r="CX36" i="1"/>
  <c r="CW36" i="1"/>
  <c r="CV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DA35" i="1"/>
  <c r="CZ35" i="1"/>
  <c r="CY35" i="1"/>
  <c r="CX35" i="1"/>
  <c r="CW35" i="1"/>
  <c r="CV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DA34" i="1"/>
  <c r="CZ34" i="1"/>
  <c r="CY34" i="1"/>
  <c r="CX34" i="1"/>
  <c r="CW34" i="1"/>
  <c r="CV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DA33" i="1"/>
  <c r="CZ33" i="1"/>
  <c r="CY33" i="1"/>
  <c r="CX33" i="1"/>
  <c r="CW33" i="1"/>
  <c r="CV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DA32" i="1"/>
  <c r="CZ32" i="1"/>
  <c r="CY32" i="1"/>
  <c r="CX32" i="1"/>
  <c r="CW32" i="1"/>
  <c r="CV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DA31" i="1"/>
  <c r="CZ31" i="1"/>
  <c r="CY31" i="1"/>
  <c r="CX31" i="1"/>
  <c r="CW31" i="1"/>
  <c r="CV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DA30" i="1"/>
  <c r="CZ30" i="1"/>
  <c r="CY30" i="1"/>
  <c r="CX30" i="1"/>
  <c r="CW30" i="1"/>
  <c r="CV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DA29" i="1"/>
  <c r="CZ29" i="1"/>
  <c r="CY29" i="1"/>
  <c r="CX29" i="1"/>
  <c r="CW29" i="1"/>
  <c r="CV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DA28" i="1"/>
  <c r="CZ28" i="1"/>
  <c r="CY28" i="1"/>
  <c r="CX28" i="1"/>
  <c r="CW28" i="1"/>
  <c r="CV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DA27" i="1"/>
  <c r="CZ27" i="1"/>
  <c r="CY27" i="1"/>
  <c r="CX27" i="1"/>
  <c r="CW27" i="1"/>
  <c r="CV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DA26" i="1"/>
  <c r="CZ26" i="1"/>
  <c r="CY26" i="1"/>
  <c r="CX26" i="1"/>
  <c r="CW26" i="1"/>
  <c r="CV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DA25" i="1"/>
  <c r="CZ25" i="1"/>
  <c r="CY25" i="1"/>
  <c r="CX25" i="1"/>
  <c r="CW25" i="1"/>
  <c r="CV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DA24" i="1"/>
  <c r="CZ24" i="1"/>
  <c r="CY24" i="1"/>
  <c r="CX24" i="1"/>
  <c r="CW24" i="1"/>
  <c r="CV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DA23" i="1"/>
  <c r="CZ23" i="1"/>
  <c r="CY23" i="1"/>
  <c r="CX23" i="1"/>
  <c r="CW23" i="1"/>
  <c r="CV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DA22" i="1"/>
  <c r="CZ22" i="1"/>
  <c r="CY22" i="1"/>
  <c r="CX22" i="1"/>
  <c r="CW22" i="1"/>
  <c r="CV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DA21" i="1"/>
  <c r="CZ21" i="1"/>
  <c r="CY21" i="1"/>
  <c r="CX21" i="1"/>
  <c r="CW21" i="1"/>
  <c r="CV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DA20" i="1"/>
  <c r="CZ20" i="1"/>
  <c r="CY20" i="1"/>
  <c r="CX20" i="1"/>
  <c r="CW20" i="1"/>
  <c r="CV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DA19" i="1"/>
  <c r="CZ19" i="1"/>
  <c r="CY19" i="1"/>
  <c r="CX19" i="1"/>
  <c r="CW19" i="1"/>
  <c r="CV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DA18" i="1"/>
  <c r="CZ18" i="1"/>
  <c r="CY18" i="1"/>
  <c r="CX18" i="1"/>
  <c r="CW18" i="1"/>
  <c r="CV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DA17" i="1"/>
  <c r="CZ17" i="1"/>
  <c r="CY17" i="1"/>
  <c r="CX17" i="1"/>
  <c r="CW17" i="1"/>
  <c r="CV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DA16" i="1"/>
  <c r="CZ16" i="1"/>
  <c r="CY16" i="1"/>
  <c r="CX16" i="1"/>
  <c r="CW16" i="1"/>
  <c r="CV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DA15" i="1"/>
  <c r="CZ15" i="1"/>
  <c r="CY15" i="1"/>
  <c r="CX15" i="1"/>
  <c r="CW15" i="1"/>
  <c r="CV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DA14" i="1"/>
  <c r="CZ14" i="1"/>
  <c r="CY14" i="1"/>
  <c r="CX14" i="1"/>
  <c r="CW14" i="1"/>
  <c r="CV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DA13" i="1"/>
  <c r="CZ13" i="1"/>
  <c r="CY13" i="1"/>
  <c r="CX13" i="1"/>
  <c r="CW13" i="1"/>
  <c r="CV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DA12" i="1"/>
  <c r="CZ12" i="1"/>
  <c r="CY12" i="1"/>
  <c r="CX12" i="1"/>
  <c r="CW12" i="1"/>
  <c r="CV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DA11" i="1"/>
  <c r="CZ11" i="1"/>
  <c r="CY11" i="1"/>
  <c r="CX11" i="1"/>
  <c r="CW11" i="1"/>
  <c r="CV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DA10" i="1"/>
  <c r="CZ10" i="1"/>
  <c r="CY10" i="1"/>
  <c r="CX10" i="1"/>
  <c r="CW10" i="1"/>
  <c r="CV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DA9" i="1"/>
  <c r="CZ9" i="1"/>
  <c r="CY9" i="1"/>
  <c r="CX9" i="1"/>
  <c r="CW9" i="1"/>
  <c r="CV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DA8" i="1"/>
  <c r="CZ8" i="1"/>
  <c r="CY8" i="1"/>
  <c r="CX8" i="1"/>
  <c r="CW8" i="1"/>
  <c r="CV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DA7" i="1"/>
  <c r="CZ7" i="1"/>
  <c r="CY7" i="1"/>
  <c r="CX7" i="1"/>
  <c r="CW7" i="1"/>
  <c r="CV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DA6" i="1"/>
  <c r="CZ6" i="1"/>
  <c r="CY6" i="1"/>
  <c r="CX6" i="1"/>
  <c r="CW6" i="1"/>
  <c r="CV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AI17" i="1"/>
  <c r="AF16" i="1"/>
  <c r="Z17" i="1"/>
  <c r="Y16" i="1"/>
  <c r="P17" i="1"/>
  <c r="N16" i="1"/>
  <c r="H17" i="1"/>
  <c r="G16" i="1"/>
  <c r="AI12" i="1"/>
  <c r="AF11" i="1"/>
  <c r="Z12" i="1"/>
  <c r="Y11" i="1"/>
  <c r="P12" i="1"/>
  <c r="N11" i="1"/>
  <c r="H12" i="1"/>
  <c r="G11" i="1"/>
  <c r="AD6" i="1"/>
  <c r="X6" i="1"/>
  <c r="CI41" i="1"/>
  <c r="CI42" i="1"/>
  <c r="CI43" i="1"/>
  <c r="BL46" i="1"/>
  <c r="CH41" i="1"/>
  <c r="CH42" i="1"/>
  <c r="CH43" i="1"/>
  <c r="BI46" i="1"/>
  <c r="CG41" i="1"/>
  <c r="CG42" i="1"/>
  <c r="CG43" i="1"/>
  <c r="BF46" i="1"/>
  <c r="CJ41" i="1"/>
  <c r="CJ42" i="1"/>
  <c r="CJ43" i="1"/>
  <c r="CF41" i="1"/>
  <c r="CF42" i="1"/>
  <c r="CF43" i="1"/>
  <c r="BC46" i="1"/>
  <c r="CE41" i="1"/>
  <c r="CE42" i="1"/>
  <c r="CE43" i="1"/>
  <c r="AZ46" i="1"/>
  <c r="BS78" i="1"/>
  <c r="BH9" i="1"/>
  <c r="BP9" i="1"/>
  <c r="BW2" i="1"/>
  <c r="BV2" i="1"/>
  <c r="H71" i="1"/>
  <c r="P71" i="1"/>
  <c r="DA41" i="1"/>
  <c r="DA42" i="1"/>
  <c r="DA43" i="1"/>
  <c r="L6" i="1"/>
  <c r="X71" i="1"/>
  <c r="AF71" i="1"/>
  <c r="H73" i="1"/>
  <c r="P73" i="1"/>
  <c r="X73" i="1"/>
  <c r="AF73" i="1"/>
  <c r="H75" i="1"/>
  <c r="P75" i="1"/>
  <c r="X75" i="1"/>
  <c r="AF75" i="1"/>
  <c r="H77" i="1"/>
  <c r="P77" i="1"/>
  <c r="X77" i="1"/>
  <c r="AF77" i="1"/>
  <c r="AF79" i="1"/>
  <c r="X79" i="1"/>
  <c r="P79" i="1"/>
  <c r="H79" i="1"/>
  <c r="BV3" i="1"/>
  <c r="CX41" i="1"/>
  <c r="CX42" i="1"/>
  <c r="CX43" i="1"/>
  <c r="M112" i="1"/>
  <c r="F110" i="1"/>
  <c r="AP54" i="1"/>
  <c r="CM41" i="1"/>
  <c r="CM42" i="1"/>
  <c r="CM43" i="1"/>
  <c r="BC78" i="1"/>
  <c r="CN41" i="1"/>
  <c r="CN42" i="1"/>
  <c r="CN43" i="1"/>
  <c r="AP78" i="1"/>
  <c r="AP75" i="1"/>
  <c r="CY41" i="1"/>
  <c r="CY42" i="1"/>
  <c r="CY43" i="1"/>
  <c r="R6" i="1"/>
  <c r="CZ41" i="1"/>
  <c r="CZ42" i="1"/>
  <c r="CZ43" i="1"/>
  <c r="E6" i="1"/>
  <c r="CV41" i="1"/>
  <c r="CV42" i="1"/>
  <c r="CV43" i="1"/>
  <c r="AI105" i="1"/>
  <c r="CO41" i="1"/>
  <c r="CO42" i="1"/>
  <c r="CO43" i="1"/>
  <c r="F86" i="1"/>
  <c r="G84" i="1"/>
  <c r="CK41" i="1"/>
  <c r="CK42" i="1"/>
  <c r="CK43" i="1"/>
  <c r="AW50" i="1"/>
  <c r="E95" i="1"/>
  <c r="CS41" i="1"/>
  <c r="CS42" i="1"/>
  <c r="CS43" i="1"/>
  <c r="AG88" i="1"/>
  <c r="CT41" i="1"/>
  <c r="CT42" i="1"/>
  <c r="CT43" i="1"/>
  <c r="AA88" i="1"/>
  <c r="CR41" i="1"/>
  <c r="CR42" i="1"/>
  <c r="CR43" i="1"/>
  <c r="P88" i="1"/>
  <c r="CQ41" i="1"/>
  <c r="CQ42" i="1"/>
  <c r="CQ43" i="1"/>
  <c r="F88" i="1"/>
  <c r="AG86" i="1"/>
  <c r="AA86" i="1"/>
  <c r="CP41" i="1"/>
  <c r="CP42" i="1"/>
  <c r="CP43" i="1"/>
  <c r="P86" i="1"/>
  <c r="CL41" i="1"/>
  <c r="CL42" i="1"/>
  <c r="CL43" i="1"/>
  <c r="AW47" i="1"/>
  <c r="AP47" i="1"/>
  <c r="CD41" i="1"/>
  <c r="CD42" i="1"/>
  <c r="CD43" i="1"/>
  <c r="AW46" i="1"/>
  <c r="CA41" i="1"/>
  <c r="CA42" i="1"/>
  <c r="CA43" i="1"/>
  <c r="AQ46" i="1"/>
  <c r="CB41" i="1"/>
  <c r="CB42" i="1"/>
  <c r="CB43" i="1"/>
  <c r="AR46" i="1"/>
  <c r="CC41" i="1"/>
  <c r="CC42" i="1"/>
  <c r="CC43" i="1"/>
  <c r="AS46" i="1"/>
  <c r="BZ41" i="1"/>
  <c r="BZ42" i="1"/>
  <c r="BZ43" i="1"/>
  <c r="AP46" i="1"/>
  <c r="CW41" i="1"/>
  <c r="CW42" i="1"/>
  <c r="CW43" i="1"/>
  <c r="F144" i="1"/>
  <c r="F157" i="1"/>
  <c r="BX41" i="1"/>
  <c r="BX42" i="1"/>
  <c r="BX43" i="1"/>
  <c r="BY41" i="1"/>
  <c r="BY42" i="1"/>
  <c r="BY43" i="1"/>
  <c r="AI6" i="1"/>
  <c r="BH66" i="1"/>
</calcChain>
</file>

<file path=xl/sharedStrings.xml><?xml version="1.0" encoding="utf-8"?>
<sst xmlns="http://schemas.openxmlformats.org/spreadsheetml/2006/main" count="512" uniqueCount="322">
  <si>
    <t>Lotto Nr.:</t>
  </si>
  <si>
    <t>Data:</t>
  </si>
  <si>
    <t>Ordine Nr.:</t>
  </si>
  <si>
    <t>Data Ordine:</t>
  </si>
  <si>
    <t>Lavoro:</t>
  </si>
  <si>
    <t>Cliente:</t>
  </si>
  <si>
    <t>Prestampa</t>
  </si>
  <si>
    <t>Operatore:</t>
  </si>
  <si>
    <t>Stefano</t>
  </si>
  <si>
    <t>Federico</t>
  </si>
  <si>
    <t>Tipologia:</t>
  </si>
  <si>
    <t>Cartone</t>
  </si>
  <si>
    <t>ID</t>
  </si>
  <si>
    <t>Fornitore:</t>
  </si>
  <si>
    <t>DDT:</t>
  </si>
  <si>
    <t>Tot. Pezzi:</t>
  </si>
  <si>
    <t>Fogli da stampare:</t>
  </si>
  <si>
    <t>F.to:</t>
  </si>
  <si>
    <t>Abbinamento</t>
  </si>
  <si>
    <t>Resa:</t>
  </si>
  <si>
    <t>Data Conf.:</t>
  </si>
  <si>
    <t>Richiesti:</t>
  </si>
  <si>
    <t>Note</t>
  </si>
  <si>
    <t>Foglio 1</t>
  </si>
  <si>
    <t>Foglio 2</t>
  </si>
  <si>
    <t>Foglio 3</t>
  </si>
  <si>
    <t>Foglio 4</t>
  </si>
  <si>
    <t>Foglio 5</t>
  </si>
  <si>
    <t>Foglio 6</t>
  </si>
  <si>
    <t>Foglio 7</t>
  </si>
  <si>
    <t>Foglio 8</t>
  </si>
  <si>
    <t>Foglio 9</t>
  </si>
  <si>
    <t>Foglio 10</t>
  </si>
  <si>
    <t>Scarti:</t>
  </si>
  <si>
    <t>Stampati:</t>
  </si>
  <si>
    <t>Verniciati:</t>
  </si>
  <si>
    <t>Fustellati:</t>
  </si>
  <si>
    <t>Stampa</t>
  </si>
  <si>
    <t>quanto riportato è obbligatorio per inchiostri bassa odore e bassa migrazione (NESSUNA ECCEZIONE)</t>
  </si>
  <si>
    <t>Data inizio</t>
  </si>
  <si>
    <t>Operatori</t>
  </si>
  <si>
    <t>FABRIZIO</t>
  </si>
  <si>
    <t>KEVIN</t>
  </si>
  <si>
    <t>MELVIN</t>
  </si>
  <si>
    <t>Uso guanti obbligatorio</t>
  </si>
  <si>
    <t>CQ</t>
  </si>
  <si>
    <t>Firma</t>
  </si>
  <si>
    <t>Liquido di lavaggio Food</t>
  </si>
  <si>
    <t>Utilizzo materiale dedicato</t>
  </si>
  <si>
    <t>Utilizzo inchiostri basso odore / bassa migrazione</t>
  </si>
  <si>
    <t>Pulizia camera spalmatore con prodotti FOOD</t>
  </si>
  <si>
    <t xml:space="preserve">Vernice basso odore / bassa migrazione </t>
  </si>
  <si>
    <t>Temperatura Pila</t>
  </si>
  <si>
    <t>Inizio Lavoro</t>
  </si>
  <si>
    <t>Metà Lavoro</t>
  </si>
  <si>
    <t>Fine Lavoro</t>
  </si>
  <si>
    <t>Colori</t>
  </si>
  <si>
    <t>Pantoni:</t>
  </si>
  <si>
    <t>CMYK:</t>
  </si>
  <si>
    <t>Polimero:</t>
  </si>
  <si>
    <t>Finitura:</t>
  </si>
  <si>
    <t>Lastre:</t>
  </si>
  <si>
    <t>Linearizzazione:</t>
  </si>
  <si>
    <t>Pinza:</t>
  </si>
  <si>
    <t>Squadra:</t>
  </si>
  <si>
    <t>Abbinamento colori totali:</t>
  </si>
  <si>
    <t>Data Fine</t>
  </si>
  <si>
    <t>Check Operatore</t>
  </si>
  <si>
    <t>Riferimento Stampa:</t>
  </si>
  <si>
    <t>questa lavorazione NON compatobile con inchiostri bassa odore e bassa migrazione (NON ALIMENTARE)</t>
  </si>
  <si>
    <t>UV</t>
  </si>
  <si>
    <t>BABA</t>
  </si>
  <si>
    <t>Lastra Opaco:</t>
  </si>
  <si>
    <t>Numero di fogli macchina:</t>
  </si>
  <si>
    <t>Alimentare:</t>
  </si>
  <si>
    <t>Conto Terzista</t>
  </si>
  <si>
    <t>Lavorazione:</t>
  </si>
  <si>
    <t>Pellicola:</t>
  </si>
  <si>
    <t>Clichè:</t>
  </si>
  <si>
    <t>DDT Uscita:</t>
  </si>
  <si>
    <t>DDT Entrata:</t>
  </si>
  <si>
    <t>ROBERTO</t>
  </si>
  <si>
    <t>RICCARDO</t>
  </si>
  <si>
    <t>STEFANO</t>
  </si>
  <si>
    <t>Lavaggio pulizia prima di inizio stampa obbligatorio con liquido di lavaggio Food</t>
  </si>
  <si>
    <t>Lavaggio obbligatorio con liquido di lavaggio Food</t>
  </si>
  <si>
    <t>Fustella Nr.:</t>
  </si>
  <si>
    <t>Macchina:</t>
  </si>
  <si>
    <t>Pulitore:</t>
  </si>
  <si>
    <t>Pinza Tagliata</t>
  </si>
  <si>
    <t>Tassello</t>
  </si>
  <si>
    <t>Nr.:</t>
  </si>
  <si>
    <t>Fustella</t>
  </si>
  <si>
    <t>Finestratura</t>
  </si>
  <si>
    <t>NICOLA</t>
  </si>
  <si>
    <t>Polipropiene certificato contatto alimenti</t>
  </si>
  <si>
    <t>Colla certificata alimenti</t>
  </si>
  <si>
    <t>Altezza Bobina:</t>
  </si>
  <si>
    <t>ROSARIO</t>
  </si>
  <si>
    <t>BABINO</t>
  </si>
  <si>
    <t>DANIELA</t>
  </si>
  <si>
    <t>ANTONIO</t>
  </si>
  <si>
    <t>AHMED</t>
  </si>
  <si>
    <t>Tipologia di incollaura</t>
  </si>
  <si>
    <t>Note:</t>
  </si>
  <si>
    <t>Incollatura</t>
  </si>
  <si>
    <t>Confezione</t>
  </si>
  <si>
    <t>Film teromreatreabile</t>
  </si>
  <si>
    <t>Trasporto</t>
  </si>
  <si>
    <t>Gallo</t>
  </si>
  <si>
    <t>Conto Terzi</t>
  </si>
  <si>
    <t>Pulizia Automezzo con materiale idone e certificato</t>
  </si>
  <si>
    <t>DDT</t>
  </si>
  <si>
    <t>Check Operatore:</t>
  </si>
  <si>
    <r>
      <t xml:space="preserve">i pezzi tolti vanno cestinati dopo il loro utilizzo, </t>
    </r>
    <r>
      <rPr>
        <b/>
        <i/>
        <u/>
        <sz val="7"/>
        <color theme="0" tint="-0.34998626667073579"/>
        <rFont val="Verdana"/>
        <family val="2"/>
      </rPr>
      <t>NON</t>
    </r>
    <r>
      <rPr>
        <i/>
        <sz val="7"/>
        <color theme="0" tint="-0.34998626667073579"/>
        <rFont val="Verdana"/>
        <family val="2"/>
      </rPr>
      <t xml:space="preserve"> rinseriti nel bancale, IL MATERIALE NON CONFORME NON DEVE RIPASSARE IN MACCHINA</t>
    </r>
  </si>
  <si>
    <t>Quantità</t>
  </si>
  <si>
    <t>Peso Singolo</t>
  </si>
  <si>
    <t>Scatolone</t>
  </si>
  <si>
    <t>Bancale</t>
  </si>
  <si>
    <t>Angoli</t>
  </si>
  <si>
    <t>Copertura</t>
  </si>
  <si>
    <t>Articolo</t>
  </si>
  <si>
    <t>Quantià</t>
  </si>
  <si>
    <t>Colli</t>
  </si>
  <si>
    <t>Viaggio</t>
  </si>
  <si>
    <t>Magazzino</t>
  </si>
  <si>
    <t>Nr. Bancali</t>
  </si>
  <si>
    <t>Spedito</t>
  </si>
  <si>
    <t>Verifica Peso Trasporto</t>
  </si>
  <si>
    <t>Peso Netto</t>
  </si>
  <si>
    <r>
      <rPr>
        <b/>
        <sz val="7"/>
        <rFont val="Verdana"/>
        <family val="2"/>
      </rPr>
      <t>SCHEDA DI PRODUZIONE</t>
    </r>
    <r>
      <rPr>
        <sz val="7"/>
        <rFont val="Verdana"/>
        <family val="2"/>
      </rPr>
      <t xml:space="preserve"> - </t>
    </r>
    <r>
      <rPr>
        <i/>
        <sz val="7"/>
        <rFont val="Verdana"/>
        <family val="2"/>
      </rPr>
      <t>(la scheda va compilata in tutte le sue parti da TUTTI gli operatori)</t>
    </r>
  </si>
  <si>
    <r>
      <t xml:space="preserve">i fogli tolti ed usati per controllo qualità vanno cestinati dopo il loro utilizzo, </t>
    </r>
    <r>
      <rPr>
        <b/>
        <i/>
        <u/>
        <sz val="7"/>
        <color theme="0" tint="-0.34998626667073579"/>
        <rFont val="Verdana"/>
        <family val="2"/>
      </rPr>
      <t>NON</t>
    </r>
    <r>
      <rPr>
        <i/>
        <sz val="7"/>
        <color theme="0" tint="-0.34998626667073579"/>
        <rFont val="Verdana"/>
        <family val="2"/>
      </rPr>
      <t xml:space="preserve"> rinseriti nel bancale</t>
    </r>
  </si>
  <si>
    <r>
      <t xml:space="preserve">i pezzi tolti ed usati per controllo qualità vanno cestinati dopo il loro utilizzo, </t>
    </r>
    <r>
      <rPr>
        <b/>
        <i/>
        <u/>
        <sz val="7"/>
        <color theme="0" tint="-0.34998626667073579"/>
        <rFont val="Verdana"/>
        <family val="2"/>
      </rPr>
      <t>NON</t>
    </r>
    <r>
      <rPr>
        <i/>
        <sz val="7"/>
        <color theme="0" tint="-0.34998626667073579"/>
        <rFont val="Verdana"/>
        <family val="2"/>
      </rPr>
      <t xml:space="preserve"> rinseriti nel bancale, IL MATERIALE NON CONFORME NON DEVE RIPASSARE IN MACCHINA</t>
    </r>
  </si>
  <si>
    <r>
      <t xml:space="preserve">i pezzi tolti ed usati per controllo qualità vanno cestinati dopo il loro utilizzo, </t>
    </r>
    <r>
      <rPr>
        <b/>
        <i/>
        <u/>
        <sz val="7"/>
        <color theme="0" tint="-0.34998626667073579"/>
        <rFont val="Verdana"/>
        <family val="2"/>
      </rPr>
      <t>NON</t>
    </r>
    <r>
      <rPr>
        <i/>
        <sz val="7"/>
        <color theme="0" tint="-0.34998626667073579"/>
        <rFont val="Verdana"/>
        <family val="2"/>
      </rPr>
      <t xml:space="preserve"> rinseriti nel bancale</t>
    </r>
  </si>
  <si>
    <t>ALTEZZA BANCALE</t>
  </si>
  <si>
    <t>MODELLI MISTI</t>
  </si>
  <si>
    <t>SCATOLONI CON SCRITTE</t>
  </si>
  <si>
    <t>GIORNI RITIRO</t>
  </si>
  <si>
    <t>NR. CAMPIONI ESPOSTI</t>
  </si>
  <si>
    <t>TIPOLOGI DI CARTELLO</t>
  </si>
  <si>
    <t>CARTELLO CODICE</t>
  </si>
  <si>
    <t>CARTELLO DESTINAZIONE</t>
  </si>
  <si>
    <t>DESTINAZIONE MERCE</t>
  </si>
  <si>
    <t>NOTE</t>
  </si>
  <si>
    <t>V1</t>
  </si>
  <si>
    <t>Nr. Colli</t>
  </si>
  <si>
    <t>V2</t>
  </si>
  <si>
    <t>V3</t>
  </si>
  <si>
    <t>V4</t>
  </si>
  <si>
    <t>TOT</t>
  </si>
  <si>
    <t>Peso Lordo</t>
  </si>
  <si>
    <t>CODICE ARTICOLO</t>
  </si>
  <si>
    <t>Grammi:</t>
  </si>
  <si>
    <t>Formato di Stampa:</t>
  </si>
  <si>
    <t>X</t>
  </si>
  <si>
    <t>////////////////////////////////</t>
  </si>
  <si>
    <t>C</t>
  </si>
  <si>
    <t>M</t>
  </si>
  <si>
    <t>Y</t>
  </si>
  <si>
    <t>K</t>
  </si>
  <si>
    <t>FINITURA</t>
  </si>
  <si>
    <t>PESO</t>
  </si>
  <si>
    <t>PAN.</t>
  </si>
  <si>
    <t>PAN. 2</t>
  </si>
  <si>
    <t>PAN. 3</t>
  </si>
  <si>
    <t>PAN. 4</t>
  </si>
  <si>
    <t>PAN. 5</t>
  </si>
  <si>
    <t>PAN. 6</t>
  </si>
  <si>
    <t>CERT.</t>
  </si>
  <si>
    <t>CART.</t>
  </si>
  <si>
    <t>GR.</t>
  </si>
  <si>
    <t>POL.</t>
  </si>
  <si>
    <t>LINEAR.</t>
  </si>
  <si>
    <t>POL. UV</t>
  </si>
  <si>
    <t>TERZ.</t>
  </si>
  <si>
    <t>TERZ.2</t>
  </si>
  <si>
    <t>CLICHE'</t>
  </si>
  <si>
    <t>PELL.</t>
  </si>
  <si>
    <t>FUST</t>
  </si>
  <si>
    <t>FIN</t>
  </si>
  <si>
    <t>H FIN</t>
  </si>
  <si>
    <t>SCAT.</t>
  </si>
  <si>
    <t>QUANT.</t>
  </si>
  <si>
    <t>LAVOR.</t>
  </si>
  <si>
    <t>LAVOR. 2</t>
  </si>
  <si>
    <t>TAX</t>
  </si>
  <si>
    <t>ADPRESSCOMMUNICATIONS</t>
  </si>
  <si>
    <t>ALCASS</t>
  </si>
  <si>
    <t>ALEX 2000</t>
  </si>
  <si>
    <t>ALFAGEL</t>
  </si>
  <si>
    <t>ATELIER_CLUSONE</t>
  </si>
  <si>
    <t>BATTAGLIO</t>
  </si>
  <si>
    <t>BERGEN</t>
  </si>
  <si>
    <t>MAXIM</t>
  </si>
  <si>
    <t>PHARMATEK</t>
  </si>
  <si>
    <t>BIALETTI</t>
  </si>
  <si>
    <t>BOCCHIA CAFFE'</t>
  </si>
  <si>
    <t>BONADEI</t>
  </si>
  <si>
    <t>BRUNO_CHIARUTTINI</t>
  </si>
  <si>
    <t>C.R.M.</t>
  </si>
  <si>
    <t>CAFFE' DEL DOGE</t>
  </si>
  <si>
    <t>CALZ.CAROL</t>
  </si>
  <si>
    <t>CALZ.GENNY</t>
  </si>
  <si>
    <t>CALZ.ITALIANO</t>
  </si>
  <si>
    <t>CALZ.PRIMATO</t>
  </si>
  <si>
    <t>CALZ.TONINELLI</t>
  </si>
  <si>
    <t>CALZE_BENEDUCI</t>
  </si>
  <si>
    <t>CALZE_TRACY</t>
  </si>
  <si>
    <t>CALZIFICIO_BRAM</t>
  </si>
  <si>
    <t>CALZIFICIO_CAROL</t>
  </si>
  <si>
    <t>CALZIFICIO_EIRE</t>
  </si>
  <si>
    <t>CALZIFICIO_GIANFERRARI</t>
  </si>
  <si>
    <t>CALZIFICIO_MAINA</t>
  </si>
  <si>
    <t>CESARE_RIZZINI</t>
  </si>
  <si>
    <t>CHS</t>
  </si>
  <si>
    <t>CINTURIFICIO_BRESCIANO</t>
  </si>
  <si>
    <t>COLDFISH</t>
  </si>
  <si>
    <t>COOP_CARTAI_MODENESE</t>
  </si>
  <si>
    <t>COOP.VITIVINICOLA</t>
  </si>
  <si>
    <t>COSMAI_CAFFE'</t>
  </si>
  <si>
    <t>CRAVATTIFICIO_CONTI</t>
  </si>
  <si>
    <t>D_AND_G</t>
  </si>
  <si>
    <t>DIAMANTEA</t>
  </si>
  <si>
    <t>DIEMME GELATI</t>
  </si>
  <si>
    <t>DORE' DORE'</t>
  </si>
  <si>
    <t>DORINGEL</t>
  </si>
  <si>
    <t>DUE GALLI</t>
  </si>
  <si>
    <t>ECO BIO ALIMENTARE</t>
  </si>
  <si>
    <t>EDO SPA</t>
  </si>
  <si>
    <t>EL FORNER</t>
  </si>
  <si>
    <t>EP</t>
  </si>
  <si>
    <t>ERCOS</t>
  </si>
  <si>
    <t>ESSEGEL</t>
  </si>
  <si>
    <t>F.LLI BARBIERI</t>
  </si>
  <si>
    <t>F.LLI PASQUALINI</t>
  </si>
  <si>
    <t>FELDI</t>
  </si>
  <si>
    <t>FRHOME</t>
  </si>
  <si>
    <t>GALLO</t>
  </si>
  <si>
    <t>GANDOLA</t>
  </si>
  <si>
    <t>GANDOLA BISCOTTI</t>
  </si>
  <si>
    <t>GEL CREAM</t>
  </si>
  <si>
    <t>GEM</t>
  </si>
  <si>
    <t>GHIGI</t>
  </si>
  <si>
    <t>GHIRARDINI</t>
  </si>
  <si>
    <t>GIEFFE PLAST</t>
  </si>
  <si>
    <t>GIOVANNI TRADIGO</t>
  </si>
  <si>
    <t>GIRARDI</t>
  </si>
  <si>
    <t>GIZETA</t>
  </si>
  <si>
    <t>GOLDEN LADY</t>
  </si>
  <si>
    <t>ILARY</t>
  </si>
  <si>
    <t>IMBALLAGGI DUE ELLE</t>
  </si>
  <si>
    <t>INDUSTRIE RIUNITE CAFFE'</t>
  </si>
  <si>
    <t>ISA</t>
  </si>
  <si>
    <t>JBS TEXTILE</t>
  </si>
  <si>
    <t>KONUS</t>
  </si>
  <si>
    <t>LA BOMBA</t>
  </si>
  <si>
    <t>LA CAPSULERIA</t>
  </si>
  <si>
    <t>LA POPSI</t>
  </si>
  <si>
    <t>LANE MONDIAL</t>
  </si>
  <si>
    <t>LATTERIA MERANO</t>
  </si>
  <si>
    <t>LINEA VERDE</t>
  </si>
  <si>
    <t>LUCAFFE'</t>
  </si>
  <si>
    <t>MAGAZZINI DEL CAFFE'</t>
  </si>
  <si>
    <t>MANIFATTURA CIZETA</t>
  </si>
  <si>
    <t>MARIFLOS</t>
  </si>
  <si>
    <t>MOOD</t>
  </si>
  <si>
    <t>MORETTO</t>
  </si>
  <si>
    <t>MPS</t>
  </si>
  <si>
    <t>NECOS</t>
  </si>
  <si>
    <t>NERO NOBILE</t>
  </si>
  <si>
    <t>NUOVA VIRGILIANA</t>
  </si>
  <si>
    <t>OFFEL</t>
  </si>
  <si>
    <t>OFFICINA DELL'INTIMO</t>
  </si>
  <si>
    <t>OL PASTISSER</t>
  </si>
  <si>
    <t>ORSINI</t>
  </si>
  <si>
    <t>PALAZZANI</t>
  </si>
  <si>
    <t>PAMALL</t>
  </si>
  <si>
    <t>PANTYTEX</t>
  </si>
  <si>
    <t>PASQUALINI</t>
  </si>
  <si>
    <t>PASTA LENSI</t>
  </si>
  <si>
    <t>PASTIFICIO GAETARELLI</t>
  </si>
  <si>
    <t>PELLETTERIA DUE ELLE</t>
  </si>
  <si>
    <t>PLASTIC CENTER</t>
  </si>
  <si>
    <t>POLO GELATI</t>
  </si>
  <si>
    <t>PRESSOGNO</t>
  </si>
  <si>
    <t>PRIVATE BRANDS</t>
  </si>
  <si>
    <t>PRONTOFOODS</t>
  </si>
  <si>
    <t>QUARANTA</t>
  </si>
  <si>
    <t>R.C.M.</t>
  </si>
  <si>
    <t>REVENGE</t>
  </si>
  <si>
    <t>RUBINETTERIE FORTIS</t>
  </si>
  <si>
    <t>RYWAN</t>
  </si>
  <si>
    <t>SACMA</t>
  </si>
  <si>
    <t>SARL CORGEL</t>
  </si>
  <si>
    <t>SEEDAVGREEN</t>
  </si>
  <si>
    <t>STA.TO</t>
  </si>
  <si>
    <t>STARTINGLIN</t>
  </si>
  <si>
    <t>STRINGART</t>
  </si>
  <si>
    <t>TALUX</t>
  </si>
  <si>
    <t>TODO</t>
  </si>
  <si>
    <t>TONITTO</t>
  </si>
  <si>
    <t>TORREFAZIONE POLI</t>
  </si>
  <si>
    <t>TRATTORIA LA MADIA</t>
  </si>
  <si>
    <t>VALLEDORO</t>
  </si>
  <si>
    <t>VENETICO</t>
  </si>
  <si>
    <t>VERESPRESSO</t>
  </si>
  <si>
    <t>VIOLA CALZE</t>
  </si>
  <si>
    <t>VIPAL</t>
  </si>
  <si>
    <t>VIVIENNE WESTWOOD</t>
  </si>
  <si>
    <t>VODUZ</t>
  </si>
  <si>
    <t>LOVE&amp;BRA</t>
  </si>
  <si>
    <t>CLIENTI</t>
  </si>
  <si>
    <t>cr0186</t>
  </si>
  <si>
    <t>nn_fs_383_pam_000015</t>
  </si>
  <si>
    <t>nn_fs_383_pam_000016</t>
  </si>
  <si>
    <t>nn_fs_383_pam_000017</t>
  </si>
  <si>
    <t>4Q + 1</t>
  </si>
  <si>
    <t>foglio precedente</t>
  </si>
  <si>
    <t>INTENSO PAM</t>
  </si>
  <si>
    <t>CREMOSO PAM</t>
  </si>
  <si>
    <t>DEKA PAM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</si>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</sst>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3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theme="0" tint="-0.34998626667073579"/>
      <name val="Verdana"/>
      <family val="2"/>
    </font>
    <font>
      <sz val="7"/>
      <name val="Verdana"/>
      <family val="2"/>
    </font>
    <font>
      <i/>
      <sz val="7"/>
      <color theme="0" tint="-0.34998626667073579"/>
      <name val="Verdana"/>
      <family val="2"/>
    </font>
    <font>
      <b/>
      <i/>
      <u/>
      <sz val="7"/>
      <color theme="0" tint="-0.34998626667073579"/>
      <name val="Verdana"/>
      <family val="2"/>
    </font>
    <font>
      <b/>
      <i/>
      <sz val="10"/>
      <color theme="1"/>
      <name val="Verdana"/>
      <family val="2"/>
    </font>
    <font>
      <b/>
      <sz val="7"/>
      <name val="Verdana"/>
      <family val="2"/>
    </font>
    <font>
      <i/>
      <sz val="7"/>
      <name val="Verdana"/>
      <family val="2"/>
    </font>
    <font>
      <b/>
      <u/>
      <sz val="7"/>
      <color theme="0" tint="-0.34998626667073579"/>
      <name val="Verdana"/>
      <family val="2"/>
    </font>
    <font>
      <b/>
      <sz val="7"/>
      <color theme="1"/>
      <name val="Verdana"/>
      <family val="2"/>
    </font>
    <font>
      <b/>
      <i/>
      <sz val="7"/>
      <color theme="1"/>
      <name val="Verdana"/>
      <family val="2"/>
    </font>
    <font>
      <b/>
      <i/>
      <sz val="7"/>
      <color theme="0" tint="-0.34998626667073579"/>
      <name val="Verdana"/>
      <family val="2"/>
    </font>
    <font>
      <b/>
      <sz val="7"/>
      <color rgb="FF000000"/>
      <name val="Verdana"/>
      <family val="2"/>
    </font>
    <font>
      <sz val="7"/>
      <color rgb="FFFF0000"/>
      <name val="Verdana"/>
      <family val="2"/>
    </font>
    <font>
      <sz val="30"/>
      <color theme="1"/>
      <name val="C39HrP24DhTt"/>
    </font>
    <font>
      <b/>
      <sz val="12"/>
      <name val="Verdana"/>
      <family val="2"/>
    </font>
    <font>
      <b/>
      <sz val="7"/>
      <color theme="0"/>
      <name val="Verdana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Verdana"/>
      <family val="2"/>
    </font>
    <font>
      <b/>
      <sz val="8"/>
      <color theme="1"/>
      <name val="Verdana"/>
      <family val="2"/>
    </font>
    <font>
      <b/>
      <sz val="6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theme="5"/>
        <bgColor indexed="64"/>
      </patternFill>
    </fill>
  </fills>
  <borders count="60">
    <border>
      <left/>
      <right/>
      <top/>
      <bottom/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/>
      <right/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 style="thin">
        <color theme="0" tint="-0.34998626667073579"/>
      </top>
      <bottom/>
      <diagonal/>
    </border>
    <border>
      <left/>
      <right style="medium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 style="medium">
        <color theme="0" tint="-0.34998626667073579"/>
      </bottom>
      <diagonal/>
    </border>
    <border>
      <left/>
      <right/>
      <top/>
      <bottom style="dotted">
        <color theme="0" tint="-0.34998626667073579"/>
      </bottom>
      <diagonal/>
    </border>
    <border>
      <left/>
      <right style="medium">
        <color theme="0" tint="-0.34998626667073579"/>
      </right>
      <top/>
      <bottom style="dotted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/>
      <right/>
      <top style="thin">
        <color theme="0" tint="-0.34998626667073579"/>
      </top>
      <bottom style="dotted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19" fillId="4" borderId="57" xfId="0" applyFont="1" applyFill="1" applyBorder="1" applyAlignment="1">
      <alignment horizontal="left" vertical="center"/>
    </xf>
    <xf numFmtId="0" fontId="19" fillId="5" borderId="57" xfId="0" applyFont="1" applyFill="1" applyBorder="1" applyAlignment="1">
      <alignment horizontal="left" vertical="center"/>
    </xf>
    <xf numFmtId="0" fontId="19" fillId="4" borderId="58" xfId="0" applyFont="1" applyFill="1" applyBorder="1" applyAlignment="1">
      <alignment horizontal="left" vertical="center"/>
    </xf>
    <xf numFmtId="0" fontId="18" fillId="6" borderId="0" xfId="0" applyFont="1" applyFill="1"/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16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7" fillId="3" borderId="0" xfId="0" applyFont="1" applyFill="1" applyAlignment="1">
      <alignment horizontal="left" vertical="center"/>
    </xf>
    <xf numFmtId="0" fontId="4" fillId="0" borderId="34" xfId="0" applyFont="1" applyBorder="1" applyAlignment="1">
      <alignment vertical="center"/>
    </xf>
    <xf numFmtId="0" fontId="2" fillId="0" borderId="34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41" xfId="0" applyFont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5" fillId="0" borderId="2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2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38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2" fillId="0" borderId="27" xfId="0" applyFont="1" applyBorder="1" applyAlignment="1">
      <alignment vertical="center"/>
    </xf>
    <xf numFmtId="0" fontId="2" fillId="0" borderId="39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2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0" xfId="0" applyFont="1" applyAlignment="1" applyProtection="1">
      <alignment horizontal="left" vertical="center"/>
      <protection locked="0"/>
    </xf>
    <xf numFmtId="0" fontId="11" fillId="0" borderId="8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7" fillId="0" borderId="3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10" fillId="0" borderId="41" xfId="0" applyFont="1" applyBorder="1" applyAlignment="1" applyProtection="1">
      <alignment horizontal="left" vertical="center"/>
      <protection locked="0"/>
    </xf>
    <xf numFmtId="0" fontId="2" fillId="0" borderId="2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41" xfId="0" applyFont="1" applyBorder="1" applyAlignment="1">
      <alignment horizontal="left" vertical="center"/>
    </xf>
    <xf numFmtId="0" fontId="4" fillId="0" borderId="2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164" fontId="10" fillId="0" borderId="16" xfId="0" applyNumberFormat="1" applyFont="1" applyBorder="1" applyAlignment="1">
      <alignment horizontal="right" vertical="center"/>
    </xf>
    <xf numFmtId="0" fontId="2" fillId="0" borderId="18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4" fontId="7" fillId="0" borderId="5" xfId="0" applyNumberFormat="1" applyFont="1" applyBorder="1" applyAlignment="1">
      <alignment horizontal="left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0" fillId="0" borderId="5" xfId="0" applyFont="1" applyBorder="1" applyAlignment="1" applyProtection="1">
      <alignment horizontal="center" vertical="center"/>
      <protection locked="0"/>
    </xf>
    <xf numFmtId="14" fontId="10" fillId="0" borderId="5" xfId="0" applyNumberFormat="1" applyFont="1" applyBorder="1" applyAlignment="1">
      <alignment horizontal="center" vertical="center"/>
    </xf>
    <xf numFmtId="14" fontId="10" fillId="0" borderId="19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29" xfId="0" applyFont="1" applyBorder="1" applyAlignment="1">
      <alignment horizont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7" fillId="0" borderId="41" xfId="0" applyFont="1" applyBorder="1" applyAlignment="1" applyProtection="1">
      <alignment horizontal="left" vertical="center"/>
      <protection locked="0"/>
    </xf>
    <xf numFmtId="0" fontId="7" fillId="0" borderId="41" xfId="0" applyFont="1" applyBorder="1" applyAlignment="1" applyProtection="1">
      <alignment horizontal="center" vertical="center"/>
      <protection locked="0"/>
    </xf>
    <xf numFmtId="0" fontId="7" fillId="0" borderId="41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21" fillId="0" borderId="23" xfId="0" applyFont="1" applyBorder="1" applyAlignment="1" applyProtection="1">
      <alignment horizontal="center" vertical="center"/>
      <protection locked="0"/>
    </xf>
    <xf numFmtId="0" fontId="21" fillId="0" borderId="5" xfId="0" applyFont="1" applyBorder="1" applyAlignment="1" applyProtection="1">
      <alignment horizontal="center" vertical="center"/>
      <protection locked="0"/>
    </xf>
    <xf numFmtId="0" fontId="21" fillId="0" borderId="19" xfId="0" applyFont="1" applyBorder="1" applyAlignment="1" applyProtection="1">
      <alignment horizontal="center" vertical="center"/>
      <protection locked="0"/>
    </xf>
    <xf numFmtId="0" fontId="21" fillId="0" borderId="11" xfId="0" applyFont="1" applyBorder="1" applyAlignment="1" applyProtection="1">
      <alignment horizontal="center" vertical="center"/>
      <protection locked="0"/>
    </xf>
    <xf numFmtId="0" fontId="21" fillId="0" borderId="7" xfId="0" applyFont="1" applyBorder="1" applyAlignment="1" applyProtection="1">
      <alignment horizontal="center" vertical="center"/>
      <protection locked="0"/>
    </xf>
    <xf numFmtId="0" fontId="21" fillId="0" borderId="20" xfId="0" applyFont="1" applyBorder="1" applyAlignment="1" applyProtection="1">
      <alignment horizontal="center" vertical="center"/>
      <protection locked="0"/>
    </xf>
    <xf numFmtId="0" fontId="7" fillId="0" borderId="2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51" xfId="0" applyFont="1" applyBorder="1" applyAlignment="1" applyProtection="1">
      <alignment horizontal="center" vertical="center"/>
      <protection locked="0"/>
    </xf>
    <xf numFmtId="0" fontId="7" fillId="0" borderId="52" xfId="0" applyFont="1" applyBorder="1" applyAlignment="1" applyProtection="1">
      <alignment horizontal="center" vertical="center"/>
      <protection locked="0"/>
    </xf>
    <xf numFmtId="0" fontId="7" fillId="0" borderId="53" xfId="0" applyFont="1" applyBorder="1" applyAlignment="1" applyProtection="1">
      <alignment horizontal="center" vertical="center"/>
      <protection locked="0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2" fillId="0" borderId="59" xfId="0" applyFont="1" applyBorder="1" applyAlignment="1" applyProtection="1">
      <alignment horizontal="left" vertical="center"/>
      <protection locked="0"/>
    </xf>
    <xf numFmtId="0" fontId="7" fillId="0" borderId="5" xfId="0" applyFont="1" applyBorder="1" applyAlignment="1" applyProtection="1">
      <alignment horizontal="left" vertical="center"/>
      <protection locked="0"/>
    </xf>
    <xf numFmtId="0" fontId="10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11" fillId="0" borderId="5" xfId="0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0" fillId="0" borderId="41" xfId="0" applyFont="1" applyBorder="1" applyAlignment="1" applyProtection="1">
      <alignment horizontal="center" vertical="center"/>
      <protection locked="0"/>
    </xf>
    <xf numFmtId="0" fontId="7" fillId="0" borderId="4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2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40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0" fontId="2" fillId="0" borderId="2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0" fillId="0" borderId="23" xfId="0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horizontal="center" vertical="center"/>
      <protection locked="0"/>
    </xf>
    <xf numFmtId="0" fontId="20" fillId="0" borderId="11" xfId="0" applyFont="1" applyBorder="1" applyAlignment="1" applyProtection="1">
      <alignment horizontal="center" vertical="center"/>
      <protection locked="0"/>
    </xf>
    <xf numFmtId="0" fontId="20" fillId="0" borderId="7" xfId="0" applyFont="1" applyBorder="1" applyAlignment="1" applyProtection="1">
      <alignment horizontal="center" vertical="center"/>
      <protection locked="0"/>
    </xf>
    <xf numFmtId="0" fontId="20" fillId="0" borderId="19" xfId="0" applyFont="1" applyBorder="1" applyAlignment="1" applyProtection="1">
      <alignment horizontal="center" vertical="center"/>
      <protection locked="0"/>
    </xf>
    <xf numFmtId="0" fontId="20" fillId="0" borderId="20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64" fontId="10" fillId="0" borderId="14" xfId="0" applyNumberFormat="1" applyFont="1" applyBorder="1" applyAlignment="1" applyProtection="1">
      <alignment horizontal="right" vertical="center"/>
      <protection locked="0"/>
    </xf>
    <xf numFmtId="164" fontId="10" fillId="0" borderId="15" xfId="0" applyNumberFormat="1" applyFont="1" applyBorder="1" applyAlignment="1" applyProtection="1">
      <alignment horizontal="right" vertical="center"/>
      <protection locked="0"/>
    </xf>
    <xf numFmtId="0" fontId="7" fillId="0" borderId="15" xfId="0" applyFont="1" applyBorder="1" applyAlignment="1" applyProtection="1">
      <alignment horizontal="left" vertical="center"/>
      <protection locked="0"/>
    </xf>
    <xf numFmtId="0" fontId="7" fillId="0" borderId="13" xfId="0" applyFont="1" applyBorder="1" applyAlignment="1" applyProtection="1">
      <alignment horizontal="left" vertical="center"/>
      <protection locked="0"/>
    </xf>
    <xf numFmtId="0" fontId="10" fillId="0" borderId="46" xfId="0" applyFont="1" applyBorder="1" applyAlignment="1" applyProtection="1">
      <alignment horizontal="center" vertical="center"/>
      <protection locked="0"/>
    </xf>
    <xf numFmtId="0" fontId="10" fillId="0" borderId="49" xfId="0" applyFont="1" applyBorder="1" applyAlignment="1" applyProtection="1">
      <alignment horizontal="center" vertical="center"/>
      <protection locked="0"/>
    </xf>
    <xf numFmtId="0" fontId="10" fillId="0" borderId="46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 wrapText="1"/>
    </xf>
    <xf numFmtId="164" fontId="10" fillId="0" borderId="16" xfId="0" applyNumberFormat="1" applyFont="1" applyBorder="1" applyAlignment="1">
      <alignment horizontal="left" vertical="center"/>
    </xf>
  </cellXfs>
  <cellStyles count="1">
    <cellStyle name="Normale" xfId="0" builtinId="0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rgb="FFF8CBAD"/>
          <bgColor rgb="FFF8CBAD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rgb="FFF8CBAD"/>
          <bgColor rgb="FFF8CBAD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Verdana"/>
        <scheme val="none"/>
      </font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theme="0"/>
        <name val="Verdana"/>
        <scheme val="none"/>
      </font>
      <alignment horizontal="left" vertical="center" textRotation="0" wrapText="0" indent="0" justifyLastLine="0" shrinkToFit="0" readingOrder="0"/>
      <protection locked="1" hidden="0"/>
    </dxf>
    <dxf>
      <fill>
        <patternFill>
          <bgColor theme="0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theme="8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 tint="-0.499984740745262"/>
        </patternFill>
      </fill>
    </dxf>
    <dxf>
      <fill>
        <patternFill>
          <bgColor theme="0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theme="8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0" tint="-0.499984740745262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499984740745262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4" tint="-0.499984740745262"/>
      </font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ont>
        <color theme="0"/>
      </font>
      <fill>
        <patternFill>
          <bgColor theme="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Stile tabella 1" pivot="0" count="3" xr9:uid="{00000000-0011-0000-FFFF-FFFF00000000}">
      <tableStyleElement type="wholeTable" dxfId="62"/>
      <tableStyleElement type="headerRow" dxfId="61"/>
      <tableStyleElement type="firstRowStripe" dxfId="6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estione/DB_Lavori_Stamp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estione/DB_Articoli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Gestione/DB_Cartone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Gestione/DB_CatalogoA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"/>
      <sheetName val="Magazzino"/>
      <sheetName val="Carico"/>
      <sheetName val="DB_Lavori_Stampa"/>
    </sheetNames>
    <sheetDataSet>
      <sheetData sheetId="0">
        <row r="2">
          <cell r="A2">
            <v>7694</v>
          </cell>
          <cell r="B2" t="str">
            <v>X</v>
          </cell>
          <cell r="C2" t="str">
            <v>X</v>
          </cell>
          <cell r="D2" t="str">
            <v>Revenge</v>
          </cell>
          <cell r="E2" t="str">
            <v>cavallotto revenge Tecnico</v>
          </cell>
          <cell r="F2"/>
          <cell r="G2"/>
          <cell r="H2"/>
          <cell r="I2"/>
          <cell r="J2">
            <v>2400</v>
          </cell>
          <cell r="K2" t="str">
            <v>1.200 fogli</v>
          </cell>
          <cell r="L2">
            <v>1</v>
          </cell>
          <cell r="M2">
            <v>44732</v>
          </cell>
          <cell r="N2"/>
          <cell r="O2"/>
          <cell r="P2" t="str">
            <v>GC1 400</v>
          </cell>
          <cell r="Q2" t="str">
            <v>NO</v>
          </cell>
          <cell r="R2" t="str">
            <v>4Q</v>
          </cell>
          <cell r="S2" t="str">
            <v>Drip</v>
          </cell>
          <cell r="T2" t="str">
            <v>Esistente</v>
          </cell>
          <cell r="U2" t="str">
            <v>Esistente</v>
          </cell>
          <cell r="V2" t="str">
            <v>NO</v>
          </cell>
          <cell r="W2" t="str">
            <v>NO</v>
          </cell>
        </row>
        <row r="3">
          <cell r="A3">
            <v>7694</v>
          </cell>
          <cell r="B3" t="str">
            <v>X</v>
          </cell>
          <cell r="C3" t="str">
            <v>X</v>
          </cell>
          <cell r="D3" t="str">
            <v>Revenge</v>
          </cell>
          <cell r="E3" t="str">
            <v>cavallotto revenge Classico</v>
          </cell>
          <cell r="F3"/>
          <cell r="G3"/>
          <cell r="H3"/>
          <cell r="I3"/>
          <cell r="J3">
            <v>17000</v>
          </cell>
          <cell r="K3" t="str">
            <v>4.250 fogli</v>
          </cell>
          <cell r="L3">
            <v>2</v>
          </cell>
          <cell r="M3">
            <v>44732</v>
          </cell>
          <cell r="N3" t="str">
            <v>anche retro</v>
          </cell>
          <cell r="O3"/>
          <cell r="P3" t="str">
            <v>GC1 400</v>
          </cell>
          <cell r="Q3" t="str">
            <v>NO</v>
          </cell>
          <cell r="R3" t="str">
            <v>4Q</v>
          </cell>
          <cell r="S3" t="str">
            <v>Drip</v>
          </cell>
          <cell r="T3" t="str">
            <v>Esistente</v>
          </cell>
          <cell r="U3" t="str">
            <v>Esistente</v>
          </cell>
          <cell r="V3" t="str">
            <v>NO</v>
          </cell>
          <cell r="W3" t="str">
            <v>NO</v>
          </cell>
        </row>
        <row r="4">
          <cell r="A4">
            <v>7612</v>
          </cell>
          <cell r="B4" t="str">
            <v>X</v>
          </cell>
          <cell r="C4" t="str">
            <v>X</v>
          </cell>
          <cell r="D4" t="str">
            <v>Quaranta</v>
          </cell>
          <cell r="E4" t="str">
            <v>Cavallotti Torrone Abbinati</v>
          </cell>
          <cell r="F4"/>
          <cell r="G4"/>
          <cell r="H4"/>
          <cell r="I4"/>
          <cell r="J4">
            <v>111750</v>
          </cell>
          <cell r="K4" t="str">
            <v>9.400 fogli</v>
          </cell>
          <cell r="L4">
            <v>3</v>
          </cell>
          <cell r="M4">
            <v>44736</v>
          </cell>
          <cell r="N4"/>
          <cell r="O4"/>
          <cell r="P4" t="str">
            <v xml:space="preserve">GC1 250 </v>
          </cell>
          <cell r="Q4" t="str">
            <v>NO</v>
          </cell>
          <cell r="R4" t="str">
            <v>4Q + 1P</v>
          </cell>
          <cell r="S4" t="str">
            <v>V.ce + OC</v>
          </cell>
          <cell r="T4" t="str">
            <v>Esistente</v>
          </cell>
          <cell r="U4" t="str">
            <v>Esistente</v>
          </cell>
          <cell r="V4" t="str">
            <v>NO</v>
          </cell>
          <cell r="W4" t="str">
            <v>NO</v>
          </cell>
        </row>
        <row r="5">
          <cell r="A5">
            <v>7637</v>
          </cell>
          <cell r="B5" t="str">
            <v>X</v>
          </cell>
          <cell r="C5" t="str">
            <v>X</v>
          </cell>
          <cell r="D5" t="str">
            <v>D&amp;G</v>
          </cell>
          <cell r="E5" t="str">
            <v>Scatole Mignon 15x15</v>
          </cell>
          <cell r="F5"/>
          <cell r="G5"/>
          <cell r="H5"/>
          <cell r="I5"/>
          <cell r="J5">
            <v>2000</v>
          </cell>
          <cell r="K5" t="str">
            <v>2.000 fogli</v>
          </cell>
          <cell r="L5">
            <v>1</v>
          </cell>
          <cell r="M5">
            <v>44739</v>
          </cell>
          <cell r="N5"/>
          <cell r="O5"/>
          <cell r="P5" t="str">
            <v>GC1 325</v>
          </cell>
          <cell r="Q5" t="str">
            <v>NO</v>
          </cell>
          <cell r="R5" t="str">
            <v>1P</v>
          </cell>
          <cell r="S5" t="str">
            <v>V.ce opaca</v>
          </cell>
          <cell r="T5" t="str">
            <v>Esistente</v>
          </cell>
          <cell r="U5" t="str">
            <v>Esistente</v>
          </cell>
          <cell r="V5" t="str">
            <v>SI</v>
          </cell>
          <cell r="W5" t="str">
            <v>NO</v>
          </cell>
        </row>
        <row r="6">
          <cell r="A6">
            <v>7638</v>
          </cell>
          <cell r="B6" t="str">
            <v>X</v>
          </cell>
          <cell r="C6" t="str">
            <v>X</v>
          </cell>
          <cell r="D6" t="str">
            <v>D&amp;G</v>
          </cell>
          <cell r="E6" t="str">
            <v>Scatole Mignon 25x25</v>
          </cell>
          <cell r="F6"/>
          <cell r="G6"/>
          <cell r="H6"/>
          <cell r="I6"/>
          <cell r="J6">
            <v>2000</v>
          </cell>
          <cell r="K6" t="str">
            <v>2.000 fogli</v>
          </cell>
          <cell r="L6">
            <v>1</v>
          </cell>
          <cell r="M6">
            <v>44739</v>
          </cell>
          <cell r="N6"/>
          <cell r="O6"/>
          <cell r="P6" t="str">
            <v>GC1 325</v>
          </cell>
          <cell r="Q6" t="str">
            <v>NO</v>
          </cell>
          <cell r="R6" t="str">
            <v>1P</v>
          </cell>
          <cell r="S6" t="str">
            <v>V.ce opaca</v>
          </cell>
          <cell r="T6" t="str">
            <v>Esistente</v>
          </cell>
          <cell r="U6" t="str">
            <v>Esistente</v>
          </cell>
          <cell r="V6" t="str">
            <v>SI</v>
          </cell>
          <cell r="W6" t="str">
            <v>NO</v>
          </cell>
        </row>
        <row r="7">
          <cell r="A7">
            <v>7639</v>
          </cell>
          <cell r="B7" t="str">
            <v>X</v>
          </cell>
          <cell r="C7" t="str">
            <v>X</v>
          </cell>
          <cell r="D7" t="str">
            <v>D&amp;G</v>
          </cell>
          <cell r="E7" t="str">
            <v>Scatole Individuale</v>
          </cell>
          <cell r="F7"/>
          <cell r="G7"/>
          <cell r="H7"/>
          <cell r="I7"/>
          <cell r="J7">
            <v>2000</v>
          </cell>
          <cell r="K7" t="str">
            <v>2.000 fogli</v>
          </cell>
          <cell r="L7">
            <v>1</v>
          </cell>
          <cell r="M7">
            <v>44739</v>
          </cell>
          <cell r="N7"/>
          <cell r="O7"/>
          <cell r="P7" t="str">
            <v>GC1 325</v>
          </cell>
          <cell r="Q7" t="str">
            <v>NO</v>
          </cell>
          <cell r="R7" t="str">
            <v>1P</v>
          </cell>
          <cell r="S7" t="str">
            <v>V.ce opaca</v>
          </cell>
          <cell r="T7" t="str">
            <v>Esistente</v>
          </cell>
          <cell r="U7" t="str">
            <v>Esistente</v>
          </cell>
          <cell r="V7" t="str">
            <v>SI</v>
          </cell>
          <cell r="W7" t="str">
            <v>NO</v>
          </cell>
        </row>
        <row r="8">
          <cell r="A8">
            <v>7640</v>
          </cell>
          <cell r="B8" t="str">
            <v>X</v>
          </cell>
          <cell r="C8" t="str">
            <v>X</v>
          </cell>
          <cell r="D8" t="str">
            <v>D&amp;G</v>
          </cell>
          <cell r="E8" t="str">
            <v>Fondelli abbinati</v>
          </cell>
          <cell r="F8"/>
          <cell r="G8"/>
          <cell r="H8"/>
          <cell r="I8"/>
          <cell r="J8">
            <v>4000</v>
          </cell>
          <cell r="K8" t="str">
            <v>2.000 fogli</v>
          </cell>
          <cell r="L8">
            <v>1</v>
          </cell>
          <cell r="M8">
            <v>44739</v>
          </cell>
          <cell r="N8"/>
          <cell r="O8"/>
          <cell r="P8" t="str">
            <v>GC1 325</v>
          </cell>
          <cell r="Q8" t="str">
            <v>NO</v>
          </cell>
          <cell r="R8" t="str">
            <v>1P</v>
          </cell>
          <cell r="S8" t="str">
            <v>PO</v>
          </cell>
          <cell r="T8" t="str">
            <v>Esistente</v>
          </cell>
          <cell r="U8" t="str">
            <v>Esistente</v>
          </cell>
          <cell r="V8" t="str">
            <v>SI</v>
          </cell>
          <cell r="W8" t="str">
            <v>NO</v>
          </cell>
        </row>
        <row r="9">
          <cell r="A9">
            <v>7641</v>
          </cell>
          <cell r="B9" t="str">
            <v>X</v>
          </cell>
          <cell r="C9" t="str">
            <v>X</v>
          </cell>
          <cell r="D9" t="str">
            <v>D&amp;G</v>
          </cell>
          <cell r="E9" t="str">
            <v>Scatole Invero</v>
          </cell>
          <cell r="F9"/>
          <cell r="G9"/>
          <cell r="H9"/>
          <cell r="I9"/>
          <cell r="J9">
            <v>2000</v>
          </cell>
          <cell r="K9" t="str">
            <v>2.000 fogli</v>
          </cell>
          <cell r="L9">
            <v>1</v>
          </cell>
          <cell r="M9">
            <v>44739</v>
          </cell>
          <cell r="N9"/>
          <cell r="O9"/>
          <cell r="P9" t="str">
            <v>GC1 325</v>
          </cell>
          <cell r="Q9" t="str">
            <v>NO</v>
          </cell>
          <cell r="R9" t="str">
            <v>2P</v>
          </cell>
          <cell r="S9" t="str">
            <v>PO</v>
          </cell>
          <cell r="T9" t="str">
            <v>Esistente</v>
          </cell>
          <cell r="U9" t="str">
            <v>Esistente</v>
          </cell>
          <cell r="V9" t="str">
            <v>SI</v>
          </cell>
          <cell r="W9" t="str">
            <v>NO</v>
          </cell>
        </row>
        <row r="10">
          <cell r="A10">
            <v>7378</v>
          </cell>
          <cell r="B10" t="str">
            <v>X</v>
          </cell>
          <cell r="C10" t="str">
            <v>X</v>
          </cell>
          <cell r="D10" t="str">
            <v>Alfagel</v>
          </cell>
          <cell r="E10" t="str">
            <v>Astucci 4 pezzi Pop Polo</v>
          </cell>
          <cell r="F10"/>
          <cell r="G10"/>
          <cell r="H10"/>
          <cell r="I10"/>
          <cell r="J10">
            <v>220000</v>
          </cell>
          <cell r="K10" t="str">
            <v>55.000 fogli</v>
          </cell>
          <cell r="L10">
            <v>4</v>
          </cell>
          <cell r="M10">
            <v>44747</v>
          </cell>
          <cell r="N10"/>
          <cell r="O10"/>
          <cell r="P10" t="str">
            <v>112 400 62x81</v>
          </cell>
          <cell r="Q10" t="str">
            <v>NO</v>
          </cell>
          <cell r="R10" t="str">
            <v>4Q + 2P</v>
          </cell>
          <cell r="S10" t="str">
            <v>V.ce lucida</v>
          </cell>
          <cell r="T10" t="str">
            <v>Esistente</v>
          </cell>
          <cell r="U10" t="str">
            <v>Esistente</v>
          </cell>
          <cell r="V10" t="str">
            <v>SI</v>
          </cell>
          <cell r="W10" t="str">
            <v>NO</v>
          </cell>
        </row>
        <row r="11">
          <cell r="A11">
            <v>7689</v>
          </cell>
          <cell r="B11" t="str">
            <v>X</v>
          </cell>
          <cell r="C11" t="str">
            <v>X</v>
          </cell>
          <cell r="D11" t="str">
            <v>Battaglio</v>
          </cell>
          <cell r="E11" t="str">
            <v>Cavallotti Viniciguerra</v>
          </cell>
          <cell r="F11"/>
          <cell r="G11"/>
          <cell r="H11"/>
          <cell r="I11"/>
          <cell r="J11">
            <v>20000</v>
          </cell>
          <cell r="K11" t="str">
            <v>2.000 fogli</v>
          </cell>
          <cell r="L11">
            <v>1</v>
          </cell>
          <cell r="M11">
            <v>44747</v>
          </cell>
          <cell r="N11"/>
          <cell r="O11"/>
          <cell r="P11" t="str">
            <v>GC1 250 72x102</v>
          </cell>
          <cell r="Q11" t="str">
            <v>SI</v>
          </cell>
          <cell r="R11" t="str">
            <v>4Q</v>
          </cell>
          <cell r="S11" t="str">
            <v>UV</v>
          </cell>
          <cell r="T11" t="str">
            <v>Esistente</v>
          </cell>
          <cell r="U11" t="str">
            <v>Esistente</v>
          </cell>
          <cell r="V11" t="str">
            <v>SI</v>
          </cell>
          <cell r="W11" t="str">
            <v>NO</v>
          </cell>
        </row>
        <row r="12">
          <cell r="A12">
            <v>7674</v>
          </cell>
          <cell r="B12" t="str">
            <v>X</v>
          </cell>
          <cell r="C12" t="str">
            <v>X</v>
          </cell>
          <cell r="D12" t="str">
            <v>JBS</v>
          </cell>
          <cell r="E12" t="str">
            <v>Astucci RO</v>
          </cell>
          <cell r="F12"/>
          <cell r="G12"/>
          <cell r="H12"/>
          <cell r="I12"/>
          <cell r="J12">
            <v>3000</v>
          </cell>
          <cell r="K12" t="str">
            <v>750 fogli</v>
          </cell>
          <cell r="L12">
            <v>1</v>
          </cell>
          <cell r="M12">
            <v>44748</v>
          </cell>
          <cell r="N12"/>
          <cell r="O12"/>
          <cell r="P12" t="str">
            <v>GC1 350</v>
          </cell>
          <cell r="Q12" t="str">
            <v>NO</v>
          </cell>
          <cell r="R12" t="str">
            <v>4Q</v>
          </cell>
          <cell r="S12" t="str">
            <v>V.ce opaca</v>
          </cell>
          <cell r="T12" t="str">
            <v>Esistente</v>
          </cell>
          <cell r="U12" t="str">
            <v>Esistente</v>
          </cell>
          <cell r="V12" t="str">
            <v>SI</v>
          </cell>
          <cell r="W12" t="str">
            <v>NO</v>
          </cell>
        </row>
        <row r="13">
          <cell r="A13">
            <v>7703</v>
          </cell>
          <cell r="B13" t="str">
            <v>X</v>
          </cell>
          <cell r="C13" t="str">
            <v>X</v>
          </cell>
          <cell r="D13" t="str">
            <v>O.R</v>
          </cell>
          <cell r="E13" t="str">
            <v>Scatole Imballo Alba/Onda 10/4</v>
          </cell>
          <cell r="F13"/>
          <cell r="G13"/>
          <cell r="H13"/>
          <cell r="I13"/>
          <cell r="J13">
            <v>2000</v>
          </cell>
          <cell r="K13" t="str">
            <v>2.000 fogli</v>
          </cell>
          <cell r="L13">
            <v>1</v>
          </cell>
          <cell r="M13">
            <v>44748</v>
          </cell>
          <cell r="N13"/>
          <cell r="O13"/>
          <cell r="P13" t="str">
            <v>Micro</v>
          </cell>
          <cell r="Q13" t="str">
            <v>NO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Esistente</v>
          </cell>
          <cell r="V13" t="str">
            <v>SI</v>
          </cell>
          <cell r="W13" t="str">
            <v>NO</v>
          </cell>
        </row>
        <row r="14">
          <cell r="A14">
            <v>7611</v>
          </cell>
          <cell r="B14" t="str">
            <v>X</v>
          </cell>
          <cell r="C14" t="str">
            <v>X</v>
          </cell>
          <cell r="D14" t="str">
            <v>Quaranta</v>
          </cell>
          <cell r="E14" t="str">
            <v>Cavallotti Sacchetto Torrone</v>
          </cell>
          <cell r="F14"/>
          <cell r="G14"/>
          <cell r="H14"/>
          <cell r="I14"/>
          <cell r="J14">
            <v>15000</v>
          </cell>
          <cell r="K14" t="str">
            <v>1.250 fogli</v>
          </cell>
          <cell r="L14">
            <v>1</v>
          </cell>
          <cell r="M14">
            <v>44750</v>
          </cell>
          <cell r="N14"/>
          <cell r="O14"/>
          <cell r="P14" t="str">
            <v>GC1 250</v>
          </cell>
          <cell r="Q14" t="str">
            <v>NO</v>
          </cell>
          <cell r="R14" t="str">
            <v>4Q</v>
          </cell>
          <cell r="S14" t="str">
            <v>V.ce lucida</v>
          </cell>
          <cell r="T14" t="str">
            <v>Esistente</v>
          </cell>
          <cell r="U14" t="str">
            <v>Esistente</v>
          </cell>
          <cell r="V14" t="str">
            <v>NO</v>
          </cell>
          <cell r="W14" t="str">
            <v>NO</v>
          </cell>
        </row>
        <row r="15">
          <cell r="A15">
            <v>7658</v>
          </cell>
          <cell r="B15" t="str">
            <v>X</v>
          </cell>
          <cell r="C15" t="str">
            <v>X</v>
          </cell>
          <cell r="D15" t="str">
            <v>Milatalia</v>
          </cell>
          <cell r="E15" t="str">
            <v>Astucci Magnum f.to Mini</v>
          </cell>
          <cell r="F15"/>
          <cell r="G15"/>
          <cell r="H15"/>
          <cell r="I15"/>
          <cell r="J15">
            <v>54000</v>
          </cell>
          <cell r="K15" t="str">
            <v>13.500 fogli</v>
          </cell>
          <cell r="L15">
            <v>2</v>
          </cell>
          <cell r="M15">
            <v>44753</v>
          </cell>
          <cell r="N15"/>
          <cell r="O15"/>
          <cell r="P15" t="str">
            <v>112 400 55x101</v>
          </cell>
          <cell r="Q15" t="str">
            <v>NO</v>
          </cell>
          <cell r="R15" t="str">
            <v>4Q + 1P</v>
          </cell>
          <cell r="S15" t="str">
            <v>V.ce lucida</v>
          </cell>
          <cell r="T15" t="str">
            <v>Esistente</v>
          </cell>
          <cell r="U15" t="str">
            <v>Esistente</v>
          </cell>
          <cell r="V15" t="str">
            <v>Si</v>
          </cell>
          <cell r="W15" t="str">
            <v>NO</v>
          </cell>
        </row>
        <row r="16">
          <cell r="A16">
            <v>7673</v>
          </cell>
          <cell r="B16" t="str">
            <v>X</v>
          </cell>
          <cell r="C16" t="str">
            <v>X</v>
          </cell>
          <cell r="D16" t="str">
            <v>Stringart</v>
          </cell>
          <cell r="E16" t="str">
            <v>Scatole grandi Neutre</v>
          </cell>
          <cell r="F16"/>
          <cell r="G16"/>
          <cell r="H16"/>
          <cell r="I16"/>
          <cell r="J16">
            <v>5000</v>
          </cell>
          <cell r="K16" t="str">
            <v>5.000 fogli</v>
          </cell>
          <cell r="L16">
            <v>1</v>
          </cell>
          <cell r="M16">
            <v>44753</v>
          </cell>
          <cell r="N16"/>
          <cell r="O16"/>
          <cell r="P16" t="str">
            <v>112 385</v>
          </cell>
          <cell r="Q16" t="str">
            <v>NO</v>
          </cell>
          <cell r="R16" t="str">
            <v>-</v>
          </cell>
          <cell r="S16" t="str">
            <v>-</v>
          </cell>
          <cell r="T16" t="str">
            <v>-</v>
          </cell>
          <cell r="U16" t="str">
            <v>Esistente</v>
          </cell>
          <cell r="V16" t="str">
            <v>SI</v>
          </cell>
          <cell r="W16" t="str">
            <v>NO</v>
          </cell>
        </row>
        <row r="17">
          <cell r="A17">
            <v>7668</v>
          </cell>
          <cell r="B17" t="str">
            <v>X</v>
          </cell>
          <cell r="C17" t="str">
            <v>X</v>
          </cell>
          <cell r="D17" t="str">
            <v>Pantytex</v>
          </cell>
          <cell r="E17" t="str">
            <v>Buste HKM Disco</v>
          </cell>
          <cell r="F17"/>
          <cell r="G17"/>
          <cell r="H17"/>
          <cell r="I17"/>
          <cell r="J17">
            <v>145000</v>
          </cell>
          <cell r="K17" t="str">
            <v>29.000 fogli</v>
          </cell>
          <cell r="L17">
            <v>5</v>
          </cell>
          <cell r="M17">
            <v>44757</v>
          </cell>
          <cell r="N17"/>
          <cell r="O17"/>
          <cell r="P17" t="str">
            <v>GC1 250 102x59</v>
          </cell>
          <cell r="Q17" t="str">
            <v>NO</v>
          </cell>
          <cell r="R17" t="str">
            <v>4Q + 3P</v>
          </cell>
          <cell r="S17" t="str">
            <v>V.ce + SR + OC</v>
          </cell>
          <cell r="T17" t="str">
            <v>Esistente</v>
          </cell>
          <cell r="U17" t="str">
            <v>Esistente</v>
          </cell>
          <cell r="V17" t="str">
            <v>NO</v>
          </cell>
          <cell r="W17" t="str">
            <v>NO</v>
          </cell>
        </row>
        <row r="18">
          <cell r="A18">
            <v>7663</v>
          </cell>
          <cell r="B18" t="str">
            <v>X</v>
          </cell>
          <cell r="C18" t="str">
            <v>X</v>
          </cell>
          <cell r="D18" t="str">
            <v>Pasta Lensi</v>
          </cell>
          <cell r="E18" t="str">
            <v>Astucci Skin Rotini -  ord 49583</v>
          </cell>
          <cell r="F18"/>
          <cell r="G18"/>
          <cell r="H18"/>
          <cell r="I18" t="str">
            <v>127 X 63 X 185</v>
          </cell>
          <cell r="J18">
            <v>20000</v>
          </cell>
          <cell r="K18" t="str">
            <v>5.000 fogli</v>
          </cell>
          <cell r="L18">
            <v>1</v>
          </cell>
          <cell r="M18">
            <v>44757</v>
          </cell>
          <cell r="N18"/>
          <cell r="O18"/>
          <cell r="P18" t="str">
            <v>962 350 63,5x79,5</v>
          </cell>
          <cell r="Q18" t="str">
            <v>NO</v>
          </cell>
          <cell r="R18" t="str">
            <v>4Q + 2P</v>
          </cell>
          <cell r="S18" t="str">
            <v>V.ce lucida</v>
          </cell>
          <cell r="T18" t="str">
            <v>Esistente</v>
          </cell>
          <cell r="U18" t="str">
            <v>Esistente</v>
          </cell>
          <cell r="V18" t="str">
            <v>NO</v>
          </cell>
          <cell r="W18" t="str">
            <v>SI</v>
          </cell>
        </row>
        <row r="19">
          <cell r="A19">
            <v>7663</v>
          </cell>
          <cell r="B19" t="str">
            <v>X</v>
          </cell>
          <cell r="C19" t="str">
            <v>X</v>
          </cell>
          <cell r="D19" t="str">
            <v>Pasta Lensi</v>
          </cell>
          <cell r="E19" t="str">
            <v>Astucci Lenus red Lentil -  ord 49583</v>
          </cell>
          <cell r="F19"/>
          <cell r="G19"/>
          <cell r="H19"/>
          <cell r="I19" t="str">
            <v>127 X 63 X 185</v>
          </cell>
          <cell r="J19">
            <v>150000</v>
          </cell>
          <cell r="K19" t="str">
            <v>37.500 fogli</v>
          </cell>
          <cell r="L19">
            <v>1</v>
          </cell>
          <cell r="M19">
            <v>44757</v>
          </cell>
          <cell r="N19"/>
          <cell r="O19"/>
          <cell r="P19" t="str">
            <v>962 350 63,5x79,5</v>
          </cell>
          <cell r="Q19" t="str">
            <v>NO</v>
          </cell>
          <cell r="R19" t="str">
            <v>4Q + 2P</v>
          </cell>
          <cell r="S19" t="str">
            <v>V.ce lucida</v>
          </cell>
          <cell r="T19" t="str">
            <v>Esistente</v>
          </cell>
          <cell r="U19" t="str">
            <v>Esistente</v>
          </cell>
          <cell r="V19" t="str">
            <v>NO</v>
          </cell>
          <cell r="W19" t="str">
            <v>SI</v>
          </cell>
        </row>
        <row r="20">
          <cell r="A20">
            <v>7695</v>
          </cell>
          <cell r="B20" t="str">
            <v>X</v>
          </cell>
          <cell r="C20" t="str">
            <v>X</v>
          </cell>
          <cell r="D20" t="str">
            <v>Nero Nobile</v>
          </cell>
          <cell r="E20" t="str">
            <v>Astucci Carrefour FS0380 - ord. 448</v>
          </cell>
          <cell r="F20"/>
          <cell r="G20"/>
          <cell r="H20"/>
          <cell r="I20"/>
          <cell r="J20">
            <v>100000</v>
          </cell>
          <cell r="K20" t="str">
            <v>25.000 fogli</v>
          </cell>
          <cell r="L20">
            <v>3</v>
          </cell>
          <cell r="M20">
            <v>44760</v>
          </cell>
          <cell r="N20"/>
          <cell r="O20"/>
          <cell r="P20" t="str">
            <v>GC2 270 62x100,5</v>
          </cell>
          <cell r="Q20" t="str">
            <v>NO</v>
          </cell>
          <cell r="R20" t="str">
            <v>4Q + 1P</v>
          </cell>
          <cell r="S20" t="str">
            <v>UV</v>
          </cell>
          <cell r="T20" t="str">
            <v>Esistente</v>
          </cell>
          <cell r="U20" t="str">
            <v>Esistente</v>
          </cell>
          <cell r="V20" t="str">
            <v>SI</v>
          </cell>
          <cell r="W20" t="str">
            <v>NO</v>
          </cell>
        </row>
        <row r="21">
          <cell r="A21">
            <v>7701</v>
          </cell>
          <cell r="B21" t="str">
            <v>X</v>
          </cell>
          <cell r="C21" t="str">
            <v>X</v>
          </cell>
          <cell r="D21" t="str">
            <v>Nero Nobile</v>
          </cell>
          <cell r="E21" t="str">
            <v>Astucci Nero Nobile FS0380 - ord 474</v>
          </cell>
          <cell r="F21"/>
          <cell r="G21"/>
          <cell r="H21"/>
          <cell r="I21"/>
          <cell r="J21">
            <v>120000</v>
          </cell>
          <cell r="K21" t="str">
            <v>30.000 fogli</v>
          </cell>
          <cell r="L21">
            <v>1</v>
          </cell>
          <cell r="M21">
            <v>44760</v>
          </cell>
          <cell r="N21"/>
          <cell r="O21"/>
          <cell r="P21" t="str">
            <v>GC2 270 62x100,5</v>
          </cell>
          <cell r="Q21" t="str">
            <v>NO</v>
          </cell>
          <cell r="R21" t="str">
            <v>4Q + 1P</v>
          </cell>
          <cell r="S21" t="str">
            <v>Drip + UV</v>
          </cell>
          <cell r="T21" t="str">
            <v>Esistente</v>
          </cell>
          <cell r="U21" t="str">
            <v>Esistente</v>
          </cell>
          <cell r="V21" t="str">
            <v>SI</v>
          </cell>
          <cell r="W21" t="str">
            <v>NO</v>
          </cell>
        </row>
        <row r="22">
          <cell r="A22">
            <v>7692</v>
          </cell>
          <cell r="B22" t="str">
            <v>X</v>
          </cell>
          <cell r="C22" t="str">
            <v>X</v>
          </cell>
          <cell r="D22" t="str">
            <v>Prontofoods</v>
          </cell>
          <cell r="E22" t="str">
            <v>Astucci Orzo espresso 50 B</v>
          </cell>
          <cell r="F22"/>
          <cell r="G22"/>
          <cell r="H22"/>
          <cell r="I22"/>
          <cell r="J22">
            <v>30000</v>
          </cell>
          <cell r="K22" t="str">
            <v>15.000 fogli</v>
          </cell>
          <cell r="L22">
            <v>1</v>
          </cell>
          <cell r="M22">
            <v>44760</v>
          </cell>
          <cell r="N22"/>
          <cell r="O22"/>
          <cell r="P22" t="str">
            <v>962 450 47x92,5</v>
          </cell>
          <cell r="Q22" t="str">
            <v>NO</v>
          </cell>
          <cell r="R22" t="str">
            <v>4Q</v>
          </cell>
          <cell r="S22" t="str">
            <v>V.ce lucida</v>
          </cell>
          <cell r="T22" t="str">
            <v>Esistente</v>
          </cell>
          <cell r="U22" t="str">
            <v>Esistente</v>
          </cell>
          <cell r="V22" t="str">
            <v>NO</v>
          </cell>
          <cell r="W22" t="str">
            <v>NO</v>
          </cell>
        </row>
        <row r="23">
          <cell r="A23">
            <v>7692</v>
          </cell>
          <cell r="B23" t="str">
            <v>X</v>
          </cell>
          <cell r="C23" t="str">
            <v>X</v>
          </cell>
          <cell r="D23" t="str">
            <v>Prontofoods</v>
          </cell>
          <cell r="E23" t="str">
            <v>Astucci Orzo espresso 50 B SU</v>
          </cell>
          <cell r="F23"/>
          <cell r="G23"/>
          <cell r="H23"/>
          <cell r="I23"/>
          <cell r="J23">
            <v>5000</v>
          </cell>
          <cell r="K23" t="str">
            <v>2.500 fogli</v>
          </cell>
          <cell r="L23">
            <v>1</v>
          </cell>
          <cell r="M23">
            <v>44760</v>
          </cell>
          <cell r="N23"/>
          <cell r="O23"/>
          <cell r="P23" t="str">
            <v>962 450 47x92,5</v>
          </cell>
          <cell r="Q23" t="str">
            <v>NO</v>
          </cell>
          <cell r="R23" t="str">
            <v>4Q</v>
          </cell>
          <cell r="S23" t="str">
            <v>V.ce lucida</v>
          </cell>
          <cell r="T23" t="str">
            <v>Esistente</v>
          </cell>
          <cell r="U23" t="str">
            <v>Esistente</v>
          </cell>
          <cell r="V23" t="str">
            <v>NO</v>
          </cell>
          <cell r="W23" t="str">
            <v>NO</v>
          </cell>
        </row>
        <row r="24">
          <cell r="A24">
            <v>7692</v>
          </cell>
          <cell r="B24" t="str">
            <v>X</v>
          </cell>
          <cell r="C24" t="str">
            <v>X</v>
          </cell>
          <cell r="D24" t="str">
            <v>Prontofoods</v>
          </cell>
          <cell r="E24" t="str">
            <v>Astucci Orzo espresso 50 B Columbus</v>
          </cell>
          <cell r="F24"/>
          <cell r="G24"/>
          <cell r="H24"/>
          <cell r="I24"/>
          <cell r="J24">
            <v>8000</v>
          </cell>
          <cell r="K24" t="str">
            <v>4.000 fogli</v>
          </cell>
          <cell r="L24">
            <v>1</v>
          </cell>
          <cell r="M24">
            <v>44760</v>
          </cell>
          <cell r="N24"/>
          <cell r="O24"/>
          <cell r="P24" t="str">
            <v>962 450 47x92,5</v>
          </cell>
          <cell r="Q24" t="str">
            <v>NO</v>
          </cell>
          <cell r="R24" t="str">
            <v>4Q</v>
          </cell>
          <cell r="S24" t="str">
            <v>V.ce lucida</v>
          </cell>
          <cell r="T24" t="str">
            <v>Esistente</v>
          </cell>
          <cell r="U24" t="str">
            <v>Esistente</v>
          </cell>
          <cell r="V24" t="str">
            <v>NO</v>
          </cell>
          <cell r="W24" t="str">
            <v>NO</v>
          </cell>
        </row>
        <row r="25">
          <cell r="A25">
            <v>7693</v>
          </cell>
          <cell r="B25" t="str">
            <v>X</v>
          </cell>
          <cell r="C25" t="str">
            <v>X</v>
          </cell>
          <cell r="D25" t="str">
            <v>Prontofoods</v>
          </cell>
          <cell r="E25" t="str">
            <v>Astucci camomille Vivo Meglio</v>
          </cell>
          <cell r="F25"/>
          <cell r="G25"/>
          <cell r="H25"/>
          <cell r="I25"/>
          <cell r="J25">
            <v>90000</v>
          </cell>
          <cell r="K25" t="str">
            <v>9.900 fogli</v>
          </cell>
          <cell r="L25">
            <v>1</v>
          </cell>
          <cell r="M25">
            <v>44760</v>
          </cell>
          <cell r="N25"/>
          <cell r="O25"/>
          <cell r="P25" t="str">
            <v>962 450 47x92,5</v>
          </cell>
          <cell r="Q25" t="str">
            <v>NO</v>
          </cell>
          <cell r="R25" t="str">
            <v>4Q</v>
          </cell>
          <cell r="S25" t="str">
            <v>V.ce lucida</v>
          </cell>
          <cell r="T25" t="str">
            <v>Esistente</v>
          </cell>
          <cell r="U25" t="str">
            <v>Esistente</v>
          </cell>
          <cell r="V25" t="str">
            <v>NO</v>
          </cell>
          <cell r="W25" t="str">
            <v>NO</v>
          </cell>
        </row>
        <row r="26">
          <cell r="A26">
            <v>7702</v>
          </cell>
          <cell r="B26" t="str">
            <v>X</v>
          </cell>
          <cell r="C26" t="str">
            <v>X</v>
          </cell>
          <cell r="D26" t="str">
            <v>Valledoro</v>
          </cell>
          <cell r="E26" t="str">
            <v>Astucci Zulu</v>
          </cell>
          <cell r="F26"/>
          <cell r="G26"/>
          <cell r="H26"/>
          <cell r="I26"/>
          <cell r="J26">
            <v>30000</v>
          </cell>
          <cell r="K26" t="str">
            <v>5.000 fogli</v>
          </cell>
          <cell r="L26">
            <v>1</v>
          </cell>
          <cell r="M26">
            <v>44760</v>
          </cell>
          <cell r="N26"/>
          <cell r="O26"/>
          <cell r="P26" t="str">
            <v>GC2 260 66x86,5</v>
          </cell>
          <cell r="Q26" t="str">
            <v>NO</v>
          </cell>
          <cell r="R26" t="str">
            <v>4Q</v>
          </cell>
          <cell r="S26" t="str">
            <v>UV</v>
          </cell>
          <cell r="T26" t="str">
            <v>Esistente</v>
          </cell>
          <cell r="U26" t="str">
            <v>Esistente</v>
          </cell>
          <cell r="V26" t="str">
            <v>NO</v>
          </cell>
          <cell r="W26" t="str">
            <v>NO</v>
          </cell>
        </row>
        <row r="27">
          <cell r="A27">
            <v>7613</v>
          </cell>
          <cell r="B27" t="str">
            <v>X</v>
          </cell>
          <cell r="C27" t="str">
            <v>X</v>
          </cell>
          <cell r="D27" t="str">
            <v>Pasta Lensi</v>
          </cell>
          <cell r="E27" t="str">
            <v>Astucci Coop Bassi - ord. 49508</v>
          </cell>
          <cell r="F27"/>
          <cell r="G27"/>
          <cell r="H27"/>
          <cell r="I27" t="str">
            <v>100 x 45 x 155</v>
          </cell>
          <cell r="J27">
            <v>105000</v>
          </cell>
          <cell r="K27" t="str">
            <v>18.340 fogli</v>
          </cell>
          <cell r="L27">
            <v>1</v>
          </cell>
          <cell r="M27">
            <v>44761</v>
          </cell>
          <cell r="N27"/>
          <cell r="O27"/>
          <cell r="P27" t="str">
            <v>GC1 300 51x93</v>
          </cell>
          <cell r="Q27" t="str">
            <v>NO</v>
          </cell>
          <cell r="R27" t="str">
            <v>4Q + 2P</v>
          </cell>
          <cell r="S27" t="str">
            <v>V.ce lucida</v>
          </cell>
          <cell r="T27" t="str">
            <v>Esistente</v>
          </cell>
          <cell r="U27" t="str">
            <v>Esistente</v>
          </cell>
          <cell r="V27" t="str">
            <v>SI</v>
          </cell>
          <cell r="W27" t="str">
            <v>NO</v>
          </cell>
        </row>
        <row r="28">
          <cell r="A28">
            <v>7600</v>
          </cell>
          <cell r="B28" t="str">
            <v>X</v>
          </cell>
          <cell r="C28" t="str">
            <v>X</v>
          </cell>
          <cell r="D28" t="str">
            <v>Pantytex</v>
          </cell>
          <cell r="E28" t="str">
            <v>Inserti CA</v>
          </cell>
          <cell r="F28"/>
          <cell r="G28"/>
          <cell r="H28"/>
          <cell r="I28"/>
          <cell r="J28">
            <v>19000</v>
          </cell>
          <cell r="K28" t="str">
            <v>3.800 fogli</v>
          </cell>
          <cell r="L28">
            <v>4</v>
          </cell>
          <cell r="M28">
            <v>44762</v>
          </cell>
          <cell r="N28"/>
          <cell r="O28"/>
          <cell r="P28" t="str">
            <v>Sym 200 89x52</v>
          </cell>
          <cell r="Q28" t="str">
            <v>NO</v>
          </cell>
          <cell r="R28" t="str">
            <v>4Q + 2P</v>
          </cell>
          <cell r="S28" t="str">
            <v>V.ce lucida</v>
          </cell>
          <cell r="T28" t="str">
            <v>Esistente</v>
          </cell>
          <cell r="U28" t="str">
            <v>Esistente</v>
          </cell>
          <cell r="V28" t="str">
            <v>NO</v>
          </cell>
          <cell r="W28" t="str">
            <v>NO</v>
          </cell>
        </row>
        <row r="29">
          <cell r="A29">
            <v>7618</v>
          </cell>
          <cell r="B29" t="str">
            <v>X</v>
          </cell>
          <cell r="C29" t="str">
            <v>X</v>
          </cell>
          <cell r="D29" t="str">
            <v>Pasta Lensi</v>
          </cell>
          <cell r="E29" t="str">
            <v>Astucci Ica Macaroni - ord. 49478</v>
          </cell>
          <cell r="F29"/>
          <cell r="G29"/>
          <cell r="H29"/>
          <cell r="I29" t="str">
            <v>127 X 63 X 185</v>
          </cell>
          <cell r="J29">
            <v>30000</v>
          </cell>
          <cell r="K29" t="str">
            <v>7.500 fogli</v>
          </cell>
          <cell r="L29">
            <v>1</v>
          </cell>
          <cell r="M29">
            <v>44762</v>
          </cell>
          <cell r="N29"/>
          <cell r="O29"/>
          <cell r="P29" t="str">
            <v>962 350 63,5x79,5</v>
          </cell>
          <cell r="Q29" t="str">
            <v>NO</v>
          </cell>
          <cell r="R29" t="str">
            <v>4Q + 2P</v>
          </cell>
          <cell r="S29" t="str">
            <v>V.ce lucida</v>
          </cell>
          <cell r="T29" t="str">
            <v>Esistente</v>
          </cell>
          <cell r="U29" t="str">
            <v>Esistente</v>
          </cell>
          <cell r="V29" t="str">
            <v>NO</v>
          </cell>
          <cell r="W29" t="str">
            <v>NO</v>
          </cell>
        </row>
        <row r="30">
          <cell r="A30">
            <v>7710</v>
          </cell>
          <cell r="B30" t="str">
            <v>X</v>
          </cell>
          <cell r="C30" t="str">
            <v>X</v>
          </cell>
          <cell r="D30" t="str">
            <v>Prontofoods</v>
          </cell>
          <cell r="E30" t="str">
            <v>Astucci 5 Buste Bar Risotra</v>
          </cell>
          <cell r="F30"/>
          <cell r="G30"/>
          <cell r="H30"/>
          <cell r="I30"/>
          <cell r="J30">
            <v>50000</v>
          </cell>
          <cell r="K30" t="str">
            <v>5.400 fogli</v>
          </cell>
          <cell r="L30">
            <v>1</v>
          </cell>
          <cell r="M30">
            <v>44762</v>
          </cell>
          <cell r="N30"/>
          <cell r="O30"/>
          <cell r="P30" t="str">
            <v>GC2 250 65,5X86,5</v>
          </cell>
          <cell r="Q30" t="str">
            <v>NO</v>
          </cell>
          <cell r="R30" t="str">
            <v>4Q</v>
          </cell>
          <cell r="S30" t="str">
            <v>UV</v>
          </cell>
          <cell r="T30" t="str">
            <v>Esistente</v>
          </cell>
          <cell r="U30" t="str">
            <v>Esistente</v>
          </cell>
          <cell r="V30" t="str">
            <v>NO</v>
          </cell>
          <cell r="W30" t="str">
            <v>NO</v>
          </cell>
        </row>
        <row r="31">
          <cell r="A31">
            <v>7710</v>
          </cell>
          <cell r="B31" t="str">
            <v>X</v>
          </cell>
          <cell r="C31" t="str">
            <v>X</v>
          </cell>
          <cell r="D31" t="str">
            <v>Prontofoods</v>
          </cell>
          <cell r="E31" t="str">
            <v>Astucci 5 Buste The verde Light</v>
          </cell>
          <cell r="F31"/>
          <cell r="G31"/>
          <cell r="H31"/>
          <cell r="I31"/>
          <cell r="J31">
            <v>7000</v>
          </cell>
          <cell r="K31" t="str">
            <v>780 fogli</v>
          </cell>
          <cell r="L31">
            <v>1</v>
          </cell>
          <cell r="M31">
            <v>44762</v>
          </cell>
          <cell r="N31"/>
          <cell r="O31"/>
          <cell r="P31" t="str">
            <v>GC2 250 65,5X86,5</v>
          </cell>
          <cell r="Q31" t="str">
            <v>NO</v>
          </cell>
          <cell r="R31" t="str">
            <v>4Q</v>
          </cell>
          <cell r="S31" t="str">
            <v>UV</v>
          </cell>
          <cell r="T31" t="str">
            <v>Esistente</v>
          </cell>
          <cell r="U31" t="str">
            <v>Esistente</v>
          </cell>
          <cell r="V31" t="str">
            <v>NO</v>
          </cell>
          <cell r="W31" t="str">
            <v>NO</v>
          </cell>
        </row>
        <row r="32">
          <cell r="A32">
            <v>7710</v>
          </cell>
          <cell r="B32" t="str">
            <v>X</v>
          </cell>
          <cell r="C32" t="str">
            <v>X</v>
          </cell>
          <cell r="D32" t="str">
            <v>Prontofoods</v>
          </cell>
          <cell r="E32" t="str">
            <v>Astucci 5 Buste Ginseng Caravans</v>
          </cell>
          <cell r="F32"/>
          <cell r="G32"/>
          <cell r="H32"/>
          <cell r="I32"/>
          <cell r="J32">
            <v>15000</v>
          </cell>
          <cell r="K32" t="str">
            <v>1.670 fogli</v>
          </cell>
          <cell r="L32">
            <v>1</v>
          </cell>
          <cell r="M32">
            <v>44762</v>
          </cell>
          <cell r="N32"/>
          <cell r="O32"/>
          <cell r="P32" t="str">
            <v>GC2 250 65,5X86,5</v>
          </cell>
          <cell r="Q32" t="str">
            <v>NO</v>
          </cell>
          <cell r="R32" t="str">
            <v>4Q</v>
          </cell>
          <cell r="S32" t="str">
            <v>UV</v>
          </cell>
          <cell r="T32" t="str">
            <v>Esistente</v>
          </cell>
          <cell r="U32" t="str">
            <v>Esistente</v>
          </cell>
          <cell r="V32" t="str">
            <v>NO</v>
          </cell>
          <cell r="W32" t="str">
            <v>NO</v>
          </cell>
        </row>
        <row r="33">
          <cell r="A33">
            <v>7710</v>
          </cell>
          <cell r="B33" t="str">
            <v>X</v>
          </cell>
          <cell r="C33" t="str">
            <v>X</v>
          </cell>
          <cell r="D33" t="str">
            <v>Prontofoods</v>
          </cell>
          <cell r="E33" t="str">
            <v>Astucci 5 Buste Cucina e Sapori</v>
          </cell>
          <cell r="F33"/>
          <cell r="G33"/>
          <cell r="H33"/>
          <cell r="I33"/>
          <cell r="J33">
            <v>30000</v>
          </cell>
          <cell r="K33" t="str">
            <v>3.400 fogli</v>
          </cell>
          <cell r="L33">
            <v>1</v>
          </cell>
          <cell r="M33">
            <v>44762</v>
          </cell>
          <cell r="N33"/>
          <cell r="O33"/>
          <cell r="P33" t="str">
            <v>GC2 250 65,5X86,5</v>
          </cell>
          <cell r="Q33" t="str">
            <v>NO</v>
          </cell>
          <cell r="R33" t="str">
            <v>4Q</v>
          </cell>
          <cell r="S33" t="str">
            <v>UV</v>
          </cell>
          <cell r="T33" t="str">
            <v>Esistente</v>
          </cell>
          <cell r="U33" t="str">
            <v>Esistente</v>
          </cell>
          <cell r="V33" t="str">
            <v>NO</v>
          </cell>
          <cell r="W33" t="str">
            <v>NO</v>
          </cell>
        </row>
        <row r="34">
          <cell r="A34">
            <v>7710</v>
          </cell>
          <cell r="B34" t="str">
            <v>X</v>
          </cell>
          <cell r="C34" t="str">
            <v>X</v>
          </cell>
          <cell r="D34" t="str">
            <v>Prontofoods</v>
          </cell>
          <cell r="E34" t="str">
            <v>Astucci 5 Buste Cioccolata in tazza loving</v>
          </cell>
          <cell r="F34"/>
          <cell r="G34"/>
          <cell r="H34"/>
          <cell r="I34"/>
          <cell r="J34">
            <v>35000</v>
          </cell>
          <cell r="K34" t="str">
            <v>3.900 fogli</v>
          </cell>
          <cell r="L34">
            <v>1</v>
          </cell>
          <cell r="M34">
            <v>44762</v>
          </cell>
          <cell r="N34"/>
          <cell r="O34"/>
          <cell r="P34" t="str">
            <v>GC2 250 65,5X86,5</v>
          </cell>
          <cell r="Q34" t="str">
            <v>NO</v>
          </cell>
          <cell r="R34" t="str">
            <v>4Q</v>
          </cell>
          <cell r="S34" t="str">
            <v>UV</v>
          </cell>
          <cell r="T34" t="str">
            <v>Esistente</v>
          </cell>
          <cell r="U34" t="str">
            <v>Esistente</v>
          </cell>
          <cell r="V34" t="str">
            <v>NO</v>
          </cell>
          <cell r="W34" t="str">
            <v>NO</v>
          </cell>
        </row>
        <row r="35">
          <cell r="A35">
            <v>7710</v>
          </cell>
          <cell r="B35" t="str">
            <v>X</v>
          </cell>
          <cell r="C35" t="str">
            <v>X</v>
          </cell>
          <cell r="D35" t="str">
            <v>Prontofoods</v>
          </cell>
          <cell r="E35" t="str">
            <v>Astucci 5 Buste ginsneg rafael</v>
          </cell>
          <cell r="F35"/>
          <cell r="G35"/>
          <cell r="H35"/>
          <cell r="I35"/>
          <cell r="J35">
            <v>15000</v>
          </cell>
          <cell r="K35" t="str">
            <v>1.670 fogli</v>
          </cell>
          <cell r="L35">
            <v>1</v>
          </cell>
          <cell r="M35">
            <v>44762</v>
          </cell>
          <cell r="N35"/>
          <cell r="O35"/>
          <cell r="P35" t="str">
            <v>GC2 250 65,5X86,5</v>
          </cell>
          <cell r="Q35" t="str">
            <v>NO</v>
          </cell>
          <cell r="R35" t="str">
            <v>4Q</v>
          </cell>
          <cell r="S35" t="str">
            <v>UV</v>
          </cell>
          <cell r="T35" t="str">
            <v>Esistente</v>
          </cell>
          <cell r="U35" t="str">
            <v>Esistente</v>
          </cell>
          <cell r="V35" t="str">
            <v>NO</v>
          </cell>
          <cell r="W35" t="str">
            <v>NO</v>
          </cell>
        </row>
        <row r="36">
          <cell r="A36">
            <v>7730</v>
          </cell>
          <cell r="B36" t="str">
            <v>X</v>
          </cell>
          <cell r="C36" t="str">
            <v>X</v>
          </cell>
          <cell r="D36" t="str">
            <v>Nero Nobile</v>
          </cell>
          <cell r="E36" t="str">
            <v>Astucci Zuppe FS0380 - ord. 497</v>
          </cell>
          <cell r="F36"/>
          <cell r="G36"/>
          <cell r="H36"/>
          <cell r="I36"/>
          <cell r="J36">
            <v>20000</v>
          </cell>
          <cell r="K36" t="str">
            <v>5.000 fogli</v>
          </cell>
          <cell r="L36">
            <v>1</v>
          </cell>
          <cell r="M36">
            <v>44763</v>
          </cell>
          <cell r="N36"/>
          <cell r="O36"/>
          <cell r="P36" t="str">
            <v>GC2 270 62x100,5</v>
          </cell>
          <cell r="Q36" t="str">
            <v>NO</v>
          </cell>
          <cell r="R36" t="str">
            <v>4Q + 1P</v>
          </cell>
          <cell r="S36" t="str">
            <v>V.ce opaca</v>
          </cell>
          <cell r="T36" t="str">
            <v>Esistente</v>
          </cell>
          <cell r="U36" t="str">
            <v>Esistente</v>
          </cell>
          <cell r="V36" t="str">
            <v>SI</v>
          </cell>
          <cell r="W36" t="str">
            <v>NO</v>
          </cell>
        </row>
        <row r="37">
          <cell r="A37">
            <v>7506</v>
          </cell>
          <cell r="B37" t="str">
            <v>X</v>
          </cell>
          <cell r="C37" t="str">
            <v>X</v>
          </cell>
          <cell r="D37" t="str">
            <v>Pasta Lensi</v>
          </cell>
          <cell r="E37" t="str">
            <v>Astucci Morrison x200 - ord 49216</v>
          </cell>
          <cell r="F37"/>
          <cell r="G37"/>
          <cell r="H37"/>
          <cell r="I37" t="str">
            <v>127 X 63 X 200</v>
          </cell>
          <cell r="J37">
            <v>50000</v>
          </cell>
          <cell r="K37" t="str">
            <v>13.000 fogli</v>
          </cell>
          <cell r="L37">
            <v>1</v>
          </cell>
          <cell r="M37">
            <v>44764</v>
          </cell>
          <cell r="N37"/>
          <cell r="O37"/>
          <cell r="P37" t="str">
            <v>962 350</v>
          </cell>
          <cell r="Q37" t="str">
            <v>NO</v>
          </cell>
          <cell r="R37" t="str">
            <v>4Q + 2P</v>
          </cell>
          <cell r="S37" t="str">
            <v>V.ce opaca</v>
          </cell>
          <cell r="T37" t="str">
            <v>Esistente</v>
          </cell>
          <cell r="U37" t="str">
            <v>Esistente</v>
          </cell>
          <cell r="V37" t="str">
            <v>NO</v>
          </cell>
          <cell r="W37" t="str">
            <v>NO</v>
          </cell>
        </row>
        <row r="38">
          <cell r="A38">
            <v>7746</v>
          </cell>
          <cell r="B38" t="str">
            <v>X</v>
          </cell>
          <cell r="C38" t="str">
            <v>X</v>
          </cell>
          <cell r="D38" t="str">
            <v>Prontofoods</v>
          </cell>
          <cell r="E38" t="str">
            <v>Astucci Camomila Caldo Abbraccio</v>
          </cell>
          <cell r="F38"/>
          <cell r="G38"/>
          <cell r="H38"/>
          <cell r="I38"/>
          <cell r="J38">
            <v>40000</v>
          </cell>
          <cell r="K38" t="str">
            <v>4.500 fogli</v>
          </cell>
          <cell r="L38">
            <v>1</v>
          </cell>
          <cell r="M38">
            <v>44769</v>
          </cell>
          <cell r="N38"/>
          <cell r="O38"/>
          <cell r="P38" t="str">
            <v>Tam 240 93,5x65,5</v>
          </cell>
          <cell r="Q38" t="str">
            <v>NO</v>
          </cell>
          <cell r="R38" t="str">
            <v>4Q</v>
          </cell>
          <cell r="S38" t="str">
            <v>V.ce lucida</v>
          </cell>
          <cell r="T38" t="str">
            <v>Esistente</v>
          </cell>
          <cell r="U38" t="str">
            <v>Esistente</v>
          </cell>
          <cell r="V38" t="str">
            <v>NO</v>
          </cell>
          <cell r="W38" t="str">
            <v>NO</v>
          </cell>
        </row>
        <row r="39">
          <cell r="A39">
            <v>7718</v>
          </cell>
          <cell r="B39" t="str">
            <v>X</v>
          </cell>
          <cell r="C39" t="str">
            <v>X</v>
          </cell>
          <cell r="D39" t="str">
            <v>Pasta Lensi</v>
          </cell>
          <cell r="E39" t="str">
            <v>Astucci Lenus red Lentil -  ord 49783</v>
          </cell>
          <cell r="F39"/>
          <cell r="G39"/>
          <cell r="H39"/>
          <cell r="I39" t="str">
            <v>111 X 60 X 170</v>
          </cell>
          <cell r="J39">
            <v>30000</v>
          </cell>
          <cell r="K39" t="str">
            <v>5.000 fogli</v>
          </cell>
          <cell r="L39">
            <v>1</v>
          </cell>
          <cell r="M39">
            <v>44770</v>
          </cell>
          <cell r="N39"/>
          <cell r="O39"/>
          <cell r="P39" t="str">
            <v>962 350 87,5x72,5</v>
          </cell>
          <cell r="Q39" t="str">
            <v>NO</v>
          </cell>
          <cell r="R39" t="str">
            <v>4Q + 2P</v>
          </cell>
          <cell r="S39" t="str">
            <v>V.ce lucida</v>
          </cell>
          <cell r="T39" t="str">
            <v>Esistente</v>
          </cell>
          <cell r="U39" t="str">
            <v>Esistente</v>
          </cell>
          <cell r="V39" t="str">
            <v>NO</v>
          </cell>
          <cell r="W39" t="str">
            <v>SI</v>
          </cell>
        </row>
        <row r="40">
          <cell r="A40">
            <v>7712</v>
          </cell>
          <cell r="B40" t="str">
            <v>X</v>
          </cell>
          <cell r="C40" t="str">
            <v>X</v>
          </cell>
          <cell r="D40" t="str">
            <v>Pantytex</v>
          </cell>
          <cell r="E40" t="str">
            <v>Buste Fantasia Hema</v>
          </cell>
          <cell r="F40"/>
          <cell r="G40"/>
          <cell r="H40"/>
          <cell r="I40"/>
          <cell r="J40">
            <v>30000</v>
          </cell>
          <cell r="K40" t="str">
            <v>6.000 fogli</v>
          </cell>
          <cell r="L40">
            <v>1</v>
          </cell>
          <cell r="M40">
            <v>44771</v>
          </cell>
          <cell r="N40"/>
          <cell r="O40"/>
          <cell r="P40" t="str">
            <v>GC2 275</v>
          </cell>
          <cell r="Q40" t="str">
            <v>NO</v>
          </cell>
          <cell r="R40" t="str">
            <v>4Q + 1P</v>
          </cell>
          <cell r="S40" t="str">
            <v>V.ce opaca</v>
          </cell>
          <cell r="T40" t="str">
            <v>Esistente</v>
          </cell>
          <cell r="U40" t="str">
            <v>Esistente</v>
          </cell>
          <cell r="V40" t="str">
            <v>SI</v>
          </cell>
          <cell r="W40" t="str">
            <v>NO</v>
          </cell>
        </row>
        <row r="41">
          <cell r="A41">
            <v>7722</v>
          </cell>
          <cell r="B41" t="str">
            <v>X</v>
          </cell>
          <cell r="C41" t="str">
            <v>X</v>
          </cell>
          <cell r="D41" t="str">
            <v>Nero Nobile</v>
          </cell>
          <cell r="E41" t="str">
            <v>Astucci Nocciolino FS0385 - ord. 482</v>
          </cell>
          <cell r="F41"/>
          <cell r="G41"/>
          <cell r="H41"/>
          <cell r="I41"/>
          <cell r="J41">
            <v>100000</v>
          </cell>
          <cell r="K41" t="str">
            <v>16.670 fogli</v>
          </cell>
          <cell r="L41">
            <v>1</v>
          </cell>
          <cell r="M41">
            <v>44774</v>
          </cell>
          <cell r="N41"/>
          <cell r="O41"/>
          <cell r="P41" t="str">
            <v>GC2 270 72x75</v>
          </cell>
          <cell r="Q41" t="str">
            <v>NO</v>
          </cell>
          <cell r="R41" t="str">
            <v>4Q + 1P</v>
          </cell>
          <cell r="S41" t="str">
            <v>Drip + UV</v>
          </cell>
          <cell r="T41" t="str">
            <v>Esistente</v>
          </cell>
          <cell r="U41" t="str">
            <v>Esistente</v>
          </cell>
          <cell r="V41" t="str">
            <v>Si</v>
          </cell>
          <cell r="W41" t="str">
            <v>NO</v>
          </cell>
        </row>
        <row r="42">
          <cell r="A42">
            <v>7742</v>
          </cell>
          <cell r="B42" t="str">
            <v>X</v>
          </cell>
          <cell r="C42" t="str">
            <v>X</v>
          </cell>
          <cell r="D42" t="str">
            <v>Nero Nobile</v>
          </cell>
          <cell r="E42" t="str">
            <v>Astucci unes X FS0380DG - ord. 524</v>
          </cell>
          <cell r="F42"/>
          <cell r="G42"/>
          <cell r="H42"/>
          <cell r="I42"/>
          <cell r="J42">
            <v>30000</v>
          </cell>
          <cell r="K42" t="str">
            <v>7.500 fogli</v>
          </cell>
          <cell r="L42">
            <v>2</v>
          </cell>
          <cell r="M42">
            <v>44774</v>
          </cell>
          <cell r="N42"/>
          <cell r="O42"/>
          <cell r="P42" t="str">
            <v>GC2 270 62x100,5</v>
          </cell>
          <cell r="Q42" t="str">
            <v>NO</v>
          </cell>
          <cell r="R42" t="str">
            <v>4Q</v>
          </cell>
          <cell r="S42" t="str">
            <v>V.ce opaca</v>
          </cell>
          <cell r="T42" t="str">
            <v>Esistente</v>
          </cell>
          <cell r="U42" t="str">
            <v>Esistente</v>
          </cell>
          <cell r="V42" t="str">
            <v>Si</v>
          </cell>
          <cell r="W42" t="str">
            <v>NO</v>
          </cell>
        </row>
        <row r="43">
          <cell r="A43">
            <v>7743</v>
          </cell>
          <cell r="B43" t="str">
            <v>X</v>
          </cell>
          <cell r="C43" t="str">
            <v>X</v>
          </cell>
          <cell r="D43" t="str">
            <v>Nero Nobile</v>
          </cell>
          <cell r="E43" t="str">
            <v>Astucci Corcovado FS0385 - ord. 525</v>
          </cell>
          <cell r="F43"/>
          <cell r="G43"/>
          <cell r="H43"/>
          <cell r="I43"/>
          <cell r="J43">
            <v>10000</v>
          </cell>
          <cell r="K43" t="str">
            <v>2.500 fogli</v>
          </cell>
          <cell r="L43">
            <v>2</v>
          </cell>
          <cell r="M43">
            <v>44774</v>
          </cell>
          <cell r="N43"/>
          <cell r="O43"/>
          <cell r="P43" t="str">
            <v>GC2 50x75</v>
          </cell>
          <cell r="Q43" t="str">
            <v>NO</v>
          </cell>
          <cell r="R43" t="str">
            <v>4Q</v>
          </cell>
          <cell r="S43" t="str">
            <v>Drip</v>
          </cell>
          <cell r="T43" t="str">
            <v>Esistente</v>
          </cell>
          <cell r="U43" t="str">
            <v>Esistente</v>
          </cell>
          <cell r="V43" t="str">
            <v>Si</v>
          </cell>
          <cell r="W43" t="str">
            <v>NO</v>
          </cell>
        </row>
        <row r="44">
          <cell r="A44">
            <v>7744</v>
          </cell>
          <cell r="B44" t="str">
            <v>X</v>
          </cell>
          <cell r="C44" t="str">
            <v>X</v>
          </cell>
          <cell r="D44" t="str">
            <v>Nero Nobile</v>
          </cell>
          <cell r="E44" t="str">
            <v>Astucci Vesuvius FS0380 - Ord. 523</v>
          </cell>
          <cell r="F44"/>
          <cell r="G44"/>
          <cell r="H44"/>
          <cell r="I44"/>
          <cell r="J44">
            <v>25000</v>
          </cell>
          <cell r="K44" t="str">
            <v>6.250 fogli</v>
          </cell>
          <cell r="L44">
            <v>2</v>
          </cell>
          <cell r="M44">
            <v>44774</v>
          </cell>
          <cell r="N44"/>
          <cell r="O44"/>
          <cell r="P44" t="str">
            <v>GC2 270 62x100,5</v>
          </cell>
          <cell r="Q44" t="str">
            <v>NO</v>
          </cell>
          <cell r="R44" t="str">
            <v>4Q</v>
          </cell>
          <cell r="S44" t="str">
            <v>V.ce opaca</v>
          </cell>
          <cell r="T44" t="str">
            <v>Esistente</v>
          </cell>
          <cell r="U44" t="str">
            <v>Esistente</v>
          </cell>
          <cell r="V44" t="str">
            <v>Si</v>
          </cell>
          <cell r="W44" t="str">
            <v>NO</v>
          </cell>
        </row>
        <row r="45">
          <cell r="A45">
            <v>7664</v>
          </cell>
          <cell r="B45" t="str">
            <v>X</v>
          </cell>
          <cell r="C45" t="str">
            <v>X</v>
          </cell>
          <cell r="D45" t="str">
            <v>Pasta Lensi</v>
          </cell>
          <cell r="E45" t="str">
            <v>Astucci Lenus red Lentil -  ord 49583</v>
          </cell>
          <cell r="F45"/>
          <cell r="G45"/>
          <cell r="H45"/>
          <cell r="I45" t="str">
            <v>127 X 63 X 185</v>
          </cell>
          <cell r="J45">
            <v>90000</v>
          </cell>
          <cell r="K45" t="str">
            <v>22.500 fogli</v>
          </cell>
          <cell r="L45">
            <v>1</v>
          </cell>
          <cell r="M45">
            <v>44774</v>
          </cell>
          <cell r="N45"/>
          <cell r="O45"/>
          <cell r="P45" t="str">
            <v>962 350 63,5x79,5</v>
          </cell>
          <cell r="Q45" t="str">
            <v>NO</v>
          </cell>
          <cell r="R45" t="str">
            <v>4Q + 2P</v>
          </cell>
          <cell r="S45" t="str">
            <v>V.ce lucida</v>
          </cell>
          <cell r="T45" t="str">
            <v>Esistente</v>
          </cell>
          <cell r="U45" t="str">
            <v>Esistente</v>
          </cell>
          <cell r="V45" t="str">
            <v>NO</v>
          </cell>
          <cell r="W45" t="str">
            <v>SI</v>
          </cell>
        </row>
        <row r="46">
          <cell r="A46">
            <v>7679</v>
          </cell>
          <cell r="B46" t="str">
            <v>X</v>
          </cell>
          <cell r="C46" t="str">
            <v>X</v>
          </cell>
          <cell r="D46" t="str">
            <v>Pasta Lensi</v>
          </cell>
          <cell r="E46" t="str">
            <v>Astucci Ica Macaroni - ord. 49663</v>
          </cell>
          <cell r="F46"/>
          <cell r="G46"/>
          <cell r="H46"/>
          <cell r="I46" t="str">
            <v>127 X 63 X 185</v>
          </cell>
          <cell r="J46">
            <v>30000</v>
          </cell>
          <cell r="K46" t="str">
            <v>7.500 fogli</v>
          </cell>
          <cell r="L46">
            <v>1</v>
          </cell>
          <cell r="M46">
            <v>44774</v>
          </cell>
          <cell r="N46">
            <v>44809</v>
          </cell>
          <cell r="O46"/>
          <cell r="P46" t="str">
            <v>962 350</v>
          </cell>
          <cell r="Q46" t="str">
            <v>NO</v>
          </cell>
          <cell r="R46" t="str">
            <v>4Q + 2P</v>
          </cell>
          <cell r="S46" t="str">
            <v>V.ce lucida</v>
          </cell>
          <cell r="T46" t="str">
            <v>Esistente</v>
          </cell>
          <cell r="U46" t="str">
            <v>Esistente</v>
          </cell>
          <cell r="V46" t="str">
            <v>NO</v>
          </cell>
          <cell r="W46" t="str">
            <v>NO</v>
          </cell>
        </row>
        <row r="47">
          <cell r="A47">
            <v>7715</v>
          </cell>
          <cell r="B47" t="str">
            <v>X</v>
          </cell>
          <cell r="C47" t="str">
            <v>X</v>
          </cell>
          <cell r="D47" t="str">
            <v>Pasta Lensi</v>
          </cell>
          <cell r="E47" t="str">
            <v>Astucci Sig Rotini - ord. 49785</v>
          </cell>
          <cell r="F47"/>
          <cell r="G47"/>
          <cell r="H47"/>
          <cell r="I47" t="str">
            <v>127 x 63 x 185</v>
          </cell>
          <cell r="J47">
            <v>20000</v>
          </cell>
          <cell r="K47" t="str">
            <v>5.000 fogli</v>
          </cell>
          <cell r="L47">
            <v>1</v>
          </cell>
          <cell r="M47">
            <v>44774</v>
          </cell>
          <cell r="N47">
            <v>44804</v>
          </cell>
          <cell r="O47"/>
          <cell r="P47" t="str">
            <v>962 350 63,5x79,5</v>
          </cell>
          <cell r="Q47" t="str">
            <v>NO</v>
          </cell>
          <cell r="R47" t="str">
            <v>4Q + 2P</v>
          </cell>
          <cell r="S47" t="str">
            <v>V.ce lucida</v>
          </cell>
          <cell r="T47" t="str">
            <v>Esistente</v>
          </cell>
          <cell r="U47" t="str">
            <v>Esistente</v>
          </cell>
          <cell r="V47" t="str">
            <v>NO</v>
          </cell>
          <cell r="W47" t="str">
            <v>SI</v>
          </cell>
        </row>
        <row r="48">
          <cell r="A48">
            <v>7719</v>
          </cell>
          <cell r="B48" t="str">
            <v>X</v>
          </cell>
          <cell r="C48" t="str">
            <v>X</v>
          </cell>
          <cell r="D48" t="str">
            <v>Pasta Lensi</v>
          </cell>
          <cell r="E48" t="str">
            <v>Astucci Sig. Penne. - ord. 49784</v>
          </cell>
          <cell r="F48"/>
          <cell r="G48"/>
          <cell r="H48"/>
          <cell r="I48" t="str">
            <v>127 X 45 X 185</v>
          </cell>
          <cell r="J48">
            <v>40000</v>
          </cell>
          <cell r="K48" t="str">
            <v>6.700 fogli</v>
          </cell>
          <cell r="L48">
            <v>1</v>
          </cell>
          <cell r="M48">
            <v>44774</v>
          </cell>
          <cell r="N48"/>
          <cell r="O48"/>
          <cell r="P48" t="str">
            <v>962 350 83,5x72,5</v>
          </cell>
          <cell r="Q48" t="str">
            <v>NO</v>
          </cell>
          <cell r="R48" t="str">
            <v>4Q + 2P</v>
          </cell>
          <cell r="S48" t="str">
            <v>V.ce lucida</v>
          </cell>
          <cell r="T48" t="str">
            <v>Esistente</v>
          </cell>
          <cell r="U48" t="str">
            <v>Esistente</v>
          </cell>
          <cell r="V48" t="str">
            <v>NO</v>
          </cell>
          <cell r="W48" t="str">
            <v>SI</v>
          </cell>
        </row>
        <row r="49">
          <cell r="A49">
            <v>7731</v>
          </cell>
          <cell r="B49" t="str">
            <v>X</v>
          </cell>
          <cell r="C49" t="str">
            <v>X</v>
          </cell>
          <cell r="D49" t="str">
            <v>Pasta Lensi</v>
          </cell>
          <cell r="E49" t="str">
            <v>Astucci G&amp;G Penne - ord. 49820</v>
          </cell>
          <cell r="F49"/>
          <cell r="G49"/>
          <cell r="H49"/>
          <cell r="I49" t="str">
            <v>111 x 45 x 170</v>
          </cell>
          <cell r="J49">
            <v>60000</v>
          </cell>
          <cell r="K49" t="str">
            <v>7.500 fogli</v>
          </cell>
          <cell r="L49">
            <v>1</v>
          </cell>
          <cell r="M49">
            <v>44774</v>
          </cell>
          <cell r="N49"/>
          <cell r="O49"/>
          <cell r="P49" t="str">
            <v>962 400 103,5x66</v>
          </cell>
          <cell r="Q49" t="str">
            <v>NO</v>
          </cell>
          <cell r="R49" t="str">
            <v>4Q + 2P</v>
          </cell>
          <cell r="S49" t="str">
            <v>V.ce lucida</v>
          </cell>
          <cell r="T49" t="str">
            <v>Esistente</v>
          </cell>
          <cell r="U49" t="str">
            <v>Esistente</v>
          </cell>
          <cell r="V49" t="str">
            <v>NO</v>
          </cell>
          <cell r="W49" t="str">
            <v>SI</v>
          </cell>
        </row>
        <row r="50">
          <cell r="A50">
            <v>7731</v>
          </cell>
          <cell r="B50" t="str">
            <v>X</v>
          </cell>
          <cell r="C50" t="str">
            <v>X</v>
          </cell>
          <cell r="D50" t="str">
            <v>Pasta Lensi</v>
          </cell>
          <cell r="E50" t="str">
            <v>Astucci Lenus Cick Pea - ord. 49792</v>
          </cell>
          <cell r="F50"/>
          <cell r="G50"/>
          <cell r="H50"/>
          <cell r="I50" t="str">
            <v>111 x 45 x 170</v>
          </cell>
          <cell r="J50">
            <v>30000</v>
          </cell>
          <cell r="K50" t="str">
            <v>3.750 fogli</v>
          </cell>
          <cell r="L50">
            <v>1</v>
          </cell>
          <cell r="M50">
            <v>44774</v>
          </cell>
          <cell r="N50"/>
          <cell r="O50"/>
          <cell r="P50" t="str">
            <v>962 400 103,5x66</v>
          </cell>
          <cell r="Q50" t="str">
            <v>NO</v>
          </cell>
          <cell r="R50" t="str">
            <v>4Q + 2P</v>
          </cell>
          <cell r="S50" t="str">
            <v>V.ce lucida</v>
          </cell>
          <cell r="T50" t="str">
            <v>Esistente</v>
          </cell>
          <cell r="U50" t="str">
            <v>Esistente</v>
          </cell>
          <cell r="V50" t="str">
            <v>NO</v>
          </cell>
          <cell r="W50" t="str">
            <v>SI</v>
          </cell>
        </row>
        <row r="51">
          <cell r="A51">
            <v>7741</v>
          </cell>
          <cell r="B51" t="str">
            <v>X</v>
          </cell>
          <cell r="C51" t="str">
            <v>X</v>
          </cell>
          <cell r="D51" t="str">
            <v>Nero Nobile</v>
          </cell>
          <cell r="E51" t="str">
            <v>Astucci Il mio caffè FS0383 - ord. 512</v>
          </cell>
          <cell r="F51"/>
          <cell r="G51"/>
          <cell r="H51"/>
          <cell r="I51"/>
          <cell r="J51">
            <v>12000</v>
          </cell>
          <cell r="K51" t="str">
            <v>3.000 fogli</v>
          </cell>
          <cell r="L51">
            <v>1</v>
          </cell>
          <cell r="M51">
            <v>44775</v>
          </cell>
          <cell r="N51"/>
          <cell r="O51"/>
          <cell r="P51" t="str">
            <v>GC2 270 51,5x75</v>
          </cell>
          <cell r="Q51" t="str">
            <v>NO</v>
          </cell>
          <cell r="R51" t="str">
            <v>4Q</v>
          </cell>
          <cell r="S51" t="str">
            <v>V.ce opaca</v>
          </cell>
          <cell r="T51" t="str">
            <v>Esistente</v>
          </cell>
          <cell r="U51" t="str">
            <v>Esistente</v>
          </cell>
          <cell r="V51" t="str">
            <v>Si</v>
          </cell>
          <cell r="W51" t="str">
            <v>NO</v>
          </cell>
        </row>
        <row r="52">
          <cell r="A52">
            <v>7756</v>
          </cell>
          <cell r="B52" t="str">
            <v>x</v>
          </cell>
          <cell r="C52" t="str">
            <v>x</v>
          </cell>
          <cell r="D52" t="str">
            <v>Quaranta</v>
          </cell>
          <cell r="E52" t="str">
            <v>Astucci Cappuccetti 40</v>
          </cell>
          <cell r="F52"/>
          <cell r="G52"/>
          <cell r="H52"/>
          <cell r="I52"/>
          <cell r="J52">
            <v>75000</v>
          </cell>
          <cell r="K52" t="str">
            <v>15.000 fogli</v>
          </cell>
          <cell r="L52">
            <v>1</v>
          </cell>
          <cell r="M52">
            <v>44775</v>
          </cell>
          <cell r="N52"/>
          <cell r="O52"/>
          <cell r="P52" t="str">
            <v>113 320</v>
          </cell>
          <cell r="Q52" t="str">
            <v>NO</v>
          </cell>
          <cell r="R52" t="str">
            <v>4Q + 1P</v>
          </cell>
          <cell r="S52" t="str">
            <v>V.ce + OC + UV</v>
          </cell>
          <cell r="T52" t="str">
            <v>Esistente</v>
          </cell>
          <cell r="U52" t="str">
            <v>Esistente</v>
          </cell>
          <cell r="V52" t="str">
            <v>NO</v>
          </cell>
          <cell r="W52" t="str">
            <v>NO</v>
          </cell>
        </row>
        <row r="53">
          <cell r="A53">
            <v>7757</v>
          </cell>
          <cell r="B53" t="str">
            <v>x</v>
          </cell>
          <cell r="C53" t="str">
            <v>X</v>
          </cell>
          <cell r="D53" t="str">
            <v>Quaranta</v>
          </cell>
          <cell r="E53" t="str">
            <v>Astucci Fascette D36</v>
          </cell>
          <cell r="F53"/>
          <cell r="G53"/>
          <cell r="H53"/>
          <cell r="I53"/>
          <cell r="J53">
            <v>180000</v>
          </cell>
          <cell r="K53" t="str">
            <v>11.250 fogli</v>
          </cell>
          <cell r="L53">
            <v>1</v>
          </cell>
          <cell r="M53">
            <v>44775</v>
          </cell>
          <cell r="N53"/>
          <cell r="O53"/>
          <cell r="P53" t="str">
            <v>113 320</v>
          </cell>
          <cell r="Q53" t="str">
            <v>NO</v>
          </cell>
          <cell r="R53" t="str">
            <v>4Q + 1P</v>
          </cell>
          <cell r="S53" t="str">
            <v>V.ce + OC + UV</v>
          </cell>
          <cell r="T53" t="str">
            <v>Esistente</v>
          </cell>
          <cell r="U53" t="str">
            <v>Esistente</v>
          </cell>
          <cell r="V53" t="str">
            <v>NO</v>
          </cell>
          <cell r="W53" t="str">
            <v>NO</v>
          </cell>
        </row>
        <row r="54">
          <cell r="A54">
            <v>7758</v>
          </cell>
          <cell r="B54" t="str">
            <v>X</v>
          </cell>
          <cell r="C54" t="str">
            <v>X</v>
          </cell>
          <cell r="D54" t="str">
            <v>Quaranta</v>
          </cell>
          <cell r="E54" t="str">
            <v>Astucci Fascette D41</v>
          </cell>
          <cell r="F54"/>
          <cell r="G54"/>
          <cell r="H54"/>
          <cell r="I54"/>
          <cell r="J54">
            <v>40000</v>
          </cell>
          <cell r="K54" t="str">
            <v>2.500 fogli</v>
          </cell>
          <cell r="L54">
            <v>1</v>
          </cell>
          <cell r="M54">
            <v>44775</v>
          </cell>
          <cell r="N54"/>
          <cell r="O54"/>
          <cell r="P54" t="str">
            <v>113 320</v>
          </cell>
          <cell r="Q54" t="str">
            <v>NO</v>
          </cell>
          <cell r="R54" t="str">
            <v>4Q + 1P</v>
          </cell>
          <cell r="S54" t="str">
            <v>V.ce + OC + UV</v>
          </cell>
          <cell r="T54" t="str">
            <v>Esistente</v>
          </cell>
          <cell r="U54" t="str">
            <v>Esistente</v>
          </cell>
          <cell r="V54" t="str">
            <v>NO</v>
          </cell>
          <cell r="W54" t="str">
            <v>NO</v>
          </cell>
        </row>
        <row r="55">
          <cell r="A55">
            <v>7725</v>
          </cell>
          <cell r="B55" t="str">
            <v>X</v>
          </cell>
          <cell r="C55" t="str">
            <v>X</v>
          </cell>
          <cell r="D55" t="str">
            <v>Essegel</v>
          </cell>
          <cell r="E55" t="str">
            <v>Astucci 10 Ghiaccioli Nuova misura</v>
          </cell>
          <cell r="F55"/>
          <cell r="G55"/>
          <cell r="H55"/>
          <cell r="I55"/>
          <cell r="J55">
            <v>200000</v>
          </cell>
          <cell r="K55" t="str">
            <v>50.000 fogli</v>
          </cell>
          <cell r="L55">
            <v>1</v>
          </cell>
          <cell r="M55">
            <v>44777</v>
          </cell>
          <cell r="N55"/>
          <cell r="O55"/>
          <cell r="P55" t="str">
            <v>112 400 60x106</v>
          </cell>
          <cell r="Q55" t="str">
            <v>NO</v>
          </cell>
          <cell r="R55" t="str">
            <v>4Q</v>
          </cell>
          <cell r="S55" t="str">
            <v>V.ce lucida</v>
          </cell>
          <cell r="T55" t="str">
            <v>Esistente</v>
          </cell>
          <cell r="U55" t="str">
            <v>Esistente</v>
          </cell>
          <cell r="V55" t="str">
            <v>Si</v>
          </cell>
          <cell r="W55" t="str">
            <v>NO</v>
          </cell>
        </row>
        <row r="56">
          <cell r="A56">
            <v>7756</v>
          </cell>
          <cell r="B56" t="str">
            <v>X</v>
          </cell>
          <cell r="C56" t="str">
            <v>X</v>
          </cell>
          <cell r="D56" t="str">
            <v>Pasta Lensi</v>
          </cell>
          <cell r="E56" t="str">
            <v>Astucci Lenus Yellow Lentil - ord. 49899</v>
          </cell>
          <cell r="F56"/>
          <cell r="G56"/>
          <cell r="H56"/>
          <cell r="I56" t="str">
            <v>111 x 45 x 170</v>
          </cell>
          <cell r="J56">
            <v>30000</v>
          </cell>
          <cell r="K56" t="str">
            <v>3.750 fogli</v>
          </cell>
          <cell r="L56">
            <v>1</v>
          </cell>
          <cell r="M56">
            <v>44778</v>
          </cell>
          <cell r="N56"/>
          <cell r="O56"/>
          <cell r="P56" t="str">
            <v>962 350 103,5x66</v>
          </cell>
          <cell r="Q56" t="str">
            <v>NO</v>
          </cell>
          <cell r="R56" t="str">
            <v>4Q + 2P</v>
          </cell>
          <cell r="S56" t="str">
            <v>V.ce lucida</v>
          </cell>
          <cell r="T56" t="str">
            <v>Esistente</v>
          </cell>
          <cell r="U56" t="str">
            <v>Esistente</v>
          </cell>
          <cell r="V56" t="str">
            <v>NO</v>
          </cell>
          <cell r="W56" t="str">
            <v>Si</v>
          </cell>
        </row>
        <row r="57">
          <cell r="A57">
            <v>7748</v>
          </cell>
          <cell r="B57" t="str">
            <v>X</v>
          </cell>
          <cell r="C57" t="str">
            <v>X</v>
          </cell>
          <cell r="D57" t="str">
            <v>Quaranta</v>
          </cell>
          <cell r="E57" t="str">
            <v>Astucci Cappuccino Stecche</v>
          </cell>
          <cell r="F57"/>
          <cell r="G57"/>
          <cell r="H57"/>
          <cell r="I57"/>
          <cell r="J57">
            <v>25000</v>
          </cell>
          <cell r="K57" t="str">
            <v>2.500 fogli</v>
          </cell>
          <cell r="L57">
            <v>1</v>
          </cell>
          <cell r="M57">
            <v>44778</v>
          </cell>
          <cell r="N57"/>
          <cell r="O57"/>
          <cell r="P57" t="str">
            <v>113 320</v>
          </cell>
          <cell r="Q57" t="str">
            <v>NO</v>
          </cell>
          <cell r="R57" t="str">
            <v>4Q + 1P</v>
          </cell>
          <cell r="S57" t="str">
            <v>V.ce lucida</v>
          </cell>
          <cell r="T57" t="str">
            <v>Esistente</v>
          </cell>
          <cell r="U57" t="str">
            <v>Esistente</v>
          </cell>
          <cell r="V57" t="str">
            <v>NO</v>
          </cell>
          <cell r="W57" t="str">
            <v>NO</v>
          </cell>
        </row>
        <row r="58">
          <cell r="A58">
            <v>7629</v>
          </cell>
          <cell r="B58" t="str">
            <v>X</v>
          </cell>
          <cell r="C58" t="str">
            <v>X</v>
          </cell>
          <cell r="D58" t="str">
            <v>Quaranta</v>
          </cell>
          <cell r="E58" t="str">
            <v>Cartigli Waiterose</v>
          </cell>
          <cell r="F58"/>
          <cell r="G58"/>
          <cell r="H58"/>
          <cell r="I58"/>
          <cell r="J58">
            <v>138000</v>
          </cell>
          <cell r="K58" t="str">
            <v>5.000 fogli</v>
          </cell>
          <cell r="L58">
            <v>3</v>
          </cell>
          <cell r="M58">
            <v>44781</v>
          </cell>
          <cell r="N58"/>
          <cell r="O58"/>
          <cell r="P58" t="str">
            <v>Sir 270 71x101</v>
          </cell>
          <cell r="Q58" t="str">
            <v>SI</v>
          </cell>
          <cell r="R58" t="str">
            <v>2P + OC</v>
          </cell>
          <cell r="S58" t="str">
            <v>V.ce retri</v>
          </cell>
          <cell r="T58" t="str">
            <v>Esistente</v>
          </cell>
          <cell r="U58" t="str">
            <v>Esistente</v>
          </cell>
          <cell r="V58" t="str">
            <v>NO</v>
          </cell>
          <cell r="W58" t="str">
            <v>NO</v>
          </cell>
        </row>
        <row r="59">
          <cell r="A59">
            <v>7691</v>
          </cell>
          <cell r="B59" t="str">
            <v>X</v>
          </cell>
          <cell r="C59" t="str">
            <v>X</v>
          </cell>
          <cell r="D59" t="str">
            <v>Quaranta</v>
          </cell>
          <cell r="E59" t="str">
            <v>Espositore Dolciando</v>
          </cell>
          <cell r="F59"/>
          <cell r="G59"/>
          <cell r="H59"/>
          <cell r="I59"/>
          <cell r="J59">
            <v>3000</v>
          </cell>
          <cell r="K59" t="str">
            <v>3.000 fogli</v>
          </cell>
          <cell r="L59">
            <v>1</v>
          </cell>
          <cell r="M59">
            <v>44794</v>
          </cell>
          <cell r="N59"/>
          <cell r="O59"/>
          <cell r="P59" t="str">
            <v>115 250</v>
          </cell>
          <cell r="Q59" t="str">
            <v>NO</v>
          </cell>
          <cell r="R59" t="str">
            <v>3P</v>
          </cell>
          <cell r="S59" t="str">
            <v>V.ce lucida</v>
          </cell>
          <cell r="T59" t="str">
            <v>Esistente</v>
          </cell>
          <cell r="U59" t="str">
            <v>Esistente</v>
          </cell>
          <cell r="V59" t="str">
            <v>SI</v>
          </cell>
          <cell r="W59" t="str">
            <v>NO</v>
          </cell>
        </row>
        <row r="60">
          <cell r="A60">
            <v>7750</v>
          </cell>
          <cell r="B60" t="str">
            <v>X</v>
          </cell>
          <cell r="C60" t="str">
            <v>X</v>
          </cell>
          <cell r="D60" t="str">
            <v>Cizeta</v>
          </cell>
          <cell r="E60" t="str">
            <v>Inserti Piccoli CZ</v>
          </cell>
          <cell r="F60"/>
          <cell r="G60"/>
          <cell r="H60"/>
          <cell r="I60"/>
          <cell r="J60">
            <v>10000</v>
          </cell>
          <cell r="K60" t="str">
            <v>2.000 fogli</v>
          </cell>
          <cell r="L60">
            <v>1</v>
          </cell>
          <cell r="M60">
            <v>44795</v>
          </cell>
          <cell r="N60"/>
          <cell r="O60"/>
          <cell r="P60" t="str">
            <v>GC1 250</v>
          </cell>
          <cell r="Q60" t="str">
            <v>NO</v>
          </cell>
          <cell r="R60" t="str">
            <v>4Q</v>
          </cell>
          <cell r="S60" t="str">
            <v>V.ce lucida</v>
          </cell>
          <cell r="T60" t="str">
            <v>Esistente</v>
          </cell>
          <cell r="U60" t="str">
            <v>Esistente</v>
          </cell>
          <cell r="V60" t="str">
            <v>SI</v>
          </cell>
          <cell r="W60" t="str">
            <v>NO</v>
          </cell>
        </row>
        <row r="61">
          <cell r="A61">
            <v>7745</v>
          </cell>
          <cell r="B61" t="str">
            <v>X</v>
          </cell>
          <cell r="C61" t="str">
            <v>X</v>
          </cell>
          <cell r="D61" t="str">
            <v>Nero Nobile</v>
          </cell>
          <cell r="E61" t="str">
            <v>Astucci Yespresso FS0380 - ord. 526</v>
          </cell>
          <cell r="F61"/>
          <cell r="G61"/>
          <cell r="H61"/>
          <cell r="I61"/>
          <cell r="J61">
            <v>20000</v>
          </cell>
          <cell r="K61" t="str">
            <v>5.000 fogli</v>
          </cell>
          <cell r="L61">
            <v>1</v>
          </cell>
          <cell r="M61">
            <v>44795</v>
          </cell>
          <cell r="N61"/>
          <cell r="O61"/>
          <cell r="P61" t="str">
            <v>GC2 270 62x100,5</v>
          </cell>
          <cell r="Q61" t="str">
            <v>NO</v>
          </cell>
          <cell r="R61" t="str">
            <v>4Q + 2P</v>
          </cell>
          <cell r="S61" t="str">
            <v>UV</v>
          </cell>
          <cell r="T61" t="str">
            <v>Esistente</v>
          </cell>
          <cell r="U61" t="str">
            <v>Esistente</v>
          </cell>
          <cell r="V61" t="str">
            <v>Si</v>
          </cell>
          <cell r="W61" t="str">
            <v>NO</v>
          </cell>
        </row>
        <row r="62">
          <cell r="A62">
            <v>7677</v>
          </cell>
          <cell r="B62" t="str">
            <v>X</v>
          </cell>
          <cell r="C62" t="str">
            <v>X</v>
          </cell>
          <cell r="D62" t="str">
            <v>Quaranta</v>
          </cell>
          <cell r="E62" t="str">
            <v>Astucci Eurospin</v>
          </cell>
          <cell r="F62"/>
          <cell r="G62"/>
          <cell r="H62"/>
          <cell r="I62"/>
          <cell r="J62">
            <v>292000</v>
          </cell>
          <cell r="K62" t="str">
            <v>36.500 fogli</v>
          </cell>
          <cell r="L62">
            <v>2</v>
          </cell>
          <cell r="M62">
            <v>44795</v>
          </cell>
          <cell r="N62"/>
          <cell r="O62"/>
          <cell r="P62" t="str">
            <v>113 350</v>
          </cell>
          <cell r="Q62" t="str">
            <v>NO</v>
          </cell>
          <cell r="R62" t="str">
            <v>4Q + 2P</v>
          </cell>
          <cell r="S62" t="str">
            <v>V.ce lucida</v>
          </cell>
          <cell r="T62" t="str">
            <v>Esistente</v>
          </cell>
          <cell r="U62" t="str">
            <v>Esistente</v>
          </cell>
          <cell r="V62" t="str">
            <v>NO</v>
          </cell>
          <cell r="W62" t="str">
            <v>NO</v>
          </cell>
        </row>
        <row r="63">
          <cell r="A63">
            <v>7729</v>
          </cell>
          <cell r="B63" t="str">
            <v>X</v>
          </cell>
          <cell r="C63" t="str">
            <v>X</v>
          </cell>
          <cell r="D63" t="str">
            <v>RCM</v>
          </cell>
          <cell r="E63" t="str">
            <v>Astucci Australian Gold</v>
          </cell>
          <cell r="F63"/>
          <cell r="G63"/>
          <cell r="H63"/>
          <cell r="I63"/>
          <cell r="J63">
            <v>34000</v>
          </cell>
          <cell r="K63" t="str">
            <v>3.400 fogli</v>
          </cell>
          <cell r="L63">
            <v>1</v>
          </cell>
          <cell r="M63">
            <v>44795</v>
          </cell>
          <cell r="N63"/>
          <cell r="O63"/>
          <cell r="P63" t="str">
            <v>GC1 300</v>
          </cell>
          <cell r="Q63" t="str">
            <v>Si</v>
          </cell>
          <cell r="R63" t="str">
            <v>1P</v>
          </cell>
          <cell r="S63" t="str">
            <v>PL + AC</v>
          </cell>
          <cell r="T63" t="str">
            <v xml:space="preserve">Nuovo </v>
          </cell>
          <cell r="U63" t="str">
            <v>Nuova</v>
          </cell>
          <cell r="V63" t="str">
            <v>NO</v>
          </cell>
          <cell r="W63" t="str">
            <v>NO</v>
          </cell>
        </row>
        <row r="64">
          <cell r="A64">
            <v>7729</v>
          </cell>
          <cell r="B64" t="str">
            <v>X</v>
          </cell>
          <cell r="C64" t="str">
            <v>X</v>
          </cell>
          <cell r="D64" t="str">
            <v>RCM</v>
          </cell>
          <cell r="E64" t="str">
            <v>SIM Australian Gold</v>
          </cell>
          <cell r="F64"/>
          <cell r="G64"/>
          <cell r="H64"/>
          <cell r="I64"/>
          <cell r="J64">
            <v>5100</v>
          </cell>
          <cell r="K64" t="str">
            <v>1.700 fogli</v>
          </cell>
          <cell r="L64">
            <v>2</v>
          </cell>
          <cell r="M64">
            <v>44795</v>
          </cell>
          <cell r="N64"/>
          <cell r="O64"/>
          <cell r="P64" t="str">
            <v>GC1 300</v>
          </cell>
          <cell r="Q64" t="str">
            <v>Si</v>
          </cell>
          <cell r="R64" t="str">
            <v>1P</v>
          </cell>
          <cell r="S64" t="str">
            <v>-</v>
          </cell>
          <cell r="T64" t="str">
            <v>-</v>
          </cell>
          <cell r="U64" t="str">
            <v>Nuova</v>
          </cell>
          <cell r="V64" t="str">
            <v>NO</v>
          </cell>
          <cell r="W64" t="str">
            <v>NO</v>
          </cell>
        </row>
        <row r="65">
          <cell r="A65">
            <v>7729</v>
          </cell>
          <cell r="B65" t="str">
            <v>X</v>
          </cell>
          <cell r="C65" t="str">
            <v>X</v>
          </cell>
          <cell r="D65" t="str">
            <v>RCM</v>
          </cell>
          <cell r="E65" t="str">
            <v>Interni Australian Gold</v>
          </cell>
          <cell r="F65"/>
          <cell r="G65"/>
          <cell r="H65"/>
          <cell r="I65"/>
          <cell r="J65">
            <v>27000</v>
          </cell>
          <cell r="K65" t="str">
            <v>1.428 fogli</v>
          </cell>
          <cell r="L65">
            <v>1</v>
          </cell>
          <cell r="M65">
            <v>44795</v>
          </cell>
          <cell r="N65"/>
          <cell r="O65"/>
          <cell r="P65" t="str">
            <v>NEP NEP</v>
          </cell>
          <cell r="Q65" t="str">
            <v>NO</v>
          </cell>
          <cell r="R65" t="str">
            <v>-</v>
          </cell>
          <cell r="S65" t="str">
            <v>-</v>
          </cell>
          <cell r="T65" t="str">
            <v>-</v>
          </cell>
          <cell r="U65" t="str">
            <v>Nuova</v>
          </cell>
          <cell r="V65" t="str">
            <v>NO</v>
          </cell>
          <cell r="W65" t="str">
            <v>NO</v>
          </cell>
        </row>
        <row r="66">
          <cell r="A66">
            <v>7649</v>
          </cell>
          <cell r="B66" t="str">
            <v>X</v>
          </cell>
          <cell r="C66" t="str">
            <v>X</v>
          </cell>
          <cell r="D66" t="str">
            <v>Gandola</v>
          </cell>
          <cell r="E66" t="str">
            <v>Astucci Scotti</v>
          </cell>
          <cell r="F66"/>
          <cell r="G66"/>
          <cell r="H66"/>
          <cell r="I66"/>
          <cell r="J66">
            <v>200000</v>
          </cell>
          <cell r="K66" t="str">
            <v>33.340 fogli</v>
          </cell>
          <cell r="L66">
            <v>1</v>
          </cell>
          <cell r="M66">
            <v>44796</v>
          </cell>
          <cell r="N66"/>
          <cell r="O66"/>
          <cell r="P66" t="str">
            <v>112 400</v>
          </cell>
          <cell r="Q66" t="str">
            <v>NO</v>
          </cell>
          <cell r="R66" t="str">
            <v>4Q + 1P</v>
          </cell>
          <cell r="S66" t="str">
            <v>V.ce lucida</v>
          </cell>
          <cell r="T66" t="str">
            <v>Esistente</v>
          </cell>
          <cell r="U66" t="str">
            <v>Esistente</v>
          </cell>
          <cell r="V66" t="str">
            <v>Si</v>
          </cell>
          <cell r="W66" t="str">
            <v>NO</v>
          </cell>
        </row>
        <row r="67">
          <cell r="A67">
            <v>7704</v>
          </cell>
          <cell r="B67" t="str">
            <v>X</v>
          </cell>
          <cell r="C67" t="str">
            <v>X</v>
          </cell>
          <cell r="D67" t="str">
            <v>JBS</v>
          </cell>
          <cell r="E67" t="str">
            <v>Buste Symfoni Tights</v>
          </cell>
          <cell r="F67"/>
          <cell r="G67"/>
          <cell r="H67"/>
          <cell r="I67"/>
          <cell r="J67">
            <v>20400</v>
          </cell>
          <cell r="K67" t="str">
            <v>5.100 fogli</v>
          </cell>
          <cell r="L67">
            <v>2</v>
          </cell>
          <cell r="M67">
            <v>44796</v>
          </cell>
          <cell r="N67"/>
          <cell r="O67"/>
          <cell r="P67" t="str">
            <v>GC1 250</v>
          </cell>
          <cell r="Q67" t="str">
            <v>NO</v>
          </cell>
          <cell r="R67" t="str">
            <v>4Q</v>
          </cell>
          <cell r="S67" t="str">
            <v>V.ce opaca</v>
          </cell>
          <cell r="T67" t="str">
            <v>Esistente</v>
          </cell>
          <cell r="U67" t="str">
            <v>Esistente</v>
          </cell>
          <cell r="V67" t="str">
            <v>SI</v>
          </cell>
          <cell r="W67" t="str">
            <v>NO</v>
          </cell>
        </row>
        <row r="68">
          <cell r="A68">
            <v>7755</v>
          </cell>
          <cell r="B68" t="str">
            <v>X</v>
          </cell>
          <cell r="C68" t="str">
            <v>X</v>
          </cell>
          <cell r="D68" t="str">
            <v>Nero Nobile</v>
          </cell>
          <cell r="E68" t="str">
            <v>Astucci Caffè Italiano FS0380 - ord. 529</v>
          </cell>
          <cell r="F68"/>
          <cell r="G68"/>
          <cell r="H68"/>
          <cell r="I68"/>
          <cell r="J68">
            <v>66000</v>
          </cell>
          <cell r="K68" t="str">
            <v>16.500 fogli</v>
          </cell>
          <cell r="L68">
            <v>5</v>
          </cell>
          <cell r="M68">
            <v>44797</v>
          </cell>
          <cell r="N68"/>
          <cell r="O68"/>
          <cell r="P68" t="str">
            <v>GC2 270 62x100,5</v>
          </cell>
          <cell r="Q68" t="str">
            <v>NO</v>
          </cell>
          <cell r="R68" t="str">
            <v>4Q + 3P</v>
          </cell>
          <cell r="S68" t="str">
            <v>V.ce opaca</v>
          </cell>
          <cell r="T68" t="str">
            <v>Esistente</v>
          </cell>
          <cell r="U68" t="str">
            <v>Esistente</v>
          </cell>
          <cell r="V68" t="str">
            <v>SI</v>
          </cell>
          <cell r="W68" t="str">
            <v>NO</v>
          </cell>
        </row>
        <row r="69">
          <cell r="A69">
            <v>7697</v>
          </cell>
          <cell r="B69" t="str">
            <v>X</v>
          </cell>
          <cell r="C69" t="str">
            <v>X</v>
          </cell>
          <cell r="D69" t="str">
            <v>Pasta Lensi</v>
          </cell>
          <cell r="E69" t="str">
            <v>Astucci Morrison Penne - ord. 49710</v>
          </cell>
          <cell r="F69"/>
          <cell r="G69"/>
          <cell r="H69"/>
          <cell r="I69" t="str">
            <v>127 X 63 X 200</v>
          </cell>
          <cell r="J69">
            <v>70000</v>
          </cell>
          <cell r="K69" t="str">
            <v>17.500 fogli</v>
          </cell>
          <cell r="L69">
            <v>1</v>
          </cell>
          <cell r="M69">
            <v>44798</v>
          </cell>
          <cell r="N69"/>
          <cell r="O69"/>
          <cell r="P69" t="str">
            <v>962 350 66,5x79</v>
          </cell>
          <cell r="Q69" t="str">
            <v>NO</v>
          </cell>
          <cell r="R69" t="str">
            <v>4Q + 2P</v>
          </cell>
          <cell r="S69" t="str">
            <v>V.ce opaca</v>
          </cell>
          <cell r="T69" t="str">
            <v>Esistente</v>
          </cell>
          <cell r="U69" t="str">
            <v>Esistente</v>
          </cell>
          <cell r="V69" t="str">
            <v>NO</v>
          </cell>
          <cell r="W69" t="str">
            <v>NO</v>
          </cell>
        </row>
        <row r="70">
          <cell r="A70">
            <v>7697</v>
          </cell>
          <cell r="B70" t="str">
            <v>X</v>
          </cell>
          <cell r="C70" t="str">
            <v>X</v>
          </cell>
          <cell r="D70" t="str">
            <v>Pasta Lensi</v>
          </cell>
          <cell r="E70" t="str">
            <v>Astucci Morrison Macaroni - ord. 49710</v>
          </cell>
          <cell r="F70"/>
          <cell r="G70"/>
          <cell r="H70"/>
          <cell r="I70" t="str">
            <v>127 X 63 X 200</v>
          </cell>
          <cell r="J70">
            <v>65000</v>
          </cell>
          <cell r="K70" t="str">
            <v>16.250 fogli</v>
          </cell>
          <cell r="L70">
            <v>1</v>
          </cell>
          <cell r="M70">
            <v>44798</v>
          </cell>
          <cell r="N70"/>
          <cell r="O70"/>
          <cell r="P70" t="str">
            <v>962 350 66,5x79</v>
          </cell>
          <cell r="Q70" t="str">
            <v>NO</v>
          </cell>
          <cell r="R70" t="str">
            <v>4Q + 2P</v>
          </cell>
          <cell r="S70" t="str">
            <v>V.ce opaca</v>
          </cell>
          <cell r="T70" t="str">
            <v>Esistente</v>
          </cell>
          <cell r="U70" t="str">
            <v>Esistente</v>
          </cell>
          <cell r="V70" t="str">
            <v>NO</v>
          </cell>
          <cell r="W70" t="str">
            <v>NO</v>
          </cell>
        </row>
        <row r="71">
          <cell r="A71">
            <v>7645</v>
          </cell>
          <cell r="B71" t="str">
            <v>X</v>
          </cell>
          <cell r="C71" t="str">
            <v>X</v>
          </cell>
          <cell r="D71" t="str">
            <v>Pantytex</v>
          </cell>
          <cell r="E71" t="str">
            <v>Astucci Kruidvart D40</v>
          </cell>
          <cell r="F71"/>
          <cell r="G71"/>
          <cell r="H71"/>
          <cell r="I71"/>
          <cell r="J71">
            <v>18000</v>
          </cell>
          <cell r="K71" t="str">
            <v>4.500 fogli</v>
          </cell>
          <cell r="L71">
            <v>1</v>
          </cell>
          <cell r="M71">
            <v>44801</v>
          </cell>
          <cell r="N71"/>
          <cell r="O71"/>
          <cell r="P71" t="str">
            <v>GC1 250 57x61</v>
          </cell>
          <cell r="Q71" t="str">
            <v>NO</v>
          </cell>
          <cell r="R71" t="str">
            <v>4Q + 1P</v>
          </cell>
          <cell r="S71" t="str">
            <v>V.ce opaca</v>
          </cell>
          <cell r="T71" t="str">
            <v>Esistente</v>
          </cell>
          <cell r="U71" t="str">
            <v>Esistente</v>
          </cell>
          <cell r="V71" t="str">
            <v>NO</v>
          </cell>
          <cell r="W71" t="str">
            <v>NO</v>
          </cell>
        </row>
        <row r="72">
          <cell r="A72">
            <v>7646</v>
          </cell>
          <cell r="B72" t="str">
            <v>X</v>
          </cell>
          <cell r="C72" t="str">
            <v>X</v>
          </cell>
          <cell r="D72" t="str">
            <v>Pantytex</v>
          </cell>
          <cell r="E72" t="str">
            <v>Astucci kruidvart D35</v>
          </cell>
          <cell r="F72"/>
          <cell r="G72"/>
          <cell r="H72"/>
          <cell r="I72"/>
          <cell r="J72">
            <v>30000</v>
          </cell>
          <cell r="K72" t="str">
            <v>5.000 fogli</v>
          </cell>
          <cell r="L72">
            <v>1</v>
          </cell>
          <cell r="M72">
            <v>44801</v>
          </cell>
          <cell r="N72"/>
          <cell r="O72"/>
          <cell r="P72" t="str">
            <v>GC1 250 55x86,5</v>
          </cell>
          <cell r="Q72" t="str">
            <v>NO</v>
          </cell>
          <cell r="R72" t="str">
            <v>4Q + 2P</v>
          </cell>
          <cell r="S72" t="str">
            <v>V.ce opaca</v>
          </cell>
          <cell r="T72" t="str">
            <v>Esistente</v>
          </cell>
          <cell r="U72" t="str">
            <v>Esistente</v>
          </cell>
          <cell r="V72" t="str">
            <v>NO</v>
          </cell>
          <cell r="W72" t="str">
            <v>NO</v>
          </cell>
        </row>
        <row r="73">
          <cell r="A73">
            <v>7579</v>
          </cell>
          <cell r="B73" t="str">
            <v>X</v>
          </cell>
          <cell r="C73" t="str">
            <v>X</v>
          </cell>
          <cell r="D73" t="str">
            <v>Pantytex</v>
          </cell>
          <cell r="E73" t="str">
            <v>Appendini Action D25</v>
          </cell>
          <cell r="F73"/>
          <cell r="G73"/>
          <cell r="H73"/>
          <cell r="I73"/>
          <cell r="J73">
            <v>160000</v>
          </cell>
          <cell r="K73" t="str">
            <v>16.000 fogli</v>
          </cell>
          <cell r="L73">
            <v>2</v>
          </cell>
          <cell r="M73">
            <v>44801</v>
          </cell>
          <cell r="N73"/>
          <cell r="O73"/>
          <cell r="P73" t="str">
            <v>GC2 250</v>
          </cell>
          <cell r="Q73" t="str">
            <v>NO</v>
          </cell>
          <cell r="R73" t="str">
            <v>4Q</v>
          </cell>
          <cell r="S73" t="str">
            <v>UV</v>
          </cell>
          <cell r="T73" t="str">
            <v>Esistente</v>
          </cell>
          <cell r="U73" t="str">
            <v>Esistente</v>
          </cell>
          <cell r="V73" t="str">
            <v>SI</v>
          </cell>
          <cell r="W73" t="str">
            <v>NO</v>
          </cell>
        </row>
        <row r="74">
          <cell r="A74">
            <v>7581</v>
          </cell>
          <cell r="B74" t="str">
            <v>X</v>
          </cell>
          <cell r="C74" t="str">
            <v>X</v>
          </cell>
          <cell r="D74" t="str">
            <v>Pantytex</v>
          </cell>
          <cell r="E74" t="str">
            <v>Astucci Action D33</v>
          </cell>
          <cell r="F74"/>
          <cell r="G74"/>
          <cell r="H74"/>
          <cell r="I74"/>
          <cell r="J74">
            <v>123750</v>
          </cell>
          <cell r="K74" t="str">
            <v>13.750 fogli</v>
          </cell>
          <cell r="L74">
            <v>2</v>
          </cell>
          <cell r="M74">
            <v>44801</v>
          </cell>
          <cell r="N74"/>
          <cell r="O74"/>
          <cell r="P74" t="str">
            <v>GC2 250</v>
          </cell>
          <cell r="Q74" t="str">
            <v>NO</v>
          </cell>
          <cell r="R74" t="str">
            <v>4Q</v>
          </cell>
          <cell r="S74" t="str">
            <v>UV</v>
          </cell>
          <cell r="T74" t="str">
            <v>Esistente</v>
          </cell>
          <cell r="U74" t="str">
            <v>Esistente</v>
          </cell>
          <cell r="V74" t="str">
            <v>SI</v>
          </cell>
          <cell r="W74" t="str">
            <v>NO</v>
          </cell>
        </row>
        <row r="75">
          <cell r="A75">
            <v>7724</v>
          </cell>
          <cell r="B75" t="str">
            <v>X</v>
          </cell>
          <cell r="C75" t="str">
            <v>X</v>
          </cell>
          <cell r="D75" t="str">
            <v>Cooperativa</v>
          </cell>
          <cell r="E75" t="str">
            <v xml:space="preserve">Astucci Magum </v>
          </cell>
          <cell r="F75"/>
          <cell r="G75"/>
          <cell r="H75"/>
          <cell r="I75"/>
          <cell r="J75">
            <v>1000</v>
          </cell>
          <cell r="K75" t="str">
            <v>500 fogli</v>
          </cell>
          <cell r="L75">
            <v>1</v>
          </cell>
          <cell r="M75">
            <v>44802</v>
          </cell>
          <cell r="N75"/>
          <cell r="O75"/>
          <cell r="P75" t="str">
            <v>115 270</v>
          </cell>
          <cell r="Q75" t="str">
            <v>NO</v>
          </cell>
          <cell r="R75" t="str">
            <v>2P</v>
          </cell>
          <cell r="S75" t="str">
            <v>PO</v>
          </cell>
          <cell r="T75" t="str">
            <v>Esistente</v>
          </cell>
          <cell r="U75" t="str">
            <v>Esistente</v>
          </cell>
          <cell r="V75" t="str">
            <v>Si</v>
          </cell>
          <cell r="W75" t="str">
            <v>NO</v>
          </cell>
        </row>
        <row r="76">
          <cell r="A76">
            <v>7774</v>
          </cell>
          <cell r="B76"/>
          <cell r="C76" t="str">
            <v>X</v>
          </cell>
          <cell r="D76" t="str">
            <v>Pantytex</v>
          </cell>
          <cell r="E76" t="str">
            <v>Astucci Hema 4X</v>
          </cell>
          <cell r="F76"/>
          <cell r="G76"/>
          <cell r="H76"/>
          <cell r="I76"/>
          <cell r="J76">
            <v>50000</v>
          </cell>
          <cell r="K76" t="str">
            <v>8.400 fogli</v>
          </cell>
          <cell r="L76">
            <v>1</v>
          </cell>
          <cell r="M76">
            <v>44802</v>
          </cell>
          <cell r="N76"/>
          <cell r="O76"/>
          <cell r="P76" t="str">
            <v>GC1 250 63x90</v>
          </cell>
          <cell r="Q76" t="str">
            <v>NO</v>
          </cell>
          <cell r="R76" t="str">
            <v>4Q + 2P</v>
          </cell>
          <cell r="S76" t="str">
            <v>V.ce opaca</v>
          </cell>
          <cell r="T76" t="str">
            <v>Esistente</v>
          </cell>
          <cell r="U76" t="str">
            <v>Esistente</v>
          </cell>
          <cell r="V76" t="str">
            <v>Si</v>
          </cell>
          <cell r="W76" t="str">
            <v>NO</v>
          </cell>
        </row>
        <row r="77">
          <cell r="A77">
            <v>7727</v>
          </cell>
          <cell r="B77" t="str">
            <v>X</v>
          </cell>
          <cell r="C77" t="str">
            <v>X</v>
          </cell>
          <cell r="D77" t="str">
            <v>Toninelli</v>
          </cell>
          <cell r="E77" t="str">
            <v>Astucci Pirkka Grandi</v>
          </cell>
          <cell r="F77"/>
          <cell r="G77"/>
          <cell r="H77"/>
          <cell r="I77"/>
          <cell r="J77">
            <v>30000</v>
          </cell>
          <cell r="K77" t="str">
            <v>10.000 fogli</v>
          </cell>
          <cell r="L77">
            <v>1</v>
          </cell>
          <cell r="M77">
            <v>44802</v>
          </cell>
          <cell r="N77"/>
          <cell r="O77"/>
          <cell r="P77" t="str">
            <v>GC2 300</v>
          </cell>
          <cell r="Q77" t="str">
            <v>NO</v>
          </cell>
          <cell r="R77" t="str">
            <v>4Q + 1P</v>
          </cell>
          <cell r="S77" t="str">
            <v>V.ce lucida</v>
          </cell>
          <cell r="T77" t="str">
            <v>Esistente</v>
          </cell>
          <cell r="U77" t="str">
            <v>Esistente</v>
          </cell>
          <cell r="V77" t="str">
            <v>NO</v>
          </cell>
          <cell r="W77" t="str">
            <v>NO</v>
          </cell>
        </row>
        <row r="78">
          <cell r="A78">
            <v>7728</v>
          </cell>
          <cell r="B78" t="str">
            <v>X</v>
          </cell>
          <cell r="C78" t="str">
            <v>X</v>
          </cell>
          <cell r="D78" t="str">
            <v>Toninelli</v>
          </cell>
          <cell r="E78" t="str">
            <v>Astucci Pirkka piccoli</v>
          </cell>
          <cell r="F78"/>
          <cell r="G78"/>
          <cell r="H78"/>
          <cell r="I78"/>
          <cell r="J78">
            <v>210000</v>
          </cell>
          <cell r="K78" t="str">
            <v>13.125 fogli</v>
          </cell>
          <cell r="L78">
            <v>1</v>
          </cell>
          <cell r="M78">
            <v>44802</v>
          </cell>
          <cell r="N78"/>
          <cell r="O78"/>
          <cell r="P78" t="str">
            <v>GC2 300</v>
          </cell>
          <cell r="Q78" t="str">
            <v>NO</v>
          </cell>
          <cell r="R78" t="str">
            <v>4Q + 1P</v>
          </cell>
          <cell r="S78" t="str">
            <v>V.ce lucida</v>
          </cell>
          <cell r="T78" t="str">
            <v>Esistente</v>
          </cell>
          <cell r="U78" t="str">
            <v>Esistente</v>
          </cell>
          <cell r="V78" t="str">
            <v>NO</v>
          </cell>
          <cell r="W78" t="str">
            <v>NO</v>
          </cell>
        </row>
        <row r="79">
          <cell r="A79">
            <v>7605</v>
          </cell>
          <cell r="B79" t="str">
            <v>X</v>
          </cell>
          <cell r="C79" t="str">
            <v>X</v>
          </cell>
          <cell r="D79" t="str">
            <v>JBS</v>
          </cell>
          <cell r="E79" t="str">
            <v>Appendini Decoy D30</v>
          </cell>
          <cell r="F79"/>
          <cell r="G79"/>
          <cell r="H79"/>
          <cell r="I79"/>
          <cell r="J79">
            <v>5000</v>
          </cell>
          <cell r="K79" t="str">
            <v>1.250 fogli</v>
          </cell>
          <cell r="L79">
            <v>1</v>
          </cell>
          <cell r="M79">
            <v>44803</v>
          </cell>
          <cell r="N79" t="str">
            <v>VIOLA</v>
          </cell>
          <cell r="O79"/>
          <cell r="P79" t="str">
            <v>GC1 250</v>
          </cell>
          <cell r="Q79" t="str">
            <v>NO</v>
          </cell>
          <cell r="R79" t="str">
            <v>4Q</v>
          </cell>
          <cell r="S79" t="str">
            <v>V.ce opaca</v>
          </cell>
          <cell r="T79" t="str">
            <v>Esistente</v>
          </cell>
          <cell r="U79" t="str">
            <v>Esistente</v>
          </cell>
          <cell r="V79" t="str">
            <v>NO</v>
          </cell>
          <cell r="W79" t="str">
            <v>NO</v>
          </cell>
        </row>
        <row r="80">
          <cell r="A80">
            <v>7707</v>
          </cell>
          <cell r="B80" t="str">
            <v>X</v>
          </cell>
          <cell r="C80" t="str">
            <v>X</v>
          </cell>
          <cell r="D80" t="str">
            <v>JBS</v>
          </cell>
          <cell r="E80" t="str">
            <v>Appendini Decoy D15</v>
          </cell>
          <cell r="F80"/>
          <cell r="G80"/>
          <cell r="H80"/>
          <cell r="I80"/>
          <cell r="J80">
            <v>10000</v>
          </cell>
          <cell r="K80" t="str">
            <v>2.500 fogli</v>
          </cell>
          <cell r="L80">
            <v>1</v>
          </cell>
          <cell r="M80">
            <v>44803</v>
          </cell>
          <cell r="N80" t="str">
            <v>ILARY</v>
          </cell>
          <cell r="O80"/>
          <cell r="P80" t="str">
            <v>GC1 250 72x102</v>
          </cell>
          <cell r="Q80" t="str">
            <v>SI</v>
          </cell>
          <cell r="R80" t="str">
            <v>4Q</v>
          </cell>
          <cell r="S80" t="str">
            <v>V.ce opaca</v>
          </cell>
          <cell r="T80" t="str">
            <v>Esistente</v>
          </cell>
          <cell r="U80" t="str">
            <v>Esistente</v>
          </cell>
          <cell r="V80" t="str">
            <v>Si</v>
          </cell>
          <cell r="W80" t="str">
            <v>NO</v>
          </cell>
        </row>
        <row r="81">
          <cell r="A81">
            <v>7749</v>
          </cell>
          <cell r="B81" t="str">
            <v>X</v>
          </cell>
          <cell r="C81" t="str">
            <v>X</v>
          </cell>
          <cell r="D81" t="str">
            <v>Pasta Lensi</v>
          </cell>
          <cell r="E81" t="str">
            <v>Astucci T/G Spaghetti 410241 - ord. 49829</v>
          </cell>
          <cell r="F81"/>
          <cell r="G81"/>
          <cell r="H81"/>
          <cell r="I81" t="str">
            <v>72 X 27 X 270</v>
          </cell>
          <cell r="J81">
            <v>50000</v>
          </cell>
          <cell r="K81" t="str">
            <v>6.250 fogli</v>
          </cell>
          <cell r="L81">
            <v>1</v>
          </cell>
          <cell r="M81">
            <v>44804</v>
          </cell>
          <cell r="N81"/>
          <cell r="O81"/>
          <cell r="P81" t="str">
            <v>962 350 65,5x86,5</v>
          </cell>
          <cell r="Q81" t="str">
            <v>NO</v>
          </cell>
          <cell r="R81" t="str">
            <v>4Q + 2P</v>
          </cell>
          <cell r="S81" t="str">
            <v>V.ce lucida</v>
          </cell>
          <cell r="T81" t="str">
            <v>Esistente</v>
          </cell>
          <cell r="U81" t="str">
            <v>Esistente</v>
          </cell>
          <cell r="V81" t="str">
            <v>SI</v>
          </cell>
          <cell r="W81" t="str">
            <v>SI</v>
          </cell>
        </row>
        <row r="82">
          <cell r="A82">
            <v>7749</v>
          </cell>
          <cell r="B82" t="str">
            <v>X</v>
          </cell>
          <cell r="C82" t="str">
            <v>X</v>
          </cell>
          <cell r="D82" t="str">
            <v>Pasta Lensi</v>
          </cell>
          <cell r="E82" t="str">
            <v>Astucci MUE Spaghetti 410309 - ord. 49829</v>
          </cell>
          <cell r="F82"/>
          <cell r="G82"/>
          <cell r="H82"/>
          <cell r="I82" t="str">
            <v>72 X 27 X 270</v>
          </cell>
          <cell r="J82">
            <v>50000</v>
          </cell>
          <cell r="K82" t="str">
            <v>6.250 fogli</v>
          </cell>
          <cell r="L82">
            <v>1</v>
          </cell>
          <cell r="M82">
            <v>44804</v>
          </cell>
          <cell r="N82"/>
          <cell r="O82"/>
          <cell r="P82" t="str">
            <v>962 350 65,5x86,5</v>
          </cell>
          <cell r="Q82" t="str">
            <v>NO</v>
          </cell>
          <cell r="R82" t="str">
            <v>4Q + 2P</v>
          </cell>
          <cell r="S82" t="str">
            <v>V.ce lucida</v>
          </cell>
          <cell r="T82" t="str">
            <v>Esistente</v>
          </cell>
          <cell r="U82" t="str">
            <v>Esistente</v>
          </cell>
          <cell r="V82" t="str">
            <v>SI</v>
          </cell>
          <cell r="W82" t="str">
            <v>SI</v>
          </cell>
        </row>
        <row r="83">
          <cell r="A83">
            <v>7714</v>
          </cell>
          <cell r="B83" t="str">
            <v>X</v>
          </cell>
          <cell r="C83" t="str">
            <v>X</v>
          </cell>
          <cell r="D83" t="str">
            <v>Prontofoods</v>
          </cell>
          <cell r="E83" t="str">
            <v>Camomille Selezione più</v>
          </cell>
          <cell r="F83"/>
          <cell r="G83"/>
          <cell r="H83"/>
          <cell r="I83"/>
          <cell r="J83">
            <v>35000</v>
          </cell>
          <cell r="K83" t="str">
            <v>3.900 fogli</v>
          </cell>
          <cell r="L83">
            <v>1</v>
          </cell>
          <cell r="M83">
            <v>44804</v>
          </cell>
          <cell r="N83"/>
          <cell r="O83"/>
          <cell r="P83" t="str">
            <v>Tam 240 93,5x65,5</v>
          </cell>
          <cell r="Q83" t="str">
            <v>NO</v>
          </cell>
          <cell r="R83" t="str">
            <v>4Q + 1P</v>
          </cell>
          <cell r="S83" t="str">
            <v>V.ce lucida</v>
          </cell>
          <cell r="T83" t="str">
            <v>Esistente</v>
          </cell>
          <cell r="U83" t="str">
            <v>Esistente</v>
          </cell>
          <cell r="V83" t="str">
            <v>NO</v>
          </cell>
          <cell r="W83" t="str">
            <v>NO</v>
          </cell>
        </row>
        <row r="84">
          <cell r="A84">
            <v>7714</v>
          </cell>
          <cell r="B84" t="str">
            <v>X</v>
          </cell>
          <cell r="C84" t="str">
            <v>X</v>
          </cell>
          <cell r="D84" t="str">
            <v>Prontofoods</v>
          </cell>
          <cell r="E84" t="str">
            <v>Camomille Green Gardens</v>
          </cell>
          <cell r="F84"/>
          <cell r="G84"/>
          <cell r="H84"/>
          <cell r="I84"/>
          <cell r="J84">
            <v>50000</v>
          </cell>
          <cell r="K84" t="str">
            <v>5.600 fogli</v>
          </cell>
          <cell r="L84">
            <v>1</v>
          </cell>
          <cell r="M84">
            <v>44804</v>
          </cell>
          <cell r="N84"/>
          <cell r="O84"/>
          <cell r="P84" t="str">
            <v>Tam 240 93,5x65,5</v>
          </cell>
          <cell r="Q84" t="str">
            <v>NO</v>
          </cell>
          <cell r="R84" t="str">
            <v>4Q + 1P</v>
          </cell>
          <cell r="S84" t="str">
            <v>V.ce lucida</v>
          </cell>
          <cell r="T84" t="str">
            <v>Esistente</v>
          </cell>
          <cell r="U84" t="str">
            <v>Esistente</v>
          </cell>
          <cell r="V84" t="str">
            <v>NO</v>
          </cell>
          <cell r="W84" t="str">
            <v>NO</v>
          </cell>
        </row>
        <row r="85">
          <cell r="A85">
            <v>7736</v>
          </cell>
          <cell r="B85" t="str">
            <v>X</v>
          </cell>
          <cell r="C85" t="str">
            <v>X</v>
          </cell>
          <cell r="D85" t="str">
            <v>Prontofoods</v>
          </cell>
          <cell r="E85" t="str">
            <v>Orzo Tostato Macinato Despar</v>
          </cell>
          <cell r="F85"/>
          <cell r="G85"/>
          <cell r="H85"/>
          <cell r="I85"/>
          <cell r="J85">
            <v>25000</v>
          </cell>
          <cell r="K85" t="str">
            <v>4.200 fogli</v>
          </cell>
          <cell r="L85">
            <v>1</v>
          </cell>
          <cell r="M85">
            <v>44804</v>
          </cell>
          <cell r="N85"/>
          <cell r="O85"/>
          <cell r="P85" t="str">
            <v>962 385 60x75</v>
          </cell>
          <cell r="Q85" t="str">
            <v>NO</v>
          </cell>
          <cell r="R85" t="str">
            <v>4Q</v>
          </cell>
          <cell r="S85" t="str">
            <v>V.ce lucida</v>
          </cell>
          <cell r="T85" t="str">
            <v>Esistente</v>
          </cell>
          <cell r="U85" t="str">
            <v>Esistente</v>
          </cell>
          <cell r="V85" t="str">
            <v>NO</v>
          </cell>
          <cell r="W85" t="str">
            <v>NO</v>
          </cell>
        </row>
        <row r="86">
          <cell r="A86">
            <v>7734</v>
          </cell>
          <cell r="B86" t="str">
            <v>X</v>
          </cell>
          <cell r="C86" t="str">
            <v>x</v>
          </cell>
          <cell r="D86" t="str">
            <v>Prontofoods</v>
          </cell>
          <cell r="E86" t="str">
            <v>Zucchero di canna grezzo 500 g</v>
          </cell>
          <cell r="F86"/>
          <cell r="G86"/>
          <cell r="H86"/>
          <cell r="I86"/>
          <cell r="J86">
            <v>45000</v>
          </cell>
          <cell r="K86" t="str">
            <v>7.500 fogli</v>
          </cell>
          <cell r="L86">
            <v>1</v>
          </cell>
          <cell r="M86">
            <v>44804</v>
          </cell>
          <cell r="N86"/>
          <cell r="O86"/>
          <cell r="P86" t="str">
            <v>962 400 73x75</v>
          </cell>
          <cell r="Q86" t="str">
            <v>NO</v>
          </cell>
          <cell r="R86" t="str">
            <v>4Q + 1P</v>
          </cell>
          <cell r="S86" t="str">
            <v>PL</v>
          </cell>
          <cell r="T86" t="str">
            <v>Esistente</v>
          </cell>
          <cell r="U86" t="str">
            <v>Esistente</v>
          </cell>
          <cell r="V86" t="str">
            <v>NO</v>
          </cell>
          <cell r="W86" t="str">
            <v>SI</v>
          </cell>
        </row>
        <row r="87">
          <cell r="A87">
            <v>7735</v>
          </cell>
          <cell r="B87" t="str">
            <v>X</v>
          </cell>
          <cell r="C87" t="str">
            <v>x</v>
          </cell>
          <cell r="D87" t="str">
            <v>Prontofoods</v>
          </cell>
          <cell r="E87" t="str">
            <v>Zucchero di canna S Budget 1Kg</v>
          </cell>
          <cell r="F87"/>
          <cell r="G87"/>
          <cell r="H87"/>
          <cell r="I87"/>
          <cell r="J87">
            <v>16000</v>
          </cell>
          <cell r="K87" t="str">
            <v>4.000 fogli</v>
          </cell>
          <cell r="L87">
            <v>1</v>
          </cell>
          <cell r="M87">
            <v>44804</v>
          </cell>
          <cell r="N87"/>
          <cell r="O87"/>
          <cell r="P87" t="str">
            <v>962 450 60x75</v>
          </cell>
          <cell r="Q87" t="str">
            <v>NO</v>
          </cell>
          <cell r="R87" t="str">
            <v>4Q + 1P</v>
          </cell>
          <cell r="S87" t="str">
            <v>PL</v>
          </cell>
          <cell r="T87" t="str">
            <v>Esistente</v>
          </cell>
          <cell r="U87" t="str">
            <v>Esistente</v>
          </cell>
          <cell r="V87" t="str">
            <v>NO</v>
          </cell>
          <cell r="W87" t="str">
            <v>SI</v>
          </cell>
        </row>
        <row r="88">
          <cell r="A88">
            <v>7747</v>
          </cell>
          <cell r="B88" t="str">
            <v>N</v>
          </cell>
          <cell r="C88" t="str">
            <v>X</v>
          </cell>
          <cell r="D88" t="str">
            <v>Prontofoods</v>
          </cell>
          <cell r="E88" t="str">
            <v>Astucci camomille Desapr</v>
          </cell>
          <cell r="F88"/>
          <cell r="G88"/>
          <cell r="H88"/>
          <cell r="I88"/>
          <cell r="J88">
            <v>20000</v>
          </cell>
          <cell r="K88" t="str">
            <v>2.300 fogli</v>
          </cell>
          <cell r="L88">
            <v>1</v>
          </cell>
          <cell r="M88">
            <v>44804</v>
          </cell>
          <cell r="N88" t="str">
            <v>DATA TASSATIVA</v>
          </cell>
          <cell r="O88"/>
          <cell r="P88" t="str">
            <v>Tam 240 93,5x65,5</v>
          </cell>
          <cell r="Q88" t="str">
            <v>NO</v>
          </cell>
          <cell r="R88" t="str">
            <v>4Q</v>
          </cell>
          <cell r="S88" t="str">
            <v>V.ce lucida</v>
          </cell>
          <cell r="T88" t="str">
            <v>Esistente</v>
          </cell>
          <cell r="U88" t="str">
            <v>Esistente</v>
          </cell>
          <cell r="V88" t="str">
            <v>NO</v>
          </cell>
          <cell r="W88" t="str">
            <v>NO</v>
          </cell>
        </row>
        <row r="89">
          <cell r="A89">
            <v>7738</v>
          </cell>
          <cell r="B89" t="str">
            <v>X</v>
          </cell>
          <cell r="C89" t="str">
            <v>X</v>
          </cell>
          <cell r="D89" t="str">
            <v>RCM</v>
          </cell>
          <cell r="E89" t="str">
            <v>Astucci Nee</v>
          </cell>
          <cell r="F89"/>
          <cell r="G89"/>
          <cell r="H89"/>
          <cell r="I89"/>
          <cell r="J89">
            <v>10000</v>
          </cell>
          <cell r="K89" t="str">
            <v>1.250 fogli</v>
          </cell>
          <cell r="L89">
            <v>1</v>
          </cell>
          <cell r="M89">
            <v>44804</v>
          </cell>
          <cell r="N89"/>
          <cell r="O89"/>
          <cell r="P89" t="str">
            <v>GC1 300 72x102</v>
          </cell>
          <cell r="Q89" t="str">
            <v>SI</v>
          </cell>
          <cell r="R89" t="str">
            <v>3P</v>
          </cell>
          <cell r="S89" t="str">
            <v>PO</v>
          </cell>
          <cell r="T89" t="str">
            <v xml:space="preserve">Nuovo </v>
          </cell>
          <cell r="U89" t="str">
            <v>Nuova</v>
          </cell>
          <cell r="V89" t="str">
            <v>NO</v>
          </cell>
          <cell r="W89" t="str">
            <v>NO</v>
          </cell>
        </row>
        <row r="90">
          <cell r="A90">
            <v>7739</v>
          </cell>
          <cell r="B90" t="str">
            <v>X</v>
          </cell>
          <cell r="C90" t="str">
            <v>X</v>
          </cell>
          <cell r="D90" t="str">
            <v>RCM</v>
          </cell>
          <cell r="E90" t="str">
            <v>Astucci Nee</v>
          </cell>
          <cell r="F90"/>
          <cell r="G90"/>
          <cell r="H90"/>
          <cell r="I90"/>
          <cell r="J90">
            <v>52260</v>
          </cell>
          <cell r="K90" t="str">
            <v>4.020 fogli</v>
          </cell>
          <cell r="L90">
            <v>3</v>
          </cell>
          <cell r="M90">
            <v>44804</v>
          </cell>
          <cell r="N90"/>
          <cell r="O90"/>
          <cell r="P90" t="str">
            <v>GC1 300 72x102</v>
          </cell>
          <cell r="Q90" t="str">
            <v>SI</v>
          </cell>
          <cell r="R90" t="str">
            <v>4P</v>
          </cell>
          <cell r="S90" t="str">
            <v>PO</v>
          </cell>
          <cell r="T90" t="str">
            <v xml:space="preserve">Nuovo </v>
          </cell>
          <cell r="U90" t="str">
            <v>Nuova</v>
          </cell>
          <cell r="V90" t="str">
            <v>NO</v>
          </cell>
          <cell r="W90" t="str">
            <v>NO</v>
          </cell>
        </row>
        <row r="91">
          <cell r="A91">
            <v>7632</v>
          </cell>
          <cell r="B91" t="str">
            <v>X</v>
          </cell>
          <cell r="C91" t="str">
            <v>X</v>
          </cell>
          <cell r="D91" t="str">
            <v>Cravattificio</v>
          </cell>
          <cell r="E91" t="str">
            <v>Scatolette Papillon</v>
          </cell>
          <cell r="F91"/>
          <cell r="G91"/>
          <cell r="H91"/>
          <cell r="I91"/>
          <cell r="J91">
            <v>5000</v>
          </cell>
          <cell r="K91" t="str">
            <v>2.500 fogli</v>
          </cell>
          <cell r="L91">
            <v>1</v>
          </cell>
          <cell r="M91">
            <v>44805</v>
          </cell>
          <cell r="N91"/>
          <cell r="O91"/>
          <cell r="P91" t="str">
            <v>GC2 270</v>
          </cell>
          <cell r="Q91" t="str">
            <v>NO</v>
          </cell>
          <cell r="R91" t="str">
            <v>2P</v>
          </cell>
          <cell r="S91" t="str">
            <v>V.ce lucida</v>
          </cell>
          <cell r="T91" t="str">
            <v>Esistente</v>
          </cell>
          <cell r="U91" t="str">
            <v>Esistente</v>
          </cell>
          <cell r="V91" t="str">
            <v>SI</v>
          </cell>
          <cell r="W91" t="str">
            <v>SI</v>
          </cell>
        </row>
        <row r="92">
          <cell r="A92">
            <v>7782</v>
          </cell>
          <cell r="B92" t="str">
            <v>X</v>
          </cell>
          <cell r="C92" t="str">
            <v>X</v>
          </cell>
          <cell r="D92" t="str">
            <v>Pantytex</v>
          </cell>
          <cell r="E92" t="str">
            <v>Astucci Hema D35</v>
          </cell>
          <cell r="F92"/>
          <cell r="G92"/>
          <cell r="H92"/>
          <cell r="I92"/>
          <cell r="J92">
            <v>90000</v>
          </cell>
          <cell r="K92" t="str">
            <v>15.000 fogli</v>
          </cell>
          <cell r="L92">
            <v>2</v>
          </cell>
          <cell r="M92">
            <v>44805</v>
          </cell>
          <cell r="N92"/>
          <cell r="O92"/>
          <cell r="P92" t="str">
            <v>GC1 250</v>
          </cell>
          <cell r="Q92" t="str">
            <v>NO</v>
          </cell>
          <cell r="R92" t="str">
            <v>4Q + 2P</v>
          </cell>
          <cell r="S92" t="str">
            <v>V.ce opaca</v>
          </cell>
          <cell r="T92" t="str">
            <v>Esistente</v>
          </cell>
          <cell r="U92" t="str">
            <v>Esistente</v>
          </cell>
          <cell r="V92" t="str">
            <v>NO</v>
          </cell>
          <cell r="W92" t="str">
            <v>NO</v>
          </cell>
        </row>
        <row r="93">
          <cell r="A93">
            <v>7783</v>
          </cell>
          <cell r="B93" t="str">
            <v>X</v>
          </cell>
          <cell r="C93" t="str">
            <v>X</v>
          </cell>
          <cell r="D93" t="str">
            <v>Pantytex</v>
          </cell>
          <cell r="E93" t="str">
            <v>Astucci Hema TO GO</v>
          </cell>
          <cell r="F93"/>
          <cell r="G93"/>
          <cell r="H93"/>
          <cell r="I93"/>
          <cell r="J93">
            <v>20000</v>
          </cell>
          <cell r="K93" t="str">
            <v>3.340 fogli</v>
          </cell>
          <cell r="L93">
            <v>1</v>
          </cell>
          <cell r="M93">
            <v>44805</v>
          </cell>
          <cell r="N93"/>
          <cell r="O93"/>
          <cell r="P93" t="str">
            <v xml:space="preserve">GC1 250 </v>
          </cell>
          <cell r="Q93" t="str">
            <v>NO</v>
          </cell>
          <cell r="R93" t="str">
            <v>4Q + 1P</v>
          </cell>
          <cell r="S93" t="str">
            <v>V.ce opaca</v>
          </cell>
          <cell r="T93" t="str">
            <v>Esistente</v>
          </cell>
          <cell r="U93" t="str">
            <v>Esistente</v>
          </cell>
          <cell r="V93" t="str">
            <v>NO</v>
          </cell>
          <cell r="W93" t="str">
            <v>NO</v>
          </cell>
        </row>
        <row r="94">
          <cell r="A94">
            <v>7713</v>
          </cell>
          <cell r="B94" t="str">
            <v>X</v>
          </cell>
          <cell r="C94" t="str">
            <v>X</v>
          </cell>
          <cell r="D94" t="str">
            <v>Genny</v>
          </cell>
          <cell r="E94" t="str">
            <v>Inserti CA</v>
          </cell>
          <cell r="F94"/>
          <cell r="G94"/>
          <cell r="H94"/>
          <cell r="I94"/>
          <cell r="J94">
            <v>162500</v>
          </cell>
          <cell r="K94" t="str">
            <v>32.500 fogli</v>
          </cell>
          <cell r="L94">
            <v>4</v>
          </cell>
          <cell r="M94">
            <v>44806</v>
          </cell>
          <cell r="N94"/>
          <cell r="O94"/>
          <cell r="P94" t="str">
            <v>Sym 200 89x52</v>
          </cell>
          <cell r="Q94" t="str">
            <v>NO</v>
          </cell>
          <cell r="R94" t="str">
            <v>4Q + 2P</v>
          </cell>
          <cell r="S94" t="str">
            <v>V.ce lucida</v>
          </cell>
          <cell r="T94" t="str">
            <v>Esistente</v>
          </cell>
          <cell r="U94" t="str">
            <v>Esistente</v>
          </cell>
          <cell r="V94" t="str">
            <v>NO</v>
          </cell>
          <cell r="W94" t="str">
            <v>NO</v>
          </cell>
        </row>
        <row r="95">
          <cell r="A95">
            <v>7761</v>
          </cell>
          <cell r="B95" t="str">
            <v>X</v>
          </cell>
          <cell r="C95" t="str">
            <v>X</v>
          </cell>
          <cell r="D95" t="str">
            <v>Latteria Merano</v>
          </cell>
          <cell r="E95" t="str">
            <v>Scatole Mini Bianco</v>
          </cell>
          <cell r="F95"/>
          <cell r="G95"/>
          <cell r="H95"/>
          <cell r="I95"/>
          <cell r="J95">
            <v>40000</v>
          </cell>
          <cell r="K95" t="str">
            <v>10.000 fogli</v>
          </cell>
          <cell r="L95">
            <v>1</v>
          </cell>
          <cell r="M95">
            <v>44806</v>
          </cell>
          <cell r="N95"/>
          <cell r="O95"/>
          <cell r="P95" t="str">
            <v>112 450</v>
          </cell>
          <cell r="Q95" t="str">
            <v>NO</v>
          </cell>
          <cell r="R95" t="str">
            <v>4Q</v>
          </cell>
          <cell r="S95" t="str">
            <v>V.ce lucida</v>
          </cell>
          <cell r="T95" t="str">
            <v>Esistente</v>
          </cell>
          <cell r="U95" t="str">
            <v>Esistente</v>
          </cell>
          <cell r="V95" t="str">
            <v>Si</v>
          </cell>
          <cell r="W95" t="str">
            <v>NO</v>
          </cell>
        </row>
        <row r="96">
          <cell r="A96">
            <v>7779</v>
          </cell>
          <cell r="B96" t="str">
            <v>X</v>
          </cell>
          <cell r="C96" t="str">
            <v>X</v>
          </cell>
          <cell r="D96" t="str">
            <v>Nero Nobile</v>
          </cell>
          <cell r="E96" t="str">
            <v>Astucci Per Te FS0380 - ord. 550</v>
          </cell>
          <cell r="F96"/>
          <cell r="G96"/>
          <cell r="H96"/>
          <cell r="I96"/>
          <cell r="J96">
            <v>20000</v>
          </cell>
          <cell r="K96" t="str">
            <v>5.000 fogli</v>
          </cell>
          <cell r="L96">
            <v>1</v>
          </cell>
          <cell r="M96">
            <v>44806</v>
          </cell>
          <cell r="N96"/>
          <cell r="O96"/>
          <cell r="P96" t="str">
            <v>GC2 270 62x100,5</v>
          </cell>
          <cell r="Q96" t="str">
            <v>NO</v>
          </cell>
          <cell r="R96" t="str">
            <v>4Q + 1P</v>
          </cell>
          <cell r="S96" t="str">
            <v>V.ce opaca</v>
          </cell>
          <cell r="T96" t="str">
            <v>Esistente</v>
          </cell>
          <cell r="U96" t="str">
            <v>Esistente</v>
          </cell>
          <cell r="V96" t="str">
            <v>SI</v>
          </cell>
          <cell r="W96" t="str">
            <v>NO</v>
          </cell>
        </row>
        <row r="97">
          <cell r="A97">
            <v>7716</v>
          </cell>
          <cell r="B97" t="str">
            <v>X</v>
          </cell>
          <cell r="C97" t="str">
            <v>X</v>
          </cell>
          <cell r="D97" t="str">
            <v>Pasta Lensi</v>
          </cell>
          <cell r="E97" t="str">
            <v>Astucci Sig. Linguine - 49781</v>
          </cell>
          <cell r="F97"/>
          <cell r="G97"/>
          <cell r="H97"/>
          <cell r="I97" t="str">
            <v>72 x 38 x 270</v>
          </cell>
          <cell r="J97">
            <v>40000</v>
          </cell>
          <cell r="K97" t="str">
            <v>5.000 fogli</v>
          </cell>
          <cell r="L97">
            <v>1</v>
          </cell>
          <cell r="M97">
            <v>44806</v>
          </cell>
          <cell r="N97"/>
          <cell r="O97"/>
          <cell r="P97" t="str">
            <v>962 350 71x94</v>
          </cell>
          <cell r="Q97" t="str">
            <v>NO</v>
          </cell>
          <cell r="R97" t="str">
            <v>4Q + 2P</v>
          </cell>
          <cell r="S97" t="str">
            <v>V.ce lucida</v>
          </cell>
          <cell r="T97" t="str">
            <v>Esistente</v>
          </cell>
          <cell r="U97" t="str">
            <v>Esistente</v>
          </cell>
          <cell r="V97" t="str">
            <v>SI</v>
          </cell>
          <cell r="W97" t="str">
            <v>SI</v>
          </cell>
        </row>
        <row r="98">
          <cell r="A98">
            <v>7717</v>
          </cell>
          <cell r="B98" t="str">
            <v>X</v>
          </cell>
          <cell r="C98" t="str">
            <v>X</v>
          </cell>
          <cell r="D98" t="str">
            <v>Pasta Lensi</v>
          </cell>
          <cell r="E98" t="str">
            <v>Astucci Sig. Spaghetti - ord. 49782</v>
          </cell>
          <cell r="F98"/>
          <cell r="G98"/>
          <cell r="H98"/>
          <cell r="I98" t="str">
            <v>72 X 27 X 270</v>
          </cell>
          <cell r="J98">
            <v>40000</v>
          </cell>
          <cell r="K98" t="str">
            <v>5.000 fogli</v>
          </cell>
          <cell r="L98">
            <v>1</v>
          </cell>
          <cell r="M98">
            <v>44806</v>
          </cell>
          <cell r="N98"/>
          <cell r="O98"/>
          <cell r="P98" t="str">
            <v>962 350 71x94</v>
          </cell>
          <cell r="Q98" t="str">
            <v>NO</v>
          </cell>
          <cell r="R98" t="str">
            <v>4Q + 2P</v>
          </cell>
          <cell r="S98" t="str">
            <v>V.ce lucida</v>
          </cell>
          <cell r="T98" t="str">
            <v>Esistente</v>
          </cell>
          <cell r="U98" t="str">
            <v>Esistente</v>
          </cell>
          <cell r="V98" t="str">
            <v>SI</v>
          </cell>
          <cell r="W98" t="str">
            <v>SI</v>
          </cell>
        </row>
        <row r="99">
          <cell r="A99">
            <v>7698</v>
          </cell>
          <cell r="B99" t="str">
            <v>X</v>
          </cell>
          <cell r="C99" t="str">
            <v>X</v>
          </cell>
          <cell r="D99" t="str">
            <v>Pasta Lensi</v>
          </cell>
          <cell r="E99" t="str">
            <v>Astucci Morrison Spaghetti - ord 49723</v>
          </cell>
          <cell r="F99"/>
          <cell r="G99"/>
          <cell r="H99"/>
          <cell r="I99" t="str">
            <v>72 x 38 x 270</v>
          </cell>
          <cell r="J99">
            <v>50000</v>
          </cell>
          <cell r="K99" t="str">
            <v>6.250 fogli</v>
          </cell>
          <cell r="L99">
            <v>1</v>
          </cell>
          <cell r="M99">
            <v>44806</v>
          </cell>
          <cell r="N99"/>
          <cell r="O99"/>
          <cell r="P99" t="str">
            <v>962 350 67,5x86,5</v>
          </cell>
          <cell r="Q99" t="str">
            <v>NO</v>
          </cell>
          <cell r="R99" t="str">
            <v>4Q + 2P</v>
          </cell>
          <cell r="S99" t="str">
            <v>V.ce opaca</v>
          </cell>
          <cell r="T99" t="str">
            <v>Esistente</v>
          </cell>
          <cell r="U99" t="str">
            <v>Esistente</v>
          </cell>
          <cell r="V99" t="str">
            <v>SI</v>
          </cell>
          <cell r="W99" t="str">
            <v>NO</v>
          </cell>
        </row>
        <row r="100">
          <cell r="A100">
            <v>7706</v>
          </cell>
          <cell r="B100" t="str">
            <v>X</v>
          </cell>
          <cell r="C100" t="str">
            <v>X</v>
          </cell>
          <cell r="D100" t="str">
            <v>Prontofoods</v>
          </cell>
          <cell r="E100" t="str">
            <v>Astucci Ginseng Bellarom 10</v>
          </cell>
          <cell r="F100"/>
          <cell r="G100"/>
          <cell r="H100"/>
          <cell r="I100"/>
          <cell r="J100">
            <v>70000</v>
          </cell>
          <cell r="K100" t="str">
            <v>17.500 fogli</v>
          </cell>
          <cell r="L100">
            <v>1</v>
          </cell>
          <cell r="M100">
            <v>44806</v>
          </cell>
          <cell r="N100"/>
          <cell r="O100"/>
          <cell r="P100" t="str">
            <v>GC2 270 56,5x75</v>
          </cell>
          <cell r="Q100" t="str">
            <v>NO</v>
          </cell>
          <cell r="R100" t="str">
            <v>4Q + 1P</v>
          </cell>
          <cell r="S100" t="str">
            <v>UV</v>
          </cell>
          <cell r="T100" t="str">
            <v>Esistente</v>
          </cell>
          <cell r="U100" t="str">
            <v>Esistente</v>
          </cell>
          <cell r="V100" t="str">
            <v>Si</v>
          </cell>
          <cell r="W100" t="str">
            <v>NO</v>
          </cell>
        </row>
        <row r="101">
          <cell r="A101">
            <v>7786</v>
          </cell>
          <cell r="B101" t="str">
            <v>X</v>
          </cell>
          <cell r="C101" t="str">
            <v>X</v>
          </cell>
          <cell r="D101" t="str">
            <v>Alfagel</v>
          </cell>
          <cell r="E101" t="str">
            <v>Astucci Pop Fruit 5 Pz</v>
          </cell>
          <cell r="F101"/>
          <cell r="G101"/>
          <cell r="H101"/>
          <cell r="I101"/>
          <cell r="J101">
            <v>5520</v>
          </cell>
          <cell r="K101" t="str">
            <v>1.380 fogli</v>
          </cell>
          <cell r="L101">
            <v>1</v>
          </cell>
          <cell r="M101">
            <v>44807</v>
          </cell>
          <cell r="N101"/>
          <cell r="O101"/>
          <cell r="P101" t="str">
            <v>112 400 62x81</v>
          </cell>
          <cell r="Q101" t="str">
            <v>NO</v>
          </cell>
          <cell r="R101" t="str">
            <v>4Q + 1P</v>
          </cell>
          <cell r="S101" t="str">
            <v>V.ce lucida</v>
          </cell>
          <cell r="T101" t="str">
            <v>Esistente</v>
          </cell>
          <cell r="U101" t="str">
            <v>Esistente</v>
          </cell>
          <cell r="V101" t="str">
            <v>SI</v>
          </cell>
          <cell r="W101" t="str">
            <v>NO</v>
          </cell>
        </row>
        <row r="102">
          <cell r="A102">
            <v>7785</v>
          </cell>
          <cell r="B102" t="str">
            <v>X</v>
          </cell>
          <cell r="C102" t="str">
            <v>X</v>
          </cell>
          <cell r="D102" t="str">
            <v>Alfagel</v>
          </cell>
          <cell r="E102" t="str">
            <v>Astucci Pop Fruit MINI</v>
          </cell>
          <cell r="F102"/>
          <cell r="G102"/>
          <cell r="H102"/>
          <cell r="I102"/>
          <cell r="J102">
            <v>10000</v>
          </cell>
          <cell r="K102" t="str">
            <v>2.500 fogli</v>
          </cell>
          <cell r="L102">
            <v>1</v>
          </cell>
          <cell r="M102">
            <v>44807</v>
          </cell>
          <cell r="N102"/>
          <cell r="O102"/>
          <cell r="P102" t="str">
            <v>962 445 55x100</v>
          </cell>
          <cell r="Q102" t="str">
            <v>NO</v>
          </cell>
          <cell r="R102" t="str">
            <v>4Q + 1P</v>
          </cell>
          <cell r="S102" t="str">
            <v>V.ce lucida</v>
          </cell>
          <cell r="T102" t="str">
            <v>Esistente</v>
          </cell>
          <cell r="U102" t="str">
            <v>Esistente</v>
          </cell>
          <cell r="V102" t="str">
            <v>SI</v>
          </cell>
          <cell r="W102" t="str">
            <v>NO</v>
          </cell>
        </row>
        <row r="103">
          <cell r="A103">
            <v>7757</v>
          </cell>
          <cell r="B103" t="str">
            <v>X</v>
          </cell>
          <cell r="C103" t="str">
            <v>X</v>
          </cell>
          <cell r="D103" t="str">
            <v>Nero Nobile</v>
          </cell>
          <cell r="E103" t="str">
            <v>Astucci caffè italiano FS0380 - ord. 532</v>
          </cell>
          <cell r="F103"/>
          <cell r="G103"/>
          <cell r="H103"/>
          <cell r="I103"/>
          <cell r="J103">
            <v>30000</v>
          </cell>
          <cell r="K103" t="str">
            <v>7.500 fogli</v>
          </cell>
          <cell r="L103">
            <v>1</v>
          </cell>
          <cell r="M103">
            <v>44809</v>
          </cell>
          <cell r="N103"/>
          <cell r="O103"/>
          <cell r="P103" t="str">
            <v>GC2 270 62x100,5</v>
          </cell>
          <cell r="Q103" t="str">
            <v>NO</v>
          </cell>
          <cell r="R103" t="str">
            <v>4Q</v>
          </cell>
          <cell r="S103" t="str">
            <v>V.ce opaca</v>
          </cell>
          <cell r="T103" t="str">
            <v>Esistente</v>
          </cell>
          <cell r="U103" t="str">
            <v>Esistente</v>
          </cell>
          <cell r="V103" t="str">
            <v>SI</v>
          </cell>
          <cell r="W103" t="str">
            <v>NO</v>
          </cell>
        </row>
        <row r="104">
          <cell r="A104">
            <v>7758</v>
          </cell>
          <cell r="B104" t="str">
            <v>X</v>
          </cell>
          <cell r="C104" t="str">
            <v>X</v>
          </cell>
          <cell r="D104" t="str">
            <v>Nero Nobile</v>
          </cell>
          <cell r="E104" t="str">
            <v>Astucci caffè italiano FS0385 - ord. 537</v>
          </cell>
          <cell r="F104"/>
          <cell r="G104"/>
          <cell r="H104"/>
          <cell r="I104"/>
          <cell r="J104">
            <v>15000</v>
          </cell>
          <cell r="K104" t="str">
            <v>2.500 fogli</v>
          </cell>
          <cell r="L104">
            <v>1</v>
          </cell>
          <cell r="M104">
            <v>44809</v>
          </cell>
          <cell r="N104"/>
          <cell r="O104"/>
          <cell r="P104" t="str">
            <v>GC2 270 72x75</v>
          </cell>
          <cell r="Q104" t="str">
            <v>NO</v>
          </cell>
          <cell r="R104" t="str">
            <v>4Q</v>
          </cell>
          <cell r="S104" t="str">
            <v>V.ce opaca</v>
          </cell>
          <cell r="T104" t="str">
            <v>Esistente</v>
          </cell>
          <cell r="U104" t="str">
            <v>Esistente</v>
          </cell>
          <cell r="V104" t="str">
            <v>SI</v>
          </cell>
          <cell r="W104" t="str">
            <v>NO</v>
          </cell>
        </row>
        <row r="105">
          <cell r="A105">
            <v>7771</v>
          </cell>
          <cell r="B105" t="str">
            <v>X</v>
          </cell>
          <cell r="C105" t="str">
            <v>X</v>
          </cell>
          <cell r="D105" t="str">
            <v>Nero Nobile</v>
          </cell>
          <cell r="E105" t="str">
            <v>Astucci Yespresso FS0380 - ord. 558</v>
          </cell>
          <cell r="F105"/>
          <cell r="G105"/>
          <cell r="H105"/>
          <cell r="I105"/>
          <cell r="J105">
            <v>30000</v>
          </cell>
          <cell r="K105" t="str">
            <v>8.000 fogli</v>
          </cell>
          <cell r="L105">
            <v>1</v>
          </cell>
          <cell r="M105">
            <v>44809</v>
          </cell>
          <cell r="N105"/>
          <cell r="O105"/>
          <cell r="P105" t="str">
            <v>GC2 270 62x100,5</v>
          </cell>
          <cell r="Q105" t="str">
            <v>NO</v>
          </cell>
          <cell r="R105" t="str">
            <v>4Q + 2P</v>
          </cell>
          <cell r="S105" t="str">
            <v>V.ce + UV</v>
          </cell>
          <cell r="T105" t="str">
            <v>Esistente</v>
          </cell>
          <cell r="U105" t="str">
            <v>Esistente</v>
          </cell>
          <cell r="V105" t="str">
            <v>SI</v>
          </cell>
          <cell r="W105" t="str">
            <v>NO</v>
          </cell>
        </row>
        <row r="106">
          <cell r="A106">
            <v>7752</v>
          </cell>
          <cell r="B106" t="str">
            <v>X</v>
          </cell>
          <cell r="C106" t="str">
            <v>X</v>
          </cell>
          <cell r="D106" t="str">
            <v>Pantytex</v>
          </cell>
          <cell r="E106" t="str">
            <v>Inserti Desiree</v>
          </cell>
          <cell r="F106"/>
          <cell r="G106"/>
          <cell r="H106"/>
          <cell r="I106"/>
          <cell r="J106">
            <v>2000</v>
          </cell>
          <cell r="K106" t="str">
            <v>340 fogli</v>
          </cell>
          <cell r="L106">
            <v>1</v>
          </cell>
          <cell r="M106">
            <v>44809</v>
          </cell>
          <cell r="N106"/>
          <cell r="O106"/>
          <cell r="P106" t="str">
            <v>Sym 200 89x52</v>
          </cell>
          <cell r="Q106" t="str">
            <v>NO</v>
          </cell>
          <cell r="R106" t="str">
            <v>4Q + 1P</v>
          </cell>
          <cell r="S106" t="str">
            <v>V.ce lucida</v>
          </cell>
          <cell r="T106" t="str">
            <v>Esistente</v>
          </cell>
          <cell r="U106" t="str">
            <v>Esistente</v>
          </cell>
          <cell r="V106" t="str">
            <v>NO</v>
          </cell>
          <cell r="W106" t="str">
            <v>NO</v>
          </cell>
        </row>
        <row r="107">
          <cell r="A107">
            <v>202207806</v>
          </cell>
          <cell r="B107"/>
          <cell r="C107"/>
          <cell r="D107" t="str">
            <v>Quaranta</v>
          </cell>
          <cell r="E107" t="str">
            <v>Astucci Maxi Florentine - ord. 6726</v>
          </cell>
          <cell r="F107"/>
          <cell r="G107">
            <v>6726</v>
          </cell>
          <cell r="H107">
            <v>44764</v>
          </cell>
          <cell r="I107"/>
          <cell r="J107">
            <v>5000</v>
          </cell>
          <cell r="K107" t="str">
            <v>1.250 fogli</v>
          </cell>
          <cell r="L107">
            <v>1</v>
          </cell>
          <cell r="M107">
            <v>44809</v>
          </cell>
          <cell r="N107"/>
          <cell r="O107" t="str">
            <v>CR0085</v>
          </cell>
          <cell r="P107" t="str">
            <v>113 350</v>
          </cell>
          <cell r="Q107" t="str">
            <v>NO</v>
          </cell>
          <cell r="R107" t="str">
            <v>4Q</v>
          </cell>
          <cell r="S107" t="str">
            <v>V.ce lucida</v>
          </cell>
          <cell r="T107" t="str">
            <v xml:space="preserve">Nuovo </v>
          </cell>
          <cell r="U107" t="str">
            <v>Nuova</v>
          </cell>
          <cell r="V107" t="str">
            <v>NO</v>
          </cell>
          <cell r="W107" t="str">
            <v>NO</v>
          </cell>
        </row>
        <row r="108">
          <cell r="A108">
            <v>7775</v>
          </cell>
          <cell r="B108" t="str">
            <v>X</v>
          </cell>
          <cell r="C108" t="str">
            <v>X</v>
          </cell>
          <cell r="D108" t="str">
            <v>Essegel</v>
          </cell>
          <cell r="E108" t="str">
            <v>Astucci 10 Ghiaccioli Nuova misura</v>
          </cell>
          <cell r="F108"/>
          <cell r="G108"/>
          <cell r="H108"/>
          <cell r="I108"/>
          <cell r="J108">
            <v>115000</v>
          </cell>
          <cell r="K108" t="str">
            <v>29.000 fogli</v>
          </cell>
          <cell r="L108">
            <v>1</v>
          </cell>
          <cell r="M108">
            <v>44810</v>
          </cell>
          <cell r="N108"/>
          <cell r="O108"/>
          <cell r="P108" t="str">
            <v>112 400 60x106</v>
          </cell>
          <cell r="Q108" t="str">
            <v>NO</v>
          </cell>
          <cell r="R108" t="str">
            <v>4Q</v>
          </cell>
          <cell r="S108" t="str">
            <v>V.ce lucida</v>
          </cell>
          <cell r="T108" t="str">
            <v>Esistente</v>
          </cell>
          <cell r="U108" t="str">
            <v>Esistente</v>
          </cell>
          <cell r="V108" t="str">
            <v>SI</v>
          </cell>
          <cell r="W108" t="str">
            <v>NO</v>
          </cell>
        </row>
        <row r="109">
          <cell r="A109">
            <v>7815</v>
          </cell>
          <cell r="B109" t="str">
            <v>X</v>
          </cell>
          <cell r="C109" t="str">
            <v>x</v>
          </cell>
          <cell r="D109" t="str">
            <v>Linea Verde</v>
          </cell>
          <cell r="E109" t="str">
            <v>Fascette pure Dimmidisi Gardaland - ord. 217</v>
          </cell>
          <cell r="F109"/>
          <cell r="G109"/>
          <cell r="H109"/>
          <cell r="I109"/>
          <cell r="J109">
            <v>200000</v>
          </cell>
          <cell r="K109" t="str">
            <v>20.000 fogli</v>
          </cell>
          <cell r="L109">
            <v>1</v>
          </cell>
          <cell r="M109">
            <v>44810</v>
          </cell>
          <cell r="N109"/>
          <cell r="O109"/>
          <cell r="P109" t="str">
            <v>113 350</v>
          </cell>
          <cell r="Q109" t="str">
            <v>NO</v>
          </cell>
          <cell r="R109" t="str">
            <v>4Q + 1P</v>
          </cell>
          <cell r="S109" t="str">
            <v>V.ce lucida</v>
          </cell>
          <cell r="T109" t="str">
            <v>Esistente</v>
          </cell>
          <cell r="U109" t="str">
            <v>Esistente</v>
          </cell>
          <cell r="V109" t="str">
            <v>NO</v>
          </cell>
          <cell r="W109" t="str">
            <v>NO</v>
          </cell>
        </row>
        <row r="110">
          <cell r="A110">
            <v>7816</v>
          </cell>
          <cell r="B110" t="str">
            <v>N</v>
          </cell>
          <cell r="C110" t="str">
            <v>X</v>
          </cell>
          <cell r="D110" t="str">
            <v>Linea Verde</v>
          </cell>
          <cell r="E110" t="str">
            <v>Fascette pure Dimmidisi - ord. 217</v>
          </cell>
          <cell r="F110"/>
          <cell r="G110"/>
          <cell r="H110"/>
          <cell r="I110"/>
          <cell r="J110">
            <v>300000</v>
          </cell>
          <cell r="K110" t="str">
            <v>30.000 fogli</v>
          </cell>
          <cell r="L110">
            <v>1</v>
          </cell>
          <cell r="M110">
            <v>44810</v>
          </cell>
          <cell r="N110"/>
          <cell r="O110"/>
          <cell r="P110" t="str">
            <v>113 350</v>
          </cell>
          <cell r="Q110" t="str">
            <v>NO</v>
          </cell>
          <cell r="R110" t="str">
            <v>4Q + 1P</v>
          </cell>
          <cell r="S110" t="str">
            <v>V.ce lucida</v>
          </cell>
          <cell r="T110" t="str">
            <v>Esistente</v>
          </cell>
          <cell r="U110" t="str">
            <v>Esistente</v>
          </cell>
          <cell r="V110" t="str">
            <v>NO</v>
          </cell>
          <cell r="W110" t="str">
            <v>NO</v>
          </cell>
        </row>
        <row r="111">
          <cell r="A111">
            <v>7630</v>
          </cell>
          <cell r="B111" t="str">
            <v>x</v>
          </cell>
          <cell r="C111" t="str">
            <v>x</v>
          </cell>
          <cell r="D111" t="str">
            <v>Nero Nobile</v>
          </cell>
          <cell r="E111" t="str">
            <v>Astucci Nobil tentazioni FS0380 - ord. 401</v>
          </cell>
          <cell r="F111"/>
          <cell r="G111"/>
          <cell r="H111"/>
          <cell r="I111"/>
          <cell r="J111">
            <v>40000</v>
          </cell>
          <cell r="K111" t="str">
            <v>10.000 fogli</v>
          </cell>
          <cell r="L111">
            <v>1</v>
          </cell>
          <cell r="M111">
            <v>44810</v>
          </cell>
          <cell r="N111"/>
          <cell r="O111"/>
          <cell r="P111" t="str">
            <v>GC2 270 62x100,5</v>
          </cell>
          <cell r="Q111" t="str">
            <v>NO</v>
          </cell>
          <cell r="R111" t="str">
            <v>4Q + 1P</v>
          </cell>
          <cell r="S111" t="str">
            <v>Drip + UV</v>
          </cell>
          <cell r="T111" t="str">
            <v>Esistente</v>
          </cell>
          <cell r="U111" t="str">
            <v>Esistente</v>
          </cell>
          <cell r="V111" t="str">
            <v>Si</v>
          </cell>
          <cell r="W111" t="str">
            <v>NO</v>
          </cell>
        </row>
        <row r="112">
          <cell r="A112">
            <v>7759</v>
          </cell>
          <cell r="B112" t="str">
            <v>X</v>
          </cell>
          <cell r="C112" t="str">
            <v>X</v>
          </cell>
          <cell r="D112" t="str">
            <v>Prontofoods</v>
          </cell>
          <cell r="E112" t="str">
            <v>Astucci Camomille Sisa</v>
          </cell>
          <cell r="F112"/>
          <cell r="G112"/>
          <cell r="H112"/>
          <cell r="I112"/>
          <cell r="J112">
            <v>10000</v>
          </cell>
          <cell r="K112" t="str">
            <v>1.200 fogli</v>
          </cell>
          <cell r="L112">
            <v>1</v>
          </cell>
          <cell r="M112">
            <v>44810</v>
          </cell>
          <cell r="N112"/>
          <cell r="O112"/>
          <cell r="P112" t="str">
            <v>Tam 240 93,5x65,5</v>
          </cell>
          <cell r="Q112" t="str">
            <v>NO</v>
          </cell>
          <cell r="R112" t="str">
            <v>4Q + 1P</v>
          </cell>
          <cell r="S112" t="str">
            <v>V.ce lucida</v>
          </cell>
          <cell r="T112" t="str">
            <v>Esistente</v>
          </cell>
          <cell r="U112" t="str">
            <v>Esistente</v>
          </cell>
          <cell r="V112" t="str">
            <v>NO</v>
          </cell>
          <cell r="W112" t="str">
            <v>NO</v>
          </cell>
        </row>
        <row r="113">
          <cell r="A113">
            <v>7751</v>
          </cell>
          <cell r="B113" t="str">
            <v>X</v>
          </cell>
          <cell r="C113" t="str">
            <v>X</v>
          </cell>
          <cell r="D113" t="str">
            <v>Prontofoods</v>
          </cell>
          <cell r="E113" t="str">
            <v>Edulcorante Ristora Light 60</v>
          </cell>
          <cell r="F113"/>
          <cell r="G113"/>
          <cell r="H113"/>
          <cell r="I113"/>
          <cell r="J113">
            <v>65000</v>
          </cell>
          <cell r="K113" t="str">
            <v>8.125 fogli</v>
          </cell>
          <cell r="L113">
            <v>1</v>
          </cell>
          <cell r="M113">
            <v>44811</v>
          </cell>
          <cell r="N113"/>
          <cell r="O113"/>
          <cell r="P113" t="str">
            <v>Tam 240 71x94</v>
          </cell>
          <cell r="Q113" t="str">
            <v>NO</v>
          </cell>
          <cell r="R113" t="str">
            <v>3Q + 1P</v>
          </cell>
          <cell r="S113" t="str">
            <v>V.ce lucida</v>
          </cell>
          <cell r="T113" t="str">
            <v>Esistente</v>
          </cell>
          <cell r="U113" t="str">
            <v>Esistente</v>
          </cell>
          <cell r="V113" t="str">
            <v>NO</v>
          </cell>
          <cell r="W113" t="str">
            <v>NO</v>
          </cell>
        </row>
        <row r="114">
          <cell r="A114">
            <v>7770</v>
          </cell>
          <cell r="B114" t="str">
            <v>X</v>
          </cell>
          <cell r="C114" t="str">
            <v>X</v>
          </cell>
          <cell r="D114" t="str">
            <v>Nero Nobile</v>
          </cell>
          <cell r="E114" t="str">
            <v>Astucci Vesuvius FS0380 - Ord. 553</v>
          </cell>
          <cell r="F114"/>
          <cell r="G114"/>
          <cell r="H114"/>
          <cell r="I114"/>
          <cell r="J114">
            <v>26000</v>
          </cell>
          <cell r="K114" t="str">
            <v>6.500 fogli</v>
          </cell>
          <cell r="L114">
            <v>2</v>
          </cell>
          <cell r="M114">
            <v>44812</v>
          </cell>
          <cell r="N114"/>
          <cell r="O114"/>
          <cell r="P114" t="str">
            <v>GC2 270 62x100,5</v>
          </cell>
          <cell r="Q114" t="str">
            <v>NO</v>
          </cell>
          <cell r="R114" t="str">
            <v>4Q + 1P</v>
          </cell>
          <cell r="S114" t="str">
            <v>V.ce opaca</v>
          </cell>
          <cell r="T114" t="str">
            <v>Esistente</v>
          </cell>
          <cell r="U114" t="str">
            <v>Esistente</v>
          </cell>
          <cell r="V114" t="str">
            <v>SI</v>
          </cell>
          <cell r="W114" t="str">
            <v>NO</v>
          </cell>
        </row>
        <row r="115">
          <cell r="A115">
            <v>7773</v>
          </cell>
          <cell r="B115" t="str">
            <v>X</v>
          </cell>
          <cell r="C115" t="str">
            <v>X</v>
          </cell>
          <cell r="D115" t="str">
            <v>Nero Nobile</v>
          </cell>
          <cell r="E115" t="str">
            <v>Astucci Molinari FS0380 - ord. 548</v>
          </cell>
          <cell r="F115"/>
          <cell r="G115"/>
          <cell r="H115"/>
          <cell r="I115"/>
          <cell r="J115">
            <v>24000</v>
          </cell>
          <cell r="K115" t="str">
            <v>6.000 fogli</v>
          </cell>
          <cell r="L115">
            <v>2</v>
          </cell>
          <cell r="M115">
            <v>44812</v>
          </cell>
          <cell r="N115"/>
          <cell r="O115"/>
          <cell r="P115" t="str">
            <v>GC2 270 62x100,5</v>
          </cell>
          <cell r="Q115" t="str">
            <v>NO</v>
          </cell>
          <cell r="R115" t="str">
            <v>4Q + 1P</v>
          </cell>
          <cell r="S115" t="str">
            <v>V.ce opaca</v>
          </cell>
          <cell r="T115" t="str">
            <v>Esistente</v>
          </cell>
          <cell r="U115" t="str">
            <v>Esistente</v>
          </cell>
          <cell r="V115" t="str">
            <v>SI</v>
          </cell>
          <cell r="W115" t="str">
            <v>NO</v>
          </cell>
        </row>
        <row r="116">
          <cell r="A116">
            <v>7767</v>
          </cell>
          <cell r="B116" t="str">
            <v>X</v>
          </cell>
          <cell r="C116" t="str">
            <v>X</v>
          </cell>
          <cell r="D116" t="str">
            <v>Pasta Lensi</v>
          </cell>
          <cell r="E116" t="str">
            <v>Astucci G&amp;G Rotini - ord. 49920</v>
          </cell>
          <cell r="F116"/>
          <cell r="G116"/>
          <cell r="H116"/>
          <cell r="I116" t="str">
            <v>127 X 63 X 185</v>
          </cell>
          <cell r="J116">
            <v>50000</v>
          </cell>
          <cell r="K116" t="str">
            <v>12.500 fogli</v>
          </cell>
          <cell r="L116">
            <v>1</v>
          </cell>
          <cell r="M116">
            <v>44813</v>
          </cell>
          <cell r="N116"/>
          <cell r="O116"/>
          <cell r="P116" t="str">
            <v>962 350 63,5x79,5</v>
          </cell>
          <cell r="Q116" t="str">
            <v>NO</v>
          </cell>
          <cell r="R116" t="str">
            <v>4Q + 2P</v>
          </cell>
          <cell r="S116" t="str">
            <v>V.ce lucida</v>
          </cell>
          <cell r="T116" t="str">
            <v>Esistente</v>
          </cell>
          <cell r="U116" t="str">
            <v>Esistente</v>
          </cell>
          <cell r="V116" t="str">
            <v>NO</v>
          </cell>
          <cell r="W116" t="str">
            <v>SI</v>
          </cell>
        </row>
        <row r="117">
          <cell r="A117">
            <v>7810</v>
          </cell>
          <cell r="B117" t="str">
            <v>X</v>
          </cell>
          <cell r="C117" t="str">
            <v>X</v>
          </cell>
          <cell r="D117" t="str">
            <v>RCM</v>
          </cell>
          <cell r="E117" t="str">
            <v>Astucci Nee Opachi</v>
          </cell>
          <cell r="F117"/>
          <cell r="G117"/>
          <cell r="H117"/>
          <cell r="I117"/>
          <cell r="J117">
            <v>35000</v>
          </cell>
          <cell r="K117" t="str">
            <v>2.500 fogli</v>
          </cell>
          <cell r="L117">
            <v>1</v>
          </cell>
          <cell r="M117">
            <v>44813</v>
          </cell>
          <cell r="N117"/>
          <cell r="O117"/>
          <cell r="P117" t="str">
            <v>GC1 295 72x102</v>
          </cell>
          <cell r="Q117" t="str">
            <v>NO</v>
          </cell>
          <cell r="R117" t="str">
            <v>1P</v>
          </cell>
          <cell r="S117" t="str">
            <v>PO</v>
          </cell>
          <cell r="T117" t="str">
            <v xml:space="preserve">Nuovo </v>
          </cell>
          <cell r="U117" t="str">
            <v>Nuova</v>
          </cell>
          <cell r="V117" t="str">
            <v>NO</v>
          </cell>
          <cell r="W117" t="str">
            <v>NO</v>
          </cell>
        </row>
        <row r="118">
          <cell r="A118">
            <v>7811</v>
          </cell>
          <cell r="B118" t="str">
            <v>X</v>
          </cell>
          <cell r="C118" t="str">
            <v>X</v>
          </cell>
          <cell r="D118" t="str">
            <v>RCM</v>
          </cell>
          <cell r="E118" t="str">
            <v xml:space="preserve">Astucci Nee Everline </v>
          </cell>
          <cell r="F118"/>
          <cell r="G118"/>
          <cell r="H118"/>
          <cell r="I118"/>
          <cell r="J118">
            <v>1000</v>
          </cell>
          <cell r="K118" t="str">
            <v>250 fogi</v>
          </cell>
          <cell r="L118">
            <v>1</v>
          </cell>
          <cell r="M118">
            <v>44813</v>
          </cell>
          <cell r="N118"/>
          <cell r="O118"/>
          <cell r="P118" t="str">
            <v>GC1 295 72x102</v>
          </cell>
          <cell r="Q118" t="str">
            <v>NO</v>
          </cell>
          <cell r="R118" t="str">
            <v>1P</v>
          </cell>
          <cell r="S118" t="str">
            <v>PO</v>
          </cell>
          <cell r="T118" t="str">
            <v xml:space="preserve">Nuovo </v>
          </cell>
          <cell r="U118" t="str">
            <v>Nuova</v>
          </cell>
          <cell r="V118" t="str">
            <v>NO</v>
          </cell>
          <cell r="W118" t="str">
            <v>NO</v>
          </cell>
        </row>
        <row r="119">
          <cell r="A119">
            <v>7812</v>
          </cell>
          <cell r="B119" t="str">
            <v>X</v>
          </cell>
          <cell r="C119" t="str">
            <v>X</v>
          </cell>
          <cell r="D119" t="str">
            <v>RCM</v>
          </cell>
          <cell r="E119" t="str">
            <v>Astucci Lucidi Nee</v>
          </cell>
          <cell r="F119"/>
          <cell r="G119"/>
          <cell r="H119"/>
          <cell r="I119"/>
          <cell r="J119">
            <v>11500</v>
          </cell>
          <cell r="K119" t="str">
            <v>1.500 fogli</v>
          </cell>
          <cell r="L119">
            <v>1</v>
          </cell>
          <cell r="M119">
            <v>44813</v>
          </cell>
          <cell r="N119"/>
          <cell r="O119"/>
          <cell r="P119" t="str">
            <v>GC1 295 72x102</v>
          </cell>
          <cell r="Q119" t="str">
            <v>NO</v>
          </cell>
          <cell r="R119" t="str">
            <v>3P</v>
          </cell>
          <cell r="S119" t="str">
            <v>PL</v>
          </cell>
          <cell r="T119" t="str">
            <v xml:space="preserve">Nuovo </v>
          </cell>
          <cell r="U119" t="str">
            <v>Nuova</v>
          </cell>
          <cell r="V119" t="str">
            <v>NO</v>
          </cell>
          <cell r="W119" t="str">
            <v>NO</v>
          </cell>
        </row>
        <row r="120">
          <cell r="A120">
            <v>7813</v>
          </cell>
          <cell r="B120" t="str">
            <v>X</v>
          </cell>
          <cell r="C120" t="str">
            <v>X</v>
          </cell>
          <cell r="D120" t="str">
            <v>RCM</v>
          </cell>
          <cell r="E120" t="str">
            <v>Astucci Sim Nee</v>
          </cell>
          <cell r="F120"/>
          <cell r="G120"/>
          <cell r="H120"/>
          <cell r="I120"/>
          <cell r="J120">
            <v>12500</v>
          </cell>
          <cell r="K120" t="str">
            <v>2.500 fogli</v>
          </cell>
          <cell r="L120">
            <v>1</v>
          </cell>
          <cell r="M120">
            <v>44813</v>
          </cell>
          <cell r="N120"/>
          <cell r="O120"/>
          <cell r="P120" t="str">
            <v>GC1 295 72x102</v>
          </cell>
          <cell r="Q120" t="str">
            <v>NO</v>
          </cell>
          <cell r="R120" t="str">
            <v>1P</v>
          </cell>
          <cell r="S120" t="str">
            <v>-</v>
          </cell>
          <cell r="T120" t="str">
            <v>-</v>
          </cell>
          <cell r="U120" t="str">
            <v>Nuova</v>
          </cell>
          <cell r="V120" t="str">
            <v>NO</v>
          </cell>
          <cell r="W120" t="str">
            <v>NO</v>
          </cell>
        </row>
        <row r="121">
          <cell r="A121">
            <v>7814</v>
          </cell>
          <cell r="B121" t="str">
            <v>X</v>
          </cell>
          <cell r="C121" t="str">
            <v>X</v>
          </cell>
          <cell r="D121" t="str">
            <v>RCM</v>
          </cell>
          <cell r="E121" t="str">
            <v>Interni Nee modello Z</v>
          </cell>
          <cell r="F121"/>
          <cell r="G121"/>
          <cell r="H121"/>
          <cell r="I121"/>
          <cell r="J121">
            <v>1150</v>
          </cell>
          <cell r="K121" t="str">
            <v>115 fogli</v>
          </cell>
          <cell r="L121">
            <v>1</v>
          </cell>
          <cell r="M121">
            <v>44813</v>
          </cell>
          <cell r="N121"/>
          <cell r="O121"/>
          <cell r="P121" t="str">
            <v>NEP NEP</v>
          </cell>
          <cell r="Q121" t="str">
            <v>NO</v>
          </cell>
          <cell r="R121" t="str">
            <v>-</v>
          </cell>
          <cell r="S121" t="str">
            <v>-</v>
          </cell>
          <cell r="T121" t="str">
            <v>-</v>
          </cell>
          <cell r="U121" t="str">
            <v>Esistente</v>
          </cell>
          <cell r="V121" t="str">
            <v>SI</v>
          </cell>
          <cell r="W121" t="str">
            <v>NO</v>
          </cell>
        </row>
        <row r="122">
          <cell r="A122">
            <v>202207871</v>
          </cell>
          <cell r="B122" t="str">
            <v>N</v>
          </cell>
          <cell r="C122" t="str">
            <v>X</v>
          </cell>
          <cell r="D122" t="str">
            <v>Feldi</v>
          </cell>
          <cell r="E122" t="str">
            <v>Bauletti tesmed Bluazzurri</v>
          </cell>
          <cell r="F122"/>
          <cell r="G122">
            <v>237</v>
          </cell>
          <cell r="H122">
            <v>44832</v>
          </cell>
          <cell r="I122"/>
          <cell r="J122">
            <v>5000</v>
          </cell>
          <cell r="K122" t="str">
            <v>2.500 fogli</v>
          </cell>
          <cell r="L122">
            <v>1</v>
          </cell>
          <cell r="M122">
            <v>44814</v>
          </cell>
          <cell r="N122"/>
          <cell r="O122"/>
          <cell r="P122" t="str">
            <v>115 270</v>
          </cell>
          <cell r="Q122" t="str">
            <v>NO</v>
          </cell>
          <cell r="R122" t="str">
            <v>4Q</v>
          </cell>
          <cell r="S122" t="str">
            <v>PL</v>
          </cell>
          <cell r="T122" t="str">
            <v>Esistente</v>
          </cell>
          <cell r="U122" t="str">
            <v>Esistente</v>
          </cell>
          <cell r="V122" t="str">
            <v>SI</v>
          </cell>
          <cell r="W122" t="str">
            <v>NO</v>
          </cell>
        </row>
        <row r="123">
          <cell r="A123">
            <v>202207872</v>
          </cell>
          <cell r="B123" t="str">
            <v>R</v>
          </cell>
          <cell r="C123" t="str">
            <v>X</v>
          </cell>
          <cell r="D123" t="str">
            <v>Feldi</v>
          </cell>
          <cell r="E123" t="str">
            <v>Interni Tesmed Max</v>
          </cell>
          <cell r="F123"/>
          <cell r="G123">
            <v>238</v>
          </cell>
          <cell r="H123">
            <v>44832</v>
          </cell>
          <cell r="I123"/>
          <cell r="J123">
            <v>5000</v>
          </cell>
          <cell r="K123" t="str">
            <v>1.670 fogli</v>
          </cell>
          <cell r="L123">
            <v>1</v>
          </cell>
          <cell r="M123">
            <v>44814</v>
          </cell>
          <cell r="N123"/>
          <cell r="O123"/>
          <cell r="P123" t="str">
            <v>115 270</v>
          </cell>
          <cell r="Q123" t="str">
            <v>NO</v>
          </cell>
          <cell r="R123" t="str">
            <v>2P</v>
          </cell>
          <cell r="S123" t="str">
            <v>V.ce lucida</v>
          </cell>
          <cell r="T123" t="str">
            <v>Esistente</v>
          </cell>
          <cell r="U123" t="str">
            <v>Esistente</v>
          </cell>
          <cell r="V123" t="str">
            <v>Si</v>
          </cell>
          <cell r="W123" t="str">
            <v>NO</v>
          </cell>
        </row>
        <row r="124">
          <cell r="A124">
            <v>7784</v>
          </cell>
          <cell r="B124" t="str">
            <v>X</v>
          </cell>
          <cell r="C124" t="str">
            <v>X</v>
          </cell>
          <cell r="D124" t="str">
            <v>Genny</v>
          </cell>
          <cell r="E124" t="str">
            <v>Cartonicini 16x22</v>
          </cell>
          <cell r="F124"/>
          <cell r="G124"/>
          <cell r="H124"/>
          <cell r="I124"/>
          <cell r="J124">
            <v>150000</v>
          </cell>
          <cell r="K124" t="str">
            <v>-</v>
          </cell>
          <cell r="L124" t="str">
            <v>-</v>
          </cell>
          <cell r="M124">
            <v>44814</v>
          </cell>
          <cell r="N124"/>
          <cell r="O124"/>
          <cell r="P124" t="str">
            <v>112 290</v>
          </cell>
          <cell r="Q124" t="str">
            <v>Si</v>
          </cell>
          <cell r="R124" t="str">
            <v>-</v>
          </cell>
          <cell r="S124" t="str">
            <v>-</v>
          </cell>
          <cell r="T124" t="str">
            <v>-</v>
          </cell>
          <cell r="U124" t="str">
            <v>-</v>
          </cell>
          <cell r="V124" t="str">
            <v>-</v>
          </cell>
          <cell r="W124" t="str">
            <v>-</v>
          </cell>
        </row>
        <row r="125">
          <cell r="A125">
            <v>7670</v>
          </cell>
          <cell r="B125" t="str">
            <v>X</v>
          </cell>
          <cell r="C125" t="str">
            <v>X</v>
          </cell>
          <cell r="D125" t="str">
            <v>RCM</v>
          </cell>
          <cell r="E125" t="str">
            <v>Astucci CBD</v>
          </cell>
          <cell r="F125"/>
          <cell r="G125"/>
          <cell r="H125"/>
          <cell r="I125"/>
          <cell r="J125">
            <v>9000</v>
          </cell>
          <cell r="K125" t="str">
            <v>2.000 fogli</v>
          </cell>
          <cell r="L125">
            <v>2</v>
          </cell>
          <cell r="M125">
            <v>44814</v>
          </cell>
          <cell r="N125"/>
          <cell r="O125"/>
          <cell r="P125" t="str">
            <v>GC1 295 72x102</v>
          </cell>
          <cell r="Q125" t="str">
            <v>SI</v>
          </cell>
          <cell r="R125" t="str">
            <v>1P</v>
          </cell>
          <cell r="S125" t="str">
            <v>PL</v>
          </cell>
          <cell r="T125" t="str">
            <v xml:space="preserve">Nuovo </v>
          </cell>
          <cell r="U125" t="str">
            <v>Nuova</v>
          </cell>
          <cell r="V125" t="str">
            <v>NO</v>
          </cell>
          <cell r="W125" t="str">
            <v>NO</v>
          </cell>
        </row>
        <row r="126">
          <cell r="A126">
            <v>7671</v>
          </cell>
          <cell r="B126" t="str">
            <v>X</v>
          </cell>
          <cell r="C126" t="str">
            <v>X</v>
          </cell>
          <cell r="D126" t="str">
            <v>RCM</v>
          </cell>
          <cell r="E126" t="str">
            <v>SIM CBD</v>
          </cell>
          <cell r="F126"/>
          <cell r="G126"/>
          <cell r="H126"/>
          <cell r="I126"/>
          <cell r="J126">
            <v>1750</v>
          </cell>
          <cell r="K126" t="str">
            <v>350 fogli</v>
          </cell>
          <cell r="L126">
            <v>2</v>
          </cell>
          <cell r="M126">
            <v>44814</v>
          </cell>
          <cell r="N126"/>
          <cell r="O126"/>
          <cell r="P126" t="str">
            <v>GC1 295</v>
          </cell>
          <cell r="Q126" t="str">
            <v>SI</v>
          </cell>
          <cell r="R126" t="str">
            <v>1P</v>
          </cell>
          <cell r="S126" t="str">
            <v>-</v>
          </cell>
          <cell r="T126" t="str">
            <v>-</v>
          </cell>
          <cell r="U126" t="str">
            <v>Esistente</v>
          </cell>
          <cell r="V126" t="str">
            <v>SI</v>
          </cell>
          <cell r="W126" t="str">
            <v>NO</v>
          </cell>
        </row>
        <row r="127">
          <cell r="A127">
            <v>7740</v>
          </cell>
          <cell r="B127" t="str">
            <v>X</v>
          </cell>
          <cell r="C127" t="str">
            <v>X</v>
          </cell>
          <cell r="D127" t="str">
            <v>Nero Nobile</v>
          </cell>
          <cell r="E127" t="str">
            <v>Astucci Pam FS0383 - ord. 499</v>
          </cell>
          <cell r="F127"/>
          <cell r="G127"/>
          <cell r="H127"/>
          <cell r="I127"/>
          <cell r="J127">
            <v>132000</v>
          </cell>
          <cell r="K127" t="str">
            <v>22.000 fogli</v>
          </cell>
          <cell r="L127">
            <v>2</v>
          </cell>
          <cell r="M127">
            <v>44816</v>
          </cell>
          <cell r="N127"/>
          <cell r="O127"/>
          <cell r="P127" t="str">
            <v>GC2 270 72x75</v>
          </cell>
          <cell r="Q127" t="str">
            <v>NO</v>
          </cell>
          <cell r="R127" t="str">
            <v>4Q + 1P</v>
          </cell>
          <cell r="S127" t="str">
            <v>Drip + UV</v>
          </cell>
          <cell r="T127" t="str">
            <v>Esistente</v>
          </cell>
          <cell r="U127" t="str">
            <v>Esistente</v>
          </cell>
          <cell r="V127" t="str">
            <v>SI</v>
          </cell>
          <cell r="W127" t="str">
            <v>NO</v>
          </cell>
        </row>
        <row r="128">
          <cell r="A128">
            <v>202207768</v>
          </cell>
          <cell r="B128" t="str">
            <v>R</v>
          </cell>
          <cell r="C128" t="str">
            <v>X</v>
          </cell>
          <cell r="D128" t="str">
            <v>Nero Nobile</v>
          </cell>
          <cell r="E128" t="str">
            <v>Astucci Nero Nobile FS0385</v>
          </cell>
          <cell r="F128"/>
          <cell r="G128">
            <v>546</v>
          </cell>
          <cell r="H128">
            <v>44768</v>
          </cell>
          <cell r="I128"/>
          <cell r="J128">
            <v>120000</v>
          </cell>
          <cell r="K128" t="str">
            <v>20.000 fogli</v>
          </cell>
          <cell r="L128">
            <v>1</v>
          </cell>
          <cell r="M128">
            <v>44816</v>
          </cell>
          <cell r="N128"/>
          <cell r="O128"/>
          <cell r="P128" t="str">
            <v>GC2 270 72x75</v>
          </cell>
          <cell r="Q128" t="str">
            <v>NO</v>
          </cell>
          <cell r="R128" t="str">
            <v>4Q + 1P</v>
          </cell>
          <cell r="S128" t="str">
            <v>Drip + UV</v>
          </cell>
          <cell r="T128" t="str">
            <v>Esistente</v>
          </cell>
          <cell r="U128" t="str">
            <v>Esistente</v>
          </cell>
          <cell r="V128" t="str">
            <v>Si</v>
          </cell>
          <cell r="W128" t="str">
            <v>NO</v>
          </cell>
        </row>
        <row r="129">
          <cell r="A129">
            <v>7801</v>
          </cell>
          <cell r="B129" t="str">
            <v>X</v>
          </cell>
          <cell r="C129" t="str">
            <v>X</v>
          </cell>
          <cell r="D129" t="str">
            <v>Pantytex</v>
          </cell>
          <cell r="E129" t="str">
            <v>Tirelle Adesive Hema</v>
          </cell>
          <cell r="F129"/>
          <cell r="G129"/>
          <cell r="H129"/>
          <cell r="I129"/>
          <cell r="J129">
            <v>21000</v>
          </cell>
          <cell r="K129" t="str">
            <v>700 fogli</v>
          </cell>
          <cell r="L129">
            <v>1</v>
          </cell>
          <cell r="M129">
            <v>44816</v>
          </cell>
          <cell r="N129"/>
          <cell r="O129"/>
          <cell r="P129" t="str">
            <v>Spl 250 72x102</v>
          </cell>
          <cell r="Q129" t="str">
            <v>SI</v>
          </cell>
          <cell r="R129" t="str">
            <v>4Q + 1P</v>
          </cell>
          <cell r="S129" t="str">
            <v>V.ce opaca</v>
          </cell>
          <cell r="T129" t="str">
            <v>Esistente</v>
          </cell>
          <cell r="U129" t="str">
            <v>Esistente</v>
          </cell>
          <cell r="V129" t="str">
            <v>NO</v>
          </cell>
          <cell r="W129" t="str">
            <v>NO</v>
          </cell>
        </row>
        <row r="130">
          <cell r="A130">
            <v>7732</v>
          </cell>
          <cell r="B130" t="str">
            <v>X</v>
          </cell>
          <cell r="C130" t="str">
            <v>X</v>
          </cell>
          <cell r="D130" t="str">
            <v>Tracy</v>
          </cell>
          <cell r="E130" t="str">
            <v>Appendini Rywan</v>
          </cell>
          <cell r="F130"/>
          <cell r="G130"/>
          <cell r="H130"/>
          <cell r="I130"/>
          <cell r="J130">
            <v>72000</v>
          </cell>
          <cell r="K130" t="str">
            <v>9.000 fogli</v>
          </cell>
          <cell r="L130">
            <v>6</v>
          </cell>
          <cell r="M130">
            <v>44816</v>
          </cell>
          <cell r="N130"/>
          <cell r="O130"/>
          <cell r="P130" t="str">
            <v>GC2 300</v>
          </cell>
          <cell r="Q130" t="str">
            <v>NO</v>
          </cell>
          <cell r="R130" t="str">
            <v>4Q + 1P</v>
          </cell>
          <cell r="S130" t="str">
            <v>UV</v>
          </cell>
          <cell r="T130" t="str">
            <v>Esistente</v>
          </cell>
          <cell r="U130" t="str">
            <v>Esistente</v>
          </cell>
          <cell r="V130" t="str">
            <v>NO</v>
          </cell>
          <cell r="W130" t="str">
            <v>NO</v>
          </cell>
        </row>
        <row r="131">
          <cell r="A131">
            <v>7733</v>
          </cell>
          <cell r="B131" t="str">
            <v>X</v>
          </cell>
          <cell r="C131" t="str">
            <v>X</v>
          </cell>
          <cell r="D131" t="str">
            <v>JBS</v>
          </cell>
          <cell r="E131" t="str">
            <v>Buste Decoy D12</v>
          </cell>
          <cell r="F131"/>
          <cell r="G131"/>
          <cell r="H131"/>
          <cell r="I131"/>
          <cell r="J131">
            <v>10000</v>
          </cell>
          <cell r="K131" t="str">
            <v>2.500 fogli</v>
          </cell>
          <cell r="L131">
            <v>1</v>
          </cell>
          <cell r="M131">
            <v>44818</v>
          </cell>
          <cell r="N131"/>
          <cell r="O131"/>
          <cell r="P131" t="str">
            <v>GC1 250</v>
          </cell>
          <cell r="Q131" t="str">
            <v>NO</v>
          </cell>
          <cell r="R131" t="str">
            <v>4Q</v>
          </cell>
          <cell r="S131" t="str">
            <v>V.ce + OC</v>
          </cell>
          <cell r="T131" t="str">
            <v>Esistente</v>
          </cell>
          <cell r="U131" t="str">
            <v>Esistente</v>
          </cell>
          <cell r="V131" t="str">
            <v>NO</v>
          </cell>
          <cell r="W131" t="str">
            <v>NO</v>
          </cell>
        </row>
        <row r="132">
          <cell r="A132">
            <v>7790</v>
          </cell>
          <cell r="B132" t="str">
            <v>X</v>
          </cell>
          <cell r="C132" t="str">
            <v>X</v>
          </cell>
          <cell r="D132" t="str">
            <v>Gallo</v>
          </cell>
          <cell r="E132" t="str">
            <v>Scatole neutre abbinate</v>
          </cell>
          <cell r="F132"/>
          <cell r="G132"/>
          <cell r="H132"/>
          <cell r="I132"/>
          <cell r="J132">
            <v>20000</v>
          </cell>
          <cell r="K132" t="str">
            <v>10.000 fogli</v>
          </cell>
          <cell r="L132">
            <v>1</v>
          </cell>
          <cell r="M132">
            <v>44819</v>
          </cell>
          <cell r="N132"/>
          <cell r="O132"/>
          <cell r="P132" t="str">
            <v>112 400</v>
          </cell>
          <cell r="Q132" t="str">
            <v>NO</v>
          </cell>
          <cell r="R132" t="str">
            <v>-</v>
          </cell>
          <cell r="S132" t="str">
            <v>-</v>
          </cell>
          <cell r="T132" t="str">
            <v>-</v>
          </cell>
          <cell r="U132" t="str">
            <v>Nuova</v>
          </cell>
          <cell r="V132" t="str">
            <v>NO</v>
          </cell>
          <cell r="W132" t="str">
            <v>NO</v>
          </cell>
        </row>
        <row r="133">
          <cell r="A133">
            <v>7791</v>
          </cell>
          <cell r="B133" t="str">
            <v>X</v>
          </cell>
          <cell r="C133" t="str">
            <v>X</v>
          </cell>
          <cell r="D133" t="str">
            <v>Gallo</v>
          </cell>
          <cell r="E133" t="str">
            <v>Cavallotti Dore Dore</v>
          </cell>
          <cell r="F133"/>
          <cell r="G133"/>
          <cell r="H133"/>
          <cell r="I133"/>
          <cell r="J133">
            <v>230000</v>
          </cell>
          <cell r="K133" t="str">
            <v>10.000 fogli</v>
          </cell>
          <cell r="L133">
            <v>1</v>
          </cell>
          <cell r="M133">
            <v>44819</v>
          </cell>
          <cell r="N133"/>
          <cell r="O133"/>
          <cell r="P133" t="str">
            <v>GC1 275 72x102</v>
          </cell>
          <cell r="Q133" t="str">
            <v>SI</v>
          </cell>
          <cell r="R133" t="str">
            <v>2P</v>
          </cell>
          <cell r="S133" t="str">
            <v>V.ce opaca</v>
          </cell>
          <cell r="T133" t="str">
            <v xml:space="preserve">Nuovo </v>
          </cell>
          <cell r="U133" t="str">
            <v>Nuova</v>
          </cell>
          <cell r="V133" t="str">
            <v>NO</v>
          </cell>
          <cell r="W133" t="str">
            <v>NO</v>
          </cell>
        </row>
        <row r="134">
          <cell r="A134">
            <v>7769</v>
          </cell>
          <cell r="B134" t="str">
            <v>X</v>
          </cell>
          <cell r="C134" t="str">
            <v>X</v>
          </cell>
          <cell r="D134" t="str">
            <v>Nero Nobile</v>
          </cell>
          <cell r="E134" t="str">
            <v>Astucci Sapori Artiginali FS0380 - ord. 185</v>
          </cell>
          <cell r="F134"/>
          <cell r="G134"/>
          <cell r="H134"/>
          <cell r="I134"/>
          <cell r="J134">
            <v>20000</v>
          </cell>
          <cell r="K134" t="str">
            <v>5.000 fogli</v>
          </cell>
          <cell r="L134">
            <v>2</v>
          </cell>
          <cell r="M134">
            <v>44819</v>
          </cell>
          <cell r="N134"/>
          <cell r="O134"/>
          <cell r="P134" t="str">
            <v>GC2 270 62x100,5</v>
          </cell>
          <cell r="Q134" t="str">
            <v>NO</v>
          </cell>
          <cell r="R134" t="str">
            <v>4Q + 1P</v>
          </cell>
          <cell r="S134" t="str">
            <v>V.ce + UV</v>
          </cell>
          <cell r="T134" t="str">
            <v>Esistente</v>
          </cell>
          <cell r="U134" t="str">
            <v>Esistente</v>
          </cell>
          <cell r="V134" t="str">
            <v>SI</v>
          </cell>
          <cell r="W134" t="str">
            <v>NO</v>
          </cell>
        </row>
        <row r="135">
          <cell r="A135">
            <v>7779</v>
          </cell>
          <cell r="B135" t="str">
            <v>X</v>
          </cell>
          <cell r="C135" t="str">
            <v>X</v>
          </cell>
          <cell r="D135" t="str">
            <v>Nero Nobile</v>
          </cell>
          <cell r="E135" t="str">
            <v>Astucci Le Lion FS0380 - ord. 585</v>
          </cell>
          <cell r="F135"/>
          <cell r="G135"/>
          <cell r="H135"/>
          <cell r="I135"/>
          <cell r="J135">
            <v>23000</v>
          </cell>
          <cell r="K135" t="str">
            <v>5.750 fogli</v>
          </cell>
          <cell r="L135">
            <v>1</v>
          </cell>
          <cell r="M135">
            <v>44819</v>
          </cell>
          <cell r="N135"/>
          <cell r="O135"/>
          <cell r="P135" t="str">
            <v>GC2 270 62x100,5</v>
          </cell>
          <cell r="Q135" t="str">
            <v>NO</v>
          </cell>
          <cell r="R135" t="str">
            <v>4Q + 1P</v>
          </cell>
          <cell r="S135" t="str">
            <v>V.ce opaca</v>
          </cell>
          <cell r="T135" t="str">
            <v>Esistente</v>
          </cell>
          <cell r="U135" t="str">
            <v>Esistente</v>
          </cell>
          <cell r="V135" t="str">
            <v>SI</v>
          </cell>
          <cell r="W135" t="str">
            <v>NO</v>
          </cell>
        </row>
        <row r="136">
          <cell r="A136">
            <v>7780</v>
          </cell>
          <cell r="B136" t="str">
            <v>N</v>
          </cell>
          <cell r="C136" t="str">
            <v>X</v>
          </cell>
          <cell r="D136" t="str">
            <v>Nero Nobile</v>
          </cell>
          <cell r="E136" t="str">
            <v>Astucci Migross FS0383 - ord. 554</v>
          </cell>
          <cell r="F136"/>
          <cell r="G136"/>
          <cell r="H136"/>
          <cell r="I136"/>
          <cell r="J136">
            <v>21000</v>
          </cell>
          <cell r="K136" t="str">
            <v>3.500 fogli</v>
          </cell>
          <cell r="L136">
            <v>1</v>
          </cell>
          <cell r="M136">
            <v>44819</v>
          </cell>
          <cell r="N136" t="str">
            <v>cromalin</v>
          </cell>
          <cell r="O136"/>
          <cell r="P136" t="str">
            <v>GC2 270 62x100,5</v>
          </cell>
          <cell r="Q136" t="str">
            <v>NO</v>
          </cell>
          <cell r="R136" t="str">
            <v>4Q + 2P</v>
          </cell>
          <cell r="S136" t="str">
            <v>V.ce Lucida</v>
          </cell>
          <cell r="T136" t="str">
            <v>Esistente</v>
          </cell>
          <cell r="U136" t="str">
            <v>Esistente</v>
          </cell>
          <cell r="V136" t="str">
            <v>SI</v>
          </cell>
          <cell r="W136" t="str">
            <v>NO</v>
          </cell>
        </row>
        <row r="137">
          <cell r="A137">
            <v>7781</v>
          </cell>
          <cell r="B137" t="str">
            <v>X</v>
          </cell>
          <cell r="C137" t="str">
            <v>X</v>
          </cell>
          <cell r="D137" t="str">
            <v>Nero Nobile</v>
          </cell>
          <cell r="E137" t="str">
            <v>Astucci Per Te FS0384 - ord. 589</v>
          </cell>
          <cell r="F137"/>
          <cell r="G137"/>
          <cell r="H137"/>
          <cell r="I137"/>
          <cell r="J137">
            <v>20000</v>
          </cell>
          <cell r="K137" t="str">
            <v>5.000 fogli</v>
          </cell>
          <cell r="L137">
            <v>1</v>
          </cell>
          <cell r="M137">
            <v>44819</v>
          </cell>
          <cell r="N137"/>
          <cell r="O137"/>
          <cell r="P137" t="str">
            <v>GC2 270 54x82</v>
          </cell>
          <cell r="Q137" t="str">
            <v>NO</v>
          </cell>
          <cell r="R137" t="str">
            <v>4Q + 1P</v>
          </cell>
          <cell r="S137" t="str">
            <v>V.ce opaca</v>
          </cell>
          <cell r="T137" t="str">
            <v>Esistente</v>
          </cell>
          <cell r="U137" t="str">
            <v>Esistente</v>
          </cell>
          <cell r="V137" t="str">
            <v>SI</v>
          </cell>
          <cell r="W137" t="str">
            <v>NO</v>
          </cell>
        </row>
        <row r="138">
          <cell r="A138">
            <v>7766</v>
          </cell>
          <cell r="B138" t="str">
            <v>X</v>
          </cell>
          <cell r="C138" t="str">
            <v>X</v>
          </cell>
          <cell r="D138" t="str">
            <v>Pasta Lensi</v>
          </cell>
          <cell r="E138" t="str">
            <v>Astucci G&amp;G Penne - ord. 49919</v>
          </cell>
          <cell r="F138"/>
          <cell r="G138"/>
          <cell r="H138"/>
          <cell r="I138" t="str">
            <v>127 x 45 x 185</v>
          </cell>
          <cell r="J138">
            <v>50000</v>
          </cell>
          <cell r="K138" t="str">
            <v>8.400 fogli</v>
          </cell>
          <cell r="L138">
            <v>1</v>
          </cell>
          <cell r="M138">
            <v>44819</v>
          </cell>
          <cell r="N138"/>
          <cell r="O138"/>
          <cell r="P138" t="str">
            <v>962 350 83,5x72,5</v>
          </cell>
          <cell r="Q138" t="str">
            <v>NO</v>
          </cell>
          <cell r="R138" t="str">
            <v>4Q + 2P</v>
          </cell>
          <cell r="S138" t="str">
            <v>V.ce lucida</v>
          </cell>
          <cell r="T138" t="str">
            <v>Esistente</v>
          </cell>
          <cell r="U138" t="str">
            <v>Esistente</v>
          </cell>
          <cell r="V138" t="str">
            <v>NO</v>
          </cell>
          <cell r="W138" t="str">
            <v>SI</v>
          </cell>
        </row>
        <row r="139">
          <cell r="A139">
            <v>7788</v>
          </cell>
          <cell r="B139" t="str">
            <v>X</v>
          </cell>
          <cell r="C139" t="str">
            <v>X</v>
          </cell>
          <cell r="D139" t="str">
            <v>Pasta Lensi</v>
          </cell>
          <cell r="E139" t="str">
            <v>Astucci LenBV - ord. 50020</v>
          </cell>
          <cell r="F139"/>
          <cell r="G139"/>
          <cell r="H139"/>
          <cell r="I139" t="str">
            <v>127 x 76 x 185</v>
          </cell>
          <cell r="J139">
            <v>10000</v>
          </cell>
          <cell r="K139" t="str">
            <v>2.500 fogli</v>
          </cell>
          <cell r="L139">
            <v>1</v>
          </cell>
          <cell r="M139">
            <v>44819</v>
          </cell>
          <cell r="N139"/>
          <cell r="O139"/>
          <cell r="P139" t="str">
            <v>962 400 72x84,5</v>
          </cell>
          <cell r="Q139" t="str">
            <v>NO</v>
          </cell>
          <cell r="R139" t="str">
            <v>3Q + 2P</v>
          </cell>
          <cell r="S139" t="str">
            <v>V.ce lucida</v>
          </cell>
          <cell r="T139" t="str">
            <v>Esistente</v>
          </cell>
          <cell r="U139" t="str">
            <v>Esistente</v>
          </cell>
          <cell r="V139" t="str">
            <v>NO</v>
          </cell>
          <cell r="W139" t="str">
            <v>SI</v>
          </cell>
        </row>
        <row r="140">
          <cell r="A140">
            <v>7796</v>
          </cell>
          <cell r="B140" t="str">
            <v>X</v>
          </cell>
          <cell r="C140" t="str">
            <v>X</v>
          </cell>
          <cell r="D140" t="str">
            <v>Gallo</v>
          </cell>
          <cell r="E140" t="str">
            <v>Solette MA513799</v>
          </cell>
          <cell r="F140"/>
          <cell r="G140"/>
          <cell r="H140"/>
          <cell r="I140"/>
          <cell r="J140">
            <v>10000</v>
          </cell>
          <cell r="K140" t="str">
            <v>1.670 fogli</v>
          </cell>
          <cell r="L140">
            <v>1</v>
          </cell>
          <cell r="M140">
            <v>44820</v>
          </cell>
          <cell r="N140"/>
          <cell r="O140"/>
          <cell r="P140" t="str">
            <v>GC1 450</v>
          </cell>
          <cell r="Q140" t="str">
            <v>SI</v>
          </cell>
          <cell r="R140" t="str">
            <v>2P</v>
          </cell>
          <cell r="S140" t="str">
            <v>PO</v>
          </cell>
          <cell r="T140" t="str">
            <v>Esistente</v>
          </cell>
          <cell r="U140" t="str">
            <v>Esistente</v>
          </cell>
          <cell r="V140" t="str">
            <v>NO</v>
          </cell>
          <cell r="W140" t="str">
            <v>NO</v>
          </cell>
        </row>
        <row r="141">
          <cell r="A141">
            <v>7792</v>
          </cell>
          <cell r="B141" t="str">
            <v>X</v>
          </cell>
          <cell r="C141" t="str">
            <v>X</v>
          </cell>
          <cell r="D141" t="str">
            <v>Milatalia</v>
          </cell>
          <cell r="E141" t="str">
            <v>Astucci 5 ghiaccioli</v>
          </cell>
          <cell r="F141"/>
          <cell r="G141"/>
          <cell r="H141"/>
          <cell r="I141"/>
          <cell r="J141">
            <v>33600</v>
          </cell>
          <cell r="K141" t="str">
            <v>8.400 fogli</v>
          </cell>
          <cell r="L141">
            <v>2</v>
          </cell>
          <cell r="M141">
            <v>44820</v>
          </cell>
          <cell r="N141"/>
          <cell r="O141"/>
          <cell r="P141" t="str">
            <v>112 400 62x81</v>
          </cell>
          <cell r="Q141" t="str">
            <v>NO</v>
          </cell>
          <cell r="R141" t="str">
            <v>4Q</v>
          </cell>
          <cell r="S141" t="str">
            <v>V.ce lucida</v>
          </cell>
          <cell r="T141" t="str">
            <v>Esistente</v>
          </cell>
          <cell r="U141" t="str">
            <v>Esistente</v>
          </cell>
          <cell r="V141" t="str">
            <v>SI</v>
          </cell>
          <cell r="W141" t="str">
            <v>NO</v>
          </cell>
        </row>
        <row r="142">
          <cell r="A142">
            <v>202207849</v>
          </cell>
          <cell r="B142" t="str">
            <v>R</v>
          </cell>
          <cell r="C142" t="str">
            <v>X</v>
          </cell>
          <cell r="D142" t="str">
            <v>Quaranta</v>
          </cell>
          <cell r="E142" t="str">
            <v>Espositore Vari modelli - ord. 7849</v>
          </cell>
          <cell r="F142"/>
          <cell r="G142"/>
          <cell r="H142"/>
          <cell r="I142"/>
          <cell r="J142">
            <v>26500</v>
          </cell>
          <cell r="K142" t="str">
            <v>13.250 fogli</v>
          </cell>
          <cell r="L142">
            <v>9</v>
          </cell>
          <cell r="M142">
            <v>44820</v>
          </cell>
          <cell r="N142"/>
          <cell r="O142"/>
          <cell r="P142" t="str">
            <v>115 290</v>
          </cell>
          <cell r="Q142" t="str">
            <v>NO</v>
          </cell>
          <cell r="R142" t="str">
            <v>4Q</v>
          </cell>
          <cell r="S142" t="str">
            <v>V.ce + OC</v>
          </cell>
          <cell r="T142" t="str">
            <v>Esistente</v>
          </cell>
          <cell r="U142" t="str">
            <v>Esistente</v>
          </cell>
          <cell r="V142" t="str">
            <v>SI</v>
          </cell>
          <cell r="W142" t="str">
            <v>NO</v>
          </cell>
        </row>
        <row r="143">
          <cell r="A143">
            <v>7800</v>
          </cell>
          <cell r="B143" t="str">
            <v>X</v>
          </cell>
          <cell r="C143" t="str">
            <v>X</v>
          </cell>
          <cell r="D143" t="str">
            <v>Westwood</v>
          </cell>
          <cell r="E143" t="str">
            <v>Scatole Gift Poncho</v>
          </cell>
          <cell r="F143"/>
          <cell r="G143"/>
          <cell r="H143"/>
          <cell r="I143"/>
          <cell r="J143">
            <v>1200</v>
          </cell>
          <cell r="K143" t="str">
            <v>1.800 fogli</v>
          </cell>
          <cell r="L143">
            <v>2</v>
          </cell>
          <cell r="M143">
            <v>44820</v>
          </cell>
          <cell r="N143"/>
          <cell r="O143"/>
          <cell r="P143" t="str">
            <v>FAV 380 71x101</v>
          </cell>
          <cell r="Q143" t="str">
            <v>SI</v>
          </cell>
          <cell r="R143" t="str">
            <v>1P</v>
          </cell>
          <cell r="S143" t="str">
            <v>-</v>
          </cell>
          <cell r="T143" t="str">
            <v>-</v>
          </cell>
          <cell r="U143" t="str">
            <v>Esistente</v>
          </cell>
          <cell r="V143" t="str">
            <v>SI</v>
          </cell>
          <cell r="W143" t="str">
            <v>NO</v>
          </cell>
        </row>
        <row r="144">
          <cell r="A144">
            <v>7577</v>
          </cell>
          <cell r="B144" t="str">
            <v>X</v>
          </cell>
          <cell r="C144" t="str">
            <v>X</v>
          </cell>
          <cell r="D144" t="str">
            <v>Nero Nobile</v>
          </cell>
          <cell r="E144" t="str">
            <v>Astucci La capsuleria FS0380 - ord. 337</v>
          </cell>
          <cell r="F144"/>
          <cell r="G144"/>
          <cell r="H144"/>
          <cell r="I144"/>
          <cell r="J144">
            <v>83000</v>
          </cell>
          <cell r="K144" t="str">
            <v>20.750 fogli</v>
          </cell>
          <cell r="L144">
            <v>3</v>
          </cell>
          <cell r="M144">
            <v>44823</v>
          </cell>
          <cell r="N144"/>
          <cell r="O144"/>
          <cell r="P144" t="str">
            <v>GC2 270 62x100,5</v>
          </cell>
          <cell r="Q144" t="str">
            <v>NO</v>
          </cell>
          <cell r="R144" t="str">
            <v>4Q + 1P</v>
          </cell>
          <cell r="S144" t="str">
            <v>V.ce opaca</v>
          </cell>
          <cell r="T144" t="str">
            <v>Esistente</v>
          </cell>
          <cell r="U144" t="str">
            <v>Esistente</v>
          </cell>
          <cell r="V144" t="str">
            <v>Si</v>
          </cell>
          <cell r="W144" t="str">
            <v>NO</v>
          </cell>
        </row>
        <row r="145">
          <cell r="A145">
            <v>7808</v>
          </cell>
          <cell r="B145" t="str">
            <v>X</v>
          </cell>
          <cell r="C145" t="str">
            <v>X</v>
          </cell>
          <cell r="D145" t="str">
            <v>Nero Nobile</v>
          </cell>
          <cell r="E145" t="str">
            <v>Astucci Iper x25 - ord. 559</v>
          </cell>
          <cell r="F145"/>
          <cell r="G145"/>
          <cell r="H145"/>
          <cell r="I145"/>
          <cell r="J145">
            <v>30000</v>
          </cell>
          <cell r="K145" t="str">
            <v>7.500 fogli</v>
          </cell>
          <cell r="L145">
            <v>1</v>
          </cell>
          <cell r="M145">
            <v>44823</v>
          </cell>
          <cell r="N145"/>
          <cell r="O145"/>
          <cell r="P145" t="str">
            <v>112 400 62x100,5</v>
          </cell>
          <cell r="Q145" t="str">
            <v>NO</v>
          </cell>
          <cell r="R145" t="str">
            <v>4P</v>
          </cell>
          <cell r="S145" t="str">
            <v>UV + UV</v>
          </cell>
          <cell r="T145" t="str">
            <v>Esistente</v>
          </cell>
          <cell r="U145" t="str">
            <v>Esistente</v>
          </cell>
          <cell r="V145" t="str">
            <v>NO</v>
          </cell>
          <cell r="W145" t="str">
            <v>NO</v>
          </cell>
        </row>
        <row r="146">
          <cell r="A146">
            <v>7817</v>
          </cell>
          <cell r="B146" t="str">
            <v>N</v>
          </cell>
          <cell r="C146" t="str">
            <v>X</v>
          </cell>
          <cell r="D146" t="str">
            <v>Nero Nobile</v>
          </cell>
          <cell r="E146" t="str">
            <v>Astucci Nero Nobile FS0384 - ord. 623</v>
          </cell>
          <cell r="F146"/>
          <cell r="G146"/>
          <cell r="H146"/>
          <cell r="I146"/>
          <cell r="J146">
            <v>108000</v>
          </cell>
          <cell r="K146" t="str">
            <v>27.000 fogli</v>
          </cell>
          <cell r="L146">
            <v>3</v>
          </cell>
          <cell r="M146">
            <v>44823</v>
          </cell>
          <cell r="N146"/>
          <cell r="O146"/>
          <cell r="P146" t="str">
            <v>GC2 270 54x82</v>
          </cell>
          <cell r="Q146" t="str">
            <v>NO</v>
          </cell>
          <cell r="R146" t="str">
            <v>4Q + 1P</v>
          </cell>
          <cell r="S146" t="str">
            <v>Drip + UV</v>
          </cell>
          <cell r="T146" t="str">
            <v>Esistente</v>
          </cell>
          <cell r="U146" t="str">
            <v>Esistente</v>
          </cell>
          <cell r="V146" t="str">
            <v>SI</v>
          </cell>
          <cell r="W146" t="str">
            <v>NO</v>
          </cell>
        </row>
        <row r="147">
          <cell r="A147">
            <v>7820</v>
          </cell>
          <cell r="B147" t="str">
            <v>X</v>
          </cell>
          <cell r="C147" t="str">
            <v>x</v>
          </cell>
          <cell r="D147" t="str">
            <v>Nero Nobile</v>
          </cell>
          <cell r="E147" t="str">
            <v>Astucci Nero Nobile FS0380 - ord 620</v>
          </cell>
          <cell r="F147"/>
          <cell r="G147"/>
          <cell r="H147"/>
          <cell r="I147"/>
          <cell r="J147">
            <v>178000</v>
          </cell>
          <cell r="K147" t="str">
            <v>44.500 fogli</v>
          </cell>
          <cell r="L147">
            <v>3</v>
          </cell>
          <cell r="M147">
            <v>44823</v>
          </cell>
          <cell r="N147"/>
          <cell r="O147"/>
          <cell r="P147" t="str">
            <v>GC2 270 62x100,5</v>
          </cell>
          <cell r="Q147" t="str">
            <v>NO</v>
          </cell>
          <cell r="R147" t="str">
            <v>4Q + 1P</v>
          </cell>
          <cell r="S147" t="str">
            <v>V.ce opaca</v>
          </cell>
          <cell r="T147" t="str">
            <v>Esistente</v>
          </cell>
          <cell r="U147" t="str">
            <v>Esistente</v>
          </cell>
          <cell r="V147" t="str">
            <v>SI</v>
          </cell>
          <cell r="W147" t="str">
            <v>NO</v>
          </cell>
        </row>
        <row r="148">
          <cell r="A148">
            <v>7821</v>
          </cell>
          <cell r="B148" t="str">
            <v>R</v>
          </cell>
          <cell r="C148" t="str">
            <v>X</v>
          </cell>
          <cell r="D148" t="str">
            <v>Nero Nobile</v>
          </cell>
          <cell r="E148" t="str">
            <v>Astucci caffè italiano FS0385 - ord. 616</v>
          </cell>
          <cell r="F148"/>
          <cell r="G148"/>
          <cell r="H148"/>
          <cell r="I148"/>
          <cell r="J148">
            <v>100200</v>
          </cell>
          <cell r="K148" t="str">
            <v>16.700 fogli</v>
          </cell>
          <cell r="L148">
            <v>3</v>
          </cell>
          <cell r="M148">
            <v>44823</v>
          </cell>
          <cell r="N148"/>
          <cell r="O148"/>
          <cell r="P148" t="str">
            <v>GC2 270 72x75</v>
          </cell>
          <cell r="Q148" t="str">
            <v>NO</v>
          </cell>
          <cell r="R148" t="str">
            <v>4Q + 1P</v>
          </cell>
          <cell r="S148" t="str">
            <v>V.ce opaca</v>
          </cell>
          <cell r="T148" t="str">
            <v>Esistente</v>
          </cell>
          <cell r="U148" t="str">
            <v>Esistente</v>
          </cell>
          <cell r="V148" t="str">
            <v>SI</v>
          </cell>
          <cell r="W148" t="str">
            <v>NO</v>
          </cell>
        </row>
        <row r="149">
          <cell r="A149">
            <v>7835</v>
          </cell>
          <cell r="B149" t="str">
            <v>R</v>
          </cell>
          <cell r="C149" t="str">
            <v>X</v>
          </cell>
          <cell r="D149" t="str">
            <v>Nero Nobile</v>
          </cell>
          <cell r="E149" t="str">
            <v>Astucci Caffè Italiano FS0380 - ord. 631</v>
          </cell>
          <cell r="F149"/>
          <cell r="G149"/>
          <cell r="H149"/>
          <cell r="I149"/>
          <cell r="J149">
            <v>19200</v>
          </cell>
          <cell r="K149" t="str">
            <v>4.800 fogli</v>
          </cell>
          <cell r="L149">
            <v>1</v>
          </cell>
          <cell r="M149">
            <v>44823</v>
          </cell>
          <cell r="N149"/>
          <cell r="O149"/>
          <cell r="P149" t="str">
            <v>GC2 270 62x100,5</v>
          </cell>
          <cell r="Q149" t="str">
            <v>NO</v>
          </cell>
          <cell r="R149" t="str">
            <v>4Q + 1P</v>
          </cell>
          <cell r="S149" t="str">
            <v>V.ce opaca</v>
          </cell>
          <cell r="T149" t="str">
            <v>Esistente</v>
          </cell>
          <cell r="U149" t="str">
            <v>Esistente</v>
          </cell>
          <cell r="V149" t="str">
            <v>SI</v>
          </cell>
          <cell r="W149" t="str">
            <v>NO</v>
          </cell>
        </row>
        <row r="150">
          <cell r="A150">
            <v>202207753</v>
          </cell>
          <cell r="B150" t="str">
            <v>X</v>
          </cell>
          <cell r="C150" t="str">
            <v>X</v>
          </cell>
          <cell r="D150" t="str">
            <v>Caseificio Paleni</v>
          </cell>
          <cell r="E150" t="str">
            <v>Scatole Bauletto Microonda</v>
          </cell>
          <cell r="F150"/>
          <cell r="G150"/>
          <cell r="H150"/>
          <cell r="I150"/>
          <cell r="J150">
            <v>10000</v>
          </cell>
          <cell r="K150" t="str">
            <v>5.000 fogli</v>
          </cell>
          <cell r="L150">
            <v>1</v>
          </cell>
          <cell r="M150">
            <v>44824</v>
          </cell>
          <cell r="N150"/>
          <cell r="O150"/>
          <cell r="P150" t="str">
            <v>115 250</v>
          </cell>
          <cell r="Q150" t="str">
            <v>NO</v>
          </cell>
          <cell r="R150" t="str">
            <v>4Q</v>
          </cell>
          <cell r="S150" t="str">
            <v>V.ce lucida</v>
          </cell>
          <cell r="T150" t="str">
            <v>Esistente</v>
          </cell>
          <cell r="U150" t="str">
            <v>Esistente</v>
          </cell>
          <cell r="V150" t="str">
            <v>NO</v>
          </cell>
          <cell r="W150" t="str">
            <v>SI</v>
          </cell>
        </row>
        <row r="151">
          <cell r="A151">
            <v>7809</v>
          </cell>
          <cell r="B151" t="str">
            <v>X</v>
          </cell>
          <cell r="C151" t="str">
            <v>X</v>
          </cell>
          <cell r="D151" t="str">
            <v>Essegel</v>
          </cell>
          <cell r="E151" t="str">
            <v>Astucci 10 Ghiaccioli Nuova misura MD</v>
          </cell>
          <cell r="F151"/>
          <cell r="G151"/>
          <cell r="H151"/>
          <cell r="I151"/>
          <cell r="J151">
            <v>100000</v>
          </cell>
          <cell r="K151" t="str">
            <v>25.000 fogli</v>
          </cell>
          <cell r="L151">
            <v>1</v>
          </cell>
          <cell r="M151">
            <v>44824</v>
          </cell>
          <cell r="N151"/>
          <cell r="O151"/>
          <cell r="P151" t="str">
            <v>962 400 60,5x106</v>
          </cell>
          <cell r="Q151" t="str">
            <v>NO</v>
          </cell>
          <cell r="R151" t="str">
            <v>4Q</v>
          </cell>
          <cell r="S151" t="str">
            <v>V.ce lucida</v>
          </cell>
          <cell r="T151" t="str">
            <v>Esistente</v>
          </cell>
          <cell r="U151" t="str">
            <v>Esistente</v>
          </cell>
          <cell r="V151" t="str">
            <v>SI</v>
          </cell>
          <cell r="W151" t="str">
            <v>NO</v>
          </cell>
        </row>
        <row r="152">
          <cell r="A152">
            <v>7803</v>
          </cell>
          <cell r="B152" t="str">
            <v>X</v>
          </cell>
          <cell r="C152" t="str">
            <v>X</v>
          </cell>
          <cell r="D152" t="str">
            <v>Nero Nobile</v>
          </cell>
          <cell r="E152" t="str">
            <v>Astucci Portorico FS0380 - ord. 609</v>
          </cell>
          <cell r="F152"/>
          <cell r="G152"/>
          <cell r="H152"/>
          <cell r="I152"/>
          <cell r="J152">
            <v>120000</v>
          </cell>
          <cell r="K152" t="str">
            <v>7.500 fogli</v>
          </cell>
          <cell r="L152">
            <v>4</v>
          </cell>
          <cell r="M152">
            <v>44824</v>
          </cell>
          <cell r="N152"/>
          <cell r="O152"/>
          <cell r="P152" t="str">
            <v>GC2 270 62x100,5</v>
          </cell>
          <cell r="Q152" t="str">
            <v>NO</v>
          </cell>
          <cell r="R152" t="str">
            <v>4Q</v>
          </cell>
          <cell r="S152" t="str">
            <v>V.ce Lucida</v>
          </cell>
          <cell r="T152" t="str">
            <v>Esistente</v>
          </cell>
          <cell r="U152" t="str">
            <v>Esistente</v>
          </cell>
          <cell r="V152" t="str">
            <v>SI</v>
          </cell>
          <cell r="W152" t="str">
            <v>NO</v>
          </cell>
        </row>
        <row r="153">
          <cell r="A153">
            <v>7823</v>
          </cell>
          <cell r="B153" t="str">
            <v>N</v>
          </cell>
          <cell r="C153" t="str">
            <v>X</v>
          </cell>
          <cell r="D153" t="str">
            <v>Pantytex</v>
          </cell>
          <cell r="E153" t="str">
            <v>Buste Hema Gambaletto - ord. 216</v>
          </cell>
          <cell r="F153"/>
          <cell r="G153"/>
          <cell r="H153"/>
          <cell r="I153"/>
          <cell r="J153">
            <v>85000</v>
          </cell>
          <cell r="K153" t="str">
            <v>12.500 fogli</v>
          </cell>
          <cell r="L153">
            <v>1</v>
          </cell>
          <cell r="M153">
            <v>44824</v>
          </cell>
          <cell r="N153"/>
          <cell r="O153"/>
          <cell r="P153" t="str">
            <v>GC1 250 95x58</v>
          </cell>
          <cell r="Q153" t="str">
            <v>NO</v>
          </cell>
          <cell r="R153" t="str">
            <v>4Q + 1P</v>
          </cell>
          <cell r="S153" t="str">
            <v>V.ce soft</v>
          </cell>
          <cell r="T153" t="str">
            <v>Esistente</v>
          </cell>
          <cell r="U153" t="str">
            <v>Esistente</v>
          </cell>
          <cell r="V153" t="str">
            <v>NO</v>
          </cell>
          <cell r="W153" t="str">
            <v>NO</v>
          </cell>
        </row>
        <row r="154">
          <cell r="A154">
            <v>7798</v>
          </cell>
          <cell r="B154" t="str">
            <v>X</v>
          </cell>
          <cell r="C154" t="str">
            <v>X</v>
          </cell>
          <cell r="D154" t="str">
            <v>Milatalia</v>
          </cell>
          <cell r="E154" t="str">
            <v xml:space="preserve">Astucci Cono </v>
          </cell>
          <cell r="F154"/>
          <cell r="G154"/>
          <cell r="H154"/>
          <cell r="I154"/>
          <cell r="J154">
            <v>24000</v>
          </cell>
          <cell r="K154" t="str">
            <v>6.000 fogli</v>
          </cell>
          <cell r="L154">
            <v>1</v>
          </cell>
          <cell r="M154">
            <v>44825</v>
          </cell>
          <cell r="N154"/>
          <cell r="O154"/>
          <cell r="P154" t="str">
            <v>112 400</v>
          </cell>
          <cell r="Q154" t="str">
            <v>NO</v>
          </cell>
          <cell r="R154" t="str">
            <v>4Q</v>
          </cell>
          <cell r="S154" t="str">
            <v>V.ce lucida</v>
          </cell>
          <cell r="T154" t="str">
            <v>Esistente</v>
          </cell>
          <cell r="U154" t="str">
            <v>Esistente</v>
          </cell>
          <cell r="V154" t="str">
            <v>NO</v>
          </cell>
          <cell r="W154" t="str">
            <v>NO</v>
          </cell>
        </row>
        <row r="155">
          <cell r="A155">
            <v>7819</v>
          </cell>
          <cell r="B155" t="str">
            <v>N</v>
          </cell>
          <cell r="C155" t="str">
            <v>X</v>
          </cell>
          <cell r="D155" t="str">
            <v>Nero Nobile</v>
          </cell>
          <cell r="E155" t="str">
            <v>Astucci Vincit FS0380 - ord 617</v>
          </cell>
          <cell r="F155"/>
          <cell r="G155"/>
          <cell r="H155"/>
          <cell r="I155"/>
          <cell r="J155">
            <v>20000</v>
          </cell>
          <cell r="K155" t="str">
            <v>5.000 fogli</v>
          </cell>
          <cell r="L155">
            <v>1</v>
          </cell>
          <cell r="M155">
            <v>44825</v>
          </cell>
          <cell r="N155"/>
          <cell r="O155"/>
          <cell r="P155" t="str">
            <v>GC2 270 62x100,5</v>
          </cell>
          <cell r="Q155" t="str">
            <v>NO</v>
          </cell>
          <cell r="R155" t="str">
            <v>4Q + 1P</v>
          </cell>
          <cell r="S155" t="str">
            <v>V.ce opaca</v>
          </cell>
          <cell r="T155" t="str">
            <v>Esistente</v>
          </cell>
          <cell r="U155" t="str">
            <v>Esistente</v>
          </cell>
          <cell r="V155" t="str">
            <v>SI</v>
          </cell>
          <cell r="W155" t="str">
            <v>NO</v>
          </cell>
        </row>
        <row r="156">
          <cell r="A156">
            <v>7848</v>
          </cell>
          <cell r="B156" t="str">
            <v>N</v>
          </cell>
          <cell r="C156" t="str">
            <v>X</v>
          </cell>
          <cell r="D156" t="str">
            <v>Nero Nobile</v>
          </cell>
          <cell r="E156" t="str">
            <v>Astucci Vincit FS0383 - ord. 618</v>
          </cell>
          <cell r="F156"/>
          <cell r="G156"/>
          <cell r="H156"/>
          <cell r="I156"/>
          <cell r="J156">
            <v>30000</v>
          </cell>
          <cell r="K156" t="str">
            <v>5.000 fogli</v>
          </cell>
          <cell r="L156">
            <v>2</v>
          </cell>
          <cell r="M156">
            <v>44825</v>
          </cell>
          <cell r="N156"/>
          <cell r="O156"/>
          <cell r="P156" t="str">
            <v>GC2 270 72x75</v>
          </cell>
          <cell r="Q156" t="str">
            <v>NO</v>
          </cell>
          <cell r="R156" t="str">
            <v>4Q + 1P</v>
          </cell>
          <cell r="S156" t="str">
            <v>V.ce opaca</v>
          </cell>
          <cell r="T156" t="str">
            <v>Esistente</v>
          </cell>
          <cell r="U156" t="str">
            <v>Esistente</v>
          </cell>
          <cell r="V156" t="str">
            <v>SI</v>
          </cell>
          <cell r="W156" t="str">
            <v>NO</v>
          </cell>
        </row>
        <row r="157">
          <cell r="A157">
            <v>7776</v>
          </cell>
          <cell r="B157" t="str">
            <v>X</v>
          </cell>
          <cell r="C157" t="str">
            <v>X</v>
          </cell>
          <cell r="D157" t="str">
            <v>Pastificio Gaetarelli</v>
          </cell>
          <cell r="E157" t="str">
            <v>Fasce per la pasta</v>
          </cell>
          <cell r="F157"/>
          <cell r="G157"/>
          <cell r="H157"/>
          <cell r="I157"/>
          <cell r="J157">
            <v>105000</v>
          </cell>
          <cell r="K157" t="str">
            <v>21.000 fogli</v>
          </cell>
          <cell r="L157">
            <v>1</v>
          </cell>
          <cell r="M157">
            <v>44825</v>
          </cell>
          <cell r="N157"/>
          <cell r="O157"/>
          <cell r="P157" t="str">
            <v>sym 330 100x72,5</v>
          </cell>
          <cell r="Q157" t="str">
            <v>NO</v>
          </cell>
          <cell r="R157" t="str">
            <v>4Q + 2P</v>
          </cell>
          <cell r="S157" t="str">
            <v>V.ce retri</v>
          </cell>
          <cell r="T157" t="str">
            <v>Esistente</v>
          </cell>
          <cell r="U157" t="str">
            <v>Esistente</v>
          </cell>
          <cell r="V157" t="str">
            <v>NO</v>
          </cell>
          <cell r="W157" t="str">
            <v>NO</v>
          </cell>
        </row>
        <row r="158">
          <cell r="A158">
            <v>7831</v>
          </cell>
          <cell r="B158" t="str">
            <v>N</v>
          </cell>
          <cell r="C158" t="str">
            <v>X</v>
          </cell>
          <cell r="D158" t="str">
            <v>JBS</v>
          </cell>
          <cell r="E158" t="str">
            <v>Appendini Hamger Suiava - ord- 218</v>
          </cell>
          <cell r="F158"/>
          <cell r="G158"/>
          <cell r="H158"/>
          <cell r="I158"/>
          <cell r="J158">
            <v>12000</v>
          </cell>
          <cell r="K158" t="str">
            <v>3.000 fogli</v>
          </cell>
          <cell r="L158">
            <v>1</v>
          </cell>
          <cell r="M158">
            <v>44826</v>
          </cell>
          <cell r="N158"/>
          <cell r="O158"/>
          <cell r="P158" t="str">
            <v>GC1 295 72x102</v>
          </cell>
          <cell r="Q158" t="str">
            <v>SI</v>
          </cell>
          <cell r="R158" t="str">
            <v>1P</v>
          </cell>
          <cell r="S158" t="str">
            <v>V.ce soft</v>
          </cell>
          <cell r="T158" t="str">
            <v>Esistente</v>
          </cell>
          <cell r="U158" t="str">
            <v>Esistente</v>
          </cell>
          <cell r="V158" t="str">
            <v>Si</v>
          </cell>
          <cell r="W158" t="str">
            <v>NO</v>
          </cell>
        </row>
        <row r="159">
          <cell r="A159">
            <v>7842</v>
          </cell>
          <cell r="B159" t="str">
            <v>N</v>
          </cell>
          <cell r="C159" t="str">
            <v>X</v>
          </cell>
          <cell r="D159" t="str">
            <v>Stringart</v>
          </cell>
          <cell r="E159" t="str">
            <v>Scatole Movi grandi</v>
          </cell>
          <cell r="F159"/>
          <cell r="G159"/>
          <cell r="H159"/>
          <cell r="I159"/>
          <cell r="J159">
            <v>10000</v>
          </cell>
          <cell r="K159" t="str">
            <v>10.000 fogli</v>
          </cell>
          <cell r="L159">
            <v>1</v>
          </cell>
          <cell r="M159">
            <v>44826</v>
          </cell>
          <cell r="N159"/>
          <cell r="O159"/>
          <cell r="P159" t="str">
            <v>112 385</v>
          </cell>
          <cell r="Q159" t="str">
            <v>NO</v>
          </cell>
          <cell r="R159" t="str">
            <v>4Q</v>
          </cell>
          <cell r="S159" t="str">
            <v>UV</v>
          </cell>
          <cell r="T159" t="str">
            <v>Esistente</v>
          </cell>
          <cell r="U159" t="str">
            <v>Esistente</v>
          </cell>
          <cell r="V159" t="str">
            <v>Si</v>
          </cell>
          <cell r="W159" t="str">
            <v>NO</v>
          </cell>
        </row>
        <row r="160">
          <cell r="A160">
            <v>7830</v>
          </cell>
          <cell r="B160" t="str">
            <v>R</v>
          </cell>
          <cell r="C160" t="str">
            <v>X</v>
          </cell>
          <cell r="D160" t="str">
            <v>Tradigo Giovanni</v>
          </cell>
          <cell r="E160" t="str">
            <v>Fascette demilife - ord. 223</v>
          </cell>
          <cell r="F160"/>
          <cell r="G160"/>
          <cell r="H160"/>
          <cell r="I160"/>
          <cell r="J160">
            <v>15000</v>
          </cell>
          <cell r="K160" t="str">
            <v>1.000 fogli</v>
          </cell>
          <cell r="L160">
            <v>1</v>
          </cell>
          <cell r="M160">
            <v>44826</v>
          </cell>
          <cell r="N160"/>
          <cell r="O160"/>
          <cell r="P160" t="str">
            <v>Sym 200 89x52</v>
          </cell>
          <cell r="Q160" t="str">
            <v>SI</v>
          </cell>
          <cell r="R160" t="str">
            <v>2P</v>
          </cell>
          <cell r="S160" t="str">
            <v>V.ce lucida</v>
          </cell>
          <cell r="T160" t="str">
            <v>Esistente</v>
          </cell>
          <cell r="U160" t="str">
            <v>Esistente</v>
          </cell>
          <cell r="V160" t="str">
            <v>NO</v>
          </cell>
          <cell r="W160" t="str">
            <v>NO</v>
          </cell>
        </row>
        <row r="161">
          <cell r="A161">
            <v>7818</v>
          </cell>
          <cell r="B161" t="str">
            <v>X</v>
          </cell>
          <cell r="C161" t="str">
            <v>X</v>
          </cell>
          <cell r="D161" t="str">
            <v>Gandola</v>
          </cell>
          <cell r="E161" t="str">
            <v>Astucci Pocy - ord. OA22001231</v>
          </cell>
          <cell r="F161"/>
          <cell r="G161"/>
          <cell r="H161"/>
          <cell r="I161"/>
          <cell r="J161">
            <v>24000</v>
          </cell>
          <cell r="K161" t="str">
            <v>4.000 fogli</v>
          </cell>
          <cell r="L161">
            <v>1</v>
          </cell>
          <cell r="M161">
            <v>44827</v>
          </cell>
          <cell r="N161"/>
          <cell r="O161"/>
          <cell r="P161" t="str">
            <v>112 400</v>
          </cell>
          <cell r="Q161" t="str">
            <v>NO</v>
          </cell>
          <cell r="R161" t="str">
            <v>4Q</v>
          </cell>
          <cell r="S161" t="str">
            <v>V.ce lucida</v>
          </cell>
          <cell r="T161" t="str">
            <v>Esistente</v>
          </cell>
          <cell r="U161" t="str">
            <v>Esistente</v>
          </cell>
          <cell r="V161" t="str">
            <v>SI</v>
          </cell>
          <cell r="W161" t="str">
            <v>NO</v>
          </cell>
        </row>
        <row r="162">
          <cell r="A162">
            <v>202207802</v>
          </cell>
          <cell r="B162" t="str">
            <v>R</v>
          </cell>
          <cell r="C162" t="str">
            <v>X</v>
          </cell>
          <cell r="D162" t="str">
            <v>Quaranta</v>
          </cell>
          <cell r="E162" t="str">
            <v>Cartelli da Banco</v>
          </cell>
          <cell r="F162"/>
          <cell r="G162">
            <v>7181</v>
          </cell>
          <cell r="H162">
            <v>44804</v>
          </cell>
          <cell r="I162"/>
          <cell r="J162">
            <v>750</v>
          </cell>
          <cell r="K162" t="str">
            <v>750 fogli</v>
          </cell>
          <cell r="L162">
            <v>1</v>
          </cell>
          <cell r="M162">
            <v>44827</v>
          </cell>
          <cell r="N162"/>
          <cell r="O162"/>
          <cell r="P162" t="str">
            <v>GC1 325</v>
          </cell>
          <cell r="Q162" t="str">
            <v>NO</v>
          </cell>
          <cell r="R162" t="str">
            <v>4Q</v>
          </cell>
          <cell r="S162" t="str">
            <v>PL + UV</v>
          </cell>
          <cell r="T162" t="str">
            <v>Esistente</v>
          </cell>
          <cell r="U162" t="str">
            <v>Esistente</v>
          </cell>
          <cell r="V162" t="str">
            <v>SI</v>
          </cell>
          <cell r="W162" t="str">
            <v>NO</v>
          </cell>
        </row>
        <row r="163">
          <cell r="A163">
            <v>7826</v>
          </cell>
          <cell r="B163" t="str">
            <v>R</v>
          </cell>
          <cell r="C163" t="str">
            <v>X</v>
          </cell>
          <cell r="D163" t="str">
            <v>Quaranta</v>
          </cell>
          <cell r="E163" t="str">
            <v>Astucci Mattonella Mandorla e Nocciola - ord. 7298</v>
          </cell>
          <cell r="F163"/>
          <cell r="G163"/>
          <cell r="H163"/>
          <cell r="I163"/>
          <cell r="J163">
            <v>20000</v>
          </cell>
          <cell r="K163" t="str">
            <v>5.000 fogli</v>
          </cell>
          <cell r="L163">
            <v>1</v>
          </cell>
          <cell r="M163">
            <v>44827</v>
          </cell>
          <cell r="N163"/>
          <cell r="O163"/>
          <cell r="P163" t="str">
            <v>113 320</v>
          </cell>
          <cell r="Q163" t="str">
            <v>NO</v>
          </cell>
          <cell r="R163" t="str">
            <v>4Q</v>
          </cell>
          <cell r="S163" t="str">
            <v>V.ce opaca</v>
          </cell>
          <cell r="T163" t="str">
            <v>Esistente</v>
          </cell>
          <cell r="U163" t="str">
            <v>Esistente</v>
          </cell>
          <cell r="V163" t="str">
            <v>SI</v>
          </cell>
          <cell r="W163" t="str">
            <v>NO</v>
          </cell>
        </row>
        <row r="164">
          <cell r="A164">
            <v>7797</v>
          </cell>
          <cell r="B164" t="str">
            <v>X</v>
          </cell>
          <cell r="C164" t="str">
            <v>x</v>
          </cell>
          <cell r="D164" t="str">
            <v>Cosmai</v>
          </cell>
          <cell r="E164" t="str">
            <v>Astucci Cosmai 10 capsule</v>
          </cell>
          <cell r="F164"/>
          <cell r="G164"/>
          <cell r="H164"/>
          <cell r="I164"/>
          <cell r="J164">
            <v>30000</v>
          </cell>
          <cell r="K164" t="str">
            <v>10.000 fogli</v>
          </cell>
          <cell r="L164">
            <v>1</v>
          </cell>
          <cell r="M164">
            <v>44830</v>
          </cell>
          <cell r="N164"/>
          <cell r="O164"/>
          <cell r="P164" t="str">
            <v>GC1 325</v>
          </cell>
          <cell r="Q164" t="str">
            <v>NO</v>
          </cell>
          <cell r="R164" t="str">
            <v>4Q + 1P</v>
          </cell>
          <cell r="S164" t="str">
            <v>V.ce opaca</v>
          </cell>
          <cell r="T164" t="str">
            <v>Esistente</v>
          </cell>
          <cell r="U164" t="str">
            <v>Esistente</v>
          </cell>
          <cell r="V164" t="str">
            <v>SI</v>
          </cell>
          <cell r="W164" t="str">
            <v>NO</v>
          </cell>
        </row>
        <row r="165">
          <cell r="A165">
            <v>7760</v>
          </cell>
          <cell r="B165" t="str">
            <v>X</v>
          </cell>
          <cell r="C165" t="str">
            <v>X</v>
          </cell>
          <cell r="D165" t="str">
            <v>Feldi</v>
          </cell>
          <cell r="E165" t="str">
            <v>Scatole tesmed bianche</v>
          </cell>
          <cell r="F165"/>
          <cell r="G165"/>
          <cell r="H165"/>
          <cell r="I165"/>
          <cell r="J165">
            <v>30000</v>
          </cell>
          <cell r="K165" t="str">
            <v>7.500 fogli</v>
          </cell>
          <cell r="L165">
            <v>1</v>
          </cell>
          <cell r="M165">
            <v>44830</v>
          </cell>
          <cell r="N165"/>
          <cell r="O165"/>
          <cell r="P165" t="str">
            <v>115 270</v>
          </cell>
          <cell r="Q165" t="str">
            <v>NO</v>
          </cell>
          <cell r="R165" t="str">
            <v>2P</v>
          </cell>
          <cell r="S165" t="str">
            <v>V.ce lucida</v>
          </cell>
          <cell r="T165" t="str">
            <v>Esistente</v>
          </cell>
          <cell r="U165" t="str">
            <v>Esistente</v>
          </cell>
          <cell r="V165" t="str">
            <v>SI</v>
          </cell>
          <cell r="W165" t="str">
            <v>NO</v>
          </cell>
        </row>
        <row r="166">
          <cell r="A166">
            <v>7828</v>
          </cell>
          <cell r="B166" t="str">
            <v>N</v>
          </cell>
          <cell r="C166" t="str">
            <v>X</v>
          </cell>
          <cell r="D166" t="str">
            <v>Mariflos</v>
          </cell>
          <cell r="E166" t="str">
            <v>Appendini GEMO Kids 2x - ord. 222</v>
          </cell>
          <cell r="F166"/>
          <cell r="G166"/>
          <cell r="H166"/>
          <cell r="I166"/>
          <cell r="J166">
            <v>84000</v>
          </cell>
          <cell r="K166" t="str">
            <v>7.000 fogli</v>
          </cell>
          <cell r="L166">
            <v>2</v>
          </cell>
          <cell r="M166">
            <v>44832</v>
          </cell>
          <cell r="N166"/>
          <cell r="O166"/>
          <cell r="P166" t="str">
            <v>GC2 250</v>
          </cell>
          <cell r="Q166" t="str">
            <v>NO</v>
          </cell>
          <cell r="R166" t="str">
            <v>2P</v>
          </cell>
          <cell r="S166" t="str">
            <v>V.ce opaca</v>
          </cell>
          <cell r="T166" t="str">
            <v>Esistente</v>
          </cell>
          <cell r="U166" t="str">
            <v>Esistente</v>
          </cell>
          <cell r="V166" t="str">
            <v>SI</v>
          </cell>
          <cell r="W166" t="str">
            <v>NO</v>
          </cell>
        </row>
        <row r="167">
          <cell r="A167">
            <v>202207841</v>
          </cell>
          <cell r="B167" t="str">
            <v>N</v>
          </cell>
          <cell r="C167" t="str">
            <v>X</v>
          </cell>
          <cell r="D167" t="str">
            <v>Moka Rica</v>
          </cell>
          <cell r="E167" t="str">
            <v>Astucci 5 Buste Ciokorika - ord. -----</v>
          </cell>
          <cell r="F167"/>
          <cell r="G167" t="str">
            <v>-</v>
          </cell>
          <cell r="H167">
            <v>44817</v>
          </cell>
          <cell r="I167"/>
          <cell r="J167">
            <v>20000</v>
          </cell>
          <cell r="K167" t="str">
            <v>2.300 fogli</v>
          </cell>
          <cell r="L167">
            <v>1</v>
          </cell>
          <cell r="M167">
            <v>44832</v>
          </cell>
          <cell r="N167"/>
          <cell r="O167"/>
          <cell r="P167" t="str">
            <v>GC2 250 65,5X86,5</v>
          </cell>
          <cell r="Q167" t="str">
            <v>NO</v>
          </cell>
          <cell r="R167" t="str">
            <v>4Q + 2P</v>
          </cell>
          <cell r="S167" t="str">
            <v>UV</v>
          </cell>
          <cell r="T167" t="str">
            <v>Esistente</v>
          </cell>
          <cell r="U167" t="str">
            <v>Esistente</v>
          </cell>
          <cell r="V167" t="str">
            <v>NO</v>
          </cell>
          <cell r="W167" t="str">
            <v>NO</v>
          </cell>
        </row>
        <row r="168">
          <cell r="A168">
            <v>7851</v>
          </cell>
          <cell r="B168" t="str">
            <v>N</v>
          </cell>
          <cell r="C168" t="str">
            <v>X</v>
          </cell>
          <cell r="D168" t="str">
            <v>Nero Nobile</v>
          </cell>
          <cell r="E168" t="str">
            <v>Astucci Piave FS0380</v>
          </cell>
          <cell r="F168"/>
          <cell r="G168">
            <v>670</v>
          </cell>
          <cell r="H168">
            <v>44826</v>
          </cell>
          <cell r="I168"/>
          <cell r="J168">
            <v>15000</v>
          </cell>
          <cell r="K168" t="str">
            <v>3.750 fogli</v>
          </cell>
          <cell r="L168">
            <v>1</v>
          </cell>
          <cell r="M168">
            <v>44832</v>
          </cell>
          <cell r="N168"/>
          <cell r="O168" t="str">
            <v>CR0033</v>
          </cell>
          <cell r="P168" t="str">
            <v>GC2 270 62x100,5</v>
          </cell>
          <cell r="Q168" t="str">
            <v>NO</v>
          </cell>
          <cell r="R168" t="str">
            <v>4Q</v>
          </cell>
          <cell r="S168" t="str">
            <v>V.ce opaca</v>
          </cell>
          <cell r="T168" t="str">
            <v>Esistente</v>
          </cell>
          <cell r="U168" t="str">
            <v>Esistente</v>
          </cell>
          <cell r="V168" t="str">
            <v>SI</v>
          </cell>
          <cell r="W168" t="str">
            <v>NO</v>
          </cell>
        </row>
        <row r="169">
          <cell r="A169">
            <v>7832</v>
          </cell>
          <cell r="B169" t="str">
            <v>N</v>
          </cell>
          <cell r="C169" t="str">
            <v>X</v>
          </cell>
          <cell r="D169" t="str">
            <v>Pantytex</v>
          </cell>
          <cell r="E169" t="str">
            <v>Appendini Hema D15 - ord. 219</v>
          </cell>
          <cell r="F169"/>
          <cell r="G169"/>
          <cell r="H169"/>
          <cell r="I169"/>
          <cell r="J169">
            <v>40000</v>
          </cell>
          <cell r="K169" t="str">
            <v>5.000 fogli</v>
          </cell>
          <cell r="L169">
            <v>1</v>
          </cell>
          <cell r="M169">
            <v>44832</v>
          </cell>
          <cell r="N169"/>
          <cell r="O169"/>
          <cell r="P169" t="str">
            <v>GC1 250 102x65</v>
          </cell>
          <cell r="Q169" t="str">
            <v>NO</v>
          </cell>
          <cell r="R169" t="str">
            <v>4Q + 2P</v>
          </cell>
          <cell r="S169" t="str">
            <v>V.ce opaca</v>
          </cell>
          <cell r="T169" t="str">
            <v>Esistente</v>
          </cell>
          <cell r="U169" t="str">
            <v>Esistente</v>
          </cell>
          <cell r="V169" t="str">
            <v>SI</v>
          </cell>
          <cell r="W169" t="str">
            <v>NO</v>
          </cell>
        </row>
        <row r="170">
          <cell r="A170">
            <v>7833</v>
          </cell>
          <cell r="B170" t="str">
            <v>N</v>
          </cell>
          <cell r="C170" t="str">
            <v>X</v>
          </cell>
          <cell r="D170" t="str">
            <v>Pantytex</v>
          </cell>
          <cell r="E170" t="str">
            <v>Appendini Hema D30 - ord. 221</v>
          </cell>
          <cell r="F170"/>
          <cell r="G170"/>
          <cell r="H170"/>
          <cell r="I170"/>
          <cell r="J170">
            <v>17000</v>
          </cell>
          <cell r="K170" t="str">
            <v>2.125 fogli</v>
          </cell>
          <cell r="L170">
            <v>1</v>
          </cell>
          <cell r="M170">
            <v>44832</v>
          </cell>
          <cell r="N170"/>
          <cell r="O170"/>
          <cell r="P170" t="str">
            <v>GC1 250 102x72</v>
          </cell>
          <cell r="Q170" t="str">
            <v>NO</v>
          </cell>
          <cell r="R170" t="str">
            <v>4Q + 2P</v>
          </cell>
          <cell r="S170" t="str">
            <v>V.ce opaca</v>
          </cell>
          <cell r="T170" t="str">
            <v>Esistente</v>
          </cell>
          <cell r="U170" t="str">
            <v>Esistente</v>
          </cell>
          <cell r="V170" t="str">
            <v>SI</v>
          </cell>
          <cell r="W170" t="str">
            <v>NO</v>
          </cell>
        </row>
        <row r="171">
          <cell r="A171">
            <v>7834</v>
          </cell>
          <cell r="B171" t="str">
            <v>N</v>
          </cell>
          <cell r="C171" t="str">
            <v>X</v>
          </cell>
          <cell r="D171" t="str">
            <v>Pantytex</v>
          </cell>
          <cell r="E171" t="str">
            <v>Appendini Hema D25 - ord. 220</v>
          </cell>
          <cell r="F171"/>
          <cell r="G171"/>
          <cell r="H171"/>
          <cell r="I171"/>
          <cell r="J171">
            <v>15000</v>
          </cell>
          <cell r="K171" t="str">
            <v>1.875 fogli</v>
          </cell>
          <cell r="L171">
            <v>1</v>
          </cell>
          <cell r="M171">
            <v>44832</v>
          </cell>
          <cell r="N171"/>
          <cell r="O171"/>
          <cell r="P171" t="str">
            <v>GC1 250 102x72</v>
          </cell>
          <cell r="Q171" t="str">
            <v>NO</v>
          </cell>
          <cell r="R171" t="str">
            <v>4Q + 2P</v>
          </cell>
          <cell r="S171" t="str">
            <v>V.ce opaca</v>
          </cell>
          <cell r="T171" t="str">
            <v>Esistente</v>
          </cell>
          <cell r="U171" t="str">
            <v>Esistente</v>
          </cell>
          <cell r="V171" t="str">
            <v>SI</v>
          </cell>
          <cell r="W171" t="str">
            <v>NO</v>
          </cell>
        </row>
        <row r="172">
          <cell r="A172">
            <v>7843</v>
          </cell>
          <cell r="B172" t="str">
            <v>N</v>
          </cell>
          <cell r="C172" t="str">
            <v>X</v>
          </cell>
          <cell r="D172" t="str">
            <v>Pantytex</v>
          </cell>
          <cell r="E172" t="str">
            <v>Buste Hema Disco - ord. 225</v>
          </cell>
          <cell r="F172"/>
          <cell r="G172"/>
          <cell r="H172"/>
          <cell r="I172"/>
          <cell r="J172">
            <v>105000</v>
          </cell>
          <cell r="K172" t="str">
            <v>21.000 fogli</v>
          </cell>
          <cell r="L172">
            <v>2</v>
          </cell>
          <cell r="M172">
            <v>44832</v>
          </cell>
          <cell r="N172"/>
          <cell r="O172"/>
          <cell r="P172" t="str">
            <v>GC1 250 94,5x52</v>
          </cell>
          <cell r="Q172" t="str">
            <v>NO</v>
          </cell>
          <cell r="R172" t="str">
            <v>4Q + 1P</v>
          </cell>
          <cell r="S172" t="str">
            <v>V.ce soft</v>
          </cell>
          <cell r="T172" t="str">
            <v>Esistente</v>
          </cell>
          <cell r="U172" t="str">
            <v>Esistente</v>
          </cell>
          <cell r="V172" t="str">
            <v>SI</v>
          </cell>
          <cell r="W172" t="str">
            <v>NO</v>
          </cell>
        </row>
        <row r="173">
          <cell r="A173">
            <v>7844</v>
          </cell>
          <cell r="B173" t="str">
            <v>N</v>
          </cell>
          <cell r="C173" t="str">
            <v>x</v>
          </cell>
          <cell r="D173" t="str">
            <v>Pantytex</v>
          </cell>
          <cell r="E173" t="str">
            <v>Buste Hema Soffietto - ord. 226</v>
          </cell>
          <cell r="F173"/>
          <cell r="G173"/>
          <cell r="H173"/>
          <cell r="I173"/>
          <cell r="J173">
            <v>65000</v>
          </cell>
          <cell r="K173" t="str">
            <v>16.250 fogli</v>
          </cell>
          <cell r="L173">
            <v>2</v>
          </cell>
          <cell r="M173">
            <v>44832</v>
          </cell>
          <cell r="N173"/>
          <cell r="O173"/>
          <cell r="P173" t="str">
            <v>GC1 250 88x55</v>
          </cell>
          <cell r="Q173" t="str">
            <v>NO</v>
          </cell>
          <cell r="R173" t="str">
            <v>4Q + 1P</v>
          </cell>
          <cell r="S173" t="str">
            <v>V.ce soft</v>
          </cell>
          <cell r="T173" t="str">
            <v>Esistente</v>
          </cell>
          <cell r="U173" t="str">
            <v>Esistente</v>
          </cell>
          <cell r="V173" t="str">
            <v>SI</v>
          </cell>
          <cell r="W173" t="str">
            <v>NO</v>
          </cell>
        </row>
        <row r="174">
          <cell r="A174">
            <v>202207822</v>
          </cell>
          <cell r="B174" t="str">
            <v>N</v>
          </cell>
          <cell r="C174" t="str">
            <v>X</v>
          </cell>
          <cell r="D174" t="str">
            <v>Prontofoods</v>
          </cell>
          <cell r="E174" t="str">
            <v>Astucci 5 Buste</v>
          </cell>
          <cell r="F174" t="str">
            <v>Bar Risotra UK</v>
          </cell>
          <cell r="G174">
            <v>221663</v>
          </cell>
          <cell r="H174">
            <v>44809</v>
          </cell>
          <cell r="I174"/>
          <cell r="J174">
            <v>20000</v>
          </cell>
          <cell r="K174" t="str">
            <v>2.300 fogli</v>
          </cell>
          <cell r="L174">
            <v>1</v>
          </cell>
          <cell r="M174">
            <v>44832</v>
          </cell>
          <cell r="N174"/>
          <cell r="O174"/>
          <cell r="P174" t="str">
            <v>GC2 250 65,5X86,5</v>
          </cell>
          <cell r="Q174" t="str">
            <v>NO</v>
          </cell>
          <cell r="R174" t="str">
            <v>4Q</v>
          </cell>
          <cell r="S174" t="str">
            <v>UV</v>
          </cell>
          <cell r="T174" t="str">
            <v>Esistente</v>
          </cell>
          <cell r="U174" t="str">
            <v>Esistente</v>
          </cell>
          <cell r="V174" t="str">
            <v>NO</v>
          </cell>
          <cell r="W174" t="str">
            <v>NO</v>
          </cell>
        </row>
        <row r="175">
          <cell r="A175">
            <v>202207822</v>
          </cell>
          <cell r="B175" t="str">
            <v>R</v>
          </cell>
          <cell r="C175" t="str">
            <v>X</v>
          </cell>
          <cell r="D175" t="str">
            <v>Prontofoods</v>
          </cell>
          <cell r="E175" t="str">
            <v>Astucci 5 Buste Bar Risotra</v>
          </cell>
          <cell r="F175"/>
          <cell r="G175">
            <v>221663</v>
          </cell>
          <cell r="H175">
            <v>44809</v>
          </cell>
          <cell r="I175"/>
          <cell r="J175">
            <v>30000</v>
          </cell>
          <cell r="K175" t="str">
            <v>3.400 fogli</v>
          </cell>
          <cell r="L175">
            <v>1</v>
          </cell>
          <cell r="M175">
            <v>44832</v>
          </cell>
          <cell r="N175"/>
          <cell r="O175"/>
          <cell r="P175" t="str">
            <v>GC2 250 65,5X86,5</v>
          </cell>
          <cell r="Q175" t="str">
            <v>NO</v>
          </cell>
          <cell r="R175" t="str">
            <v>4Q</v>
          </cell>
          <cell r="S175" t="str">
            <v>UV</v>
          </cell>
          <cell r="T175" t="str">
            <v>Esistente</v>
          </cell>
          <cell r="U175" t="str">
            <v>Esistente</v>
          </cell>
          <cell r="V175" t="str">
            <v>NO</v>
          </cell>
          <cell r="W175" t="str">
            <v>NO</v>
          </cell>
        </row>
        <row r="176">
          <cell r="A176">
            <v>202207822</v>
          </cell>
          <cell r="B176" t="str">
            <v>R</v>
          </cell>
          <cell r="C176" t="str">
            <v>X</v>
          </cell>
          <cell r="D176" t="str">
            <v>Prontofoods</v>
          </cell>
          <cell r="E176" t="str">
            <v>Astucci 5 Buste Cucina e Sapori</v>
          </cell>
          <cell r="F176"/>
          <cell r="G176">
            <v>221663</v>
          </cell>
          <cell r="H176">
            <v>44809</v>
          </cell>
          <cell r="I176"/>
          <cell r="J176">
            <v>30000</v>
          </cell>
          <cell r="K176" t="str">
            <v>3.400 fogli</v>
          </cell>
          <cell r="L176">
            <v>1</v>
          </cell>
          <cell r="M176">
            <v>44832</v>
          </cell>
          <cell r="N176"/>
          <cell r="O176"/>
          <cell r="P176" t="str">
            <v>GC2 250 65,5X86,5</v>
          </cell>
          <cell r="Q176" t="str">
            <v>NO</v>
          </cell>
          <cell r="R176" t="str">
            <v>4Q + 1P</v>
          </cell>
          <cell r="S176" t="str">
            <v>UV</v>
          </cell>
          <cell r="T176" t="str">
            <v>Esistente</v>
          </cell>
          <cell r="U176" t="str">
            <v>Esistente</v>
          </cell>
          <cell r="V176" t="str">
            <v>NO</v>
          </cell>
          <cell r="W176" t="str">
            <v>NO</v>
          </cell>
        </row>
        <row r="177">
          <cell r="A177">
            <v>7825</v>
          </cell>
          <cell r="B177" t="str">
            <v>X</v>
          </cell>
          <cell r="C177" t="str">
            <v>X</v>
          </cell>
          <cell r="D177" t="str">
            <v>Quaranta</v>
          </cell>
          <cell r="E177" t="str">
            <v>Astucci Nuts - ord. 7296</v>
          </cell>
          <cell r="F177"/>
          <cell r="G177"/>
          <cell r="H177"/>
          <cell r="I177"/>
          <cell r="J177">
            <v>30000</v>
          </cell>
          <cell r="K177" t="str">
            <v>10.000 fogli</v>
          </cell>
          <cell r="L177">
            <v>2</v>
          </cell>
          <cell r="M177">
            <v>44832</v>
          </cell>
          <cell r="N177"/>
          <cell r="O177"/>
          <cell r="P177" t="str">
            <v>113 320</v>
          </cell>
          <cell r="Q177" t="str">
            <v>NO</v>
          </cell>
          <cell r="R177" t="str">
            <v>4Q</v>
          </cell>
          <cell r="S177" t="str">
            <v>V.ce opaca</v>
          </cell>
          <cell r="T177" t="str">
            <v>Esistente</v>
          </cell>
          <cell r="U177" t="str">
            <v>Esistente</v>
          </cell>
          <cell r="V177" t="str">
            <v>SI</v>
          </cell>
          <cell r="W177" t="str">
            <v>NO</v>
          </cell>
        </row>
        <row r="178">
          <cell r="A178">
            <v>7799</v>
          </cell>
          <cell r="B178" t="str">
            <v>X</v>
          </cell>
          <cell r="C178" t="str">
            <v>x</v>
          </cell>
          <cell r="D178" t="str">
            <v>Feldi</v>
          </cell>
          <cell r="E178" t="str">
            <v>Astucci Tesmed Anticellulite</v>
          </cell>
          <cell r="F178"/>
          <cell r="G178"/>
          <cell r="H178"/>
          <cell r="I178"/>
          <cell r="J178">
            <v>20000</v>
          </cell>
          <cell r="K178" t="str">
            <v>10.000 fogli</v>
          </cell>
          <cell r="L178">
            <v>1</v>
          </cell>
          <cell r="M178">
            <v>44833</v>
          </cell>
          <cell r="N178"/>
          <cell r="O178"/>
          <cell r="P178" t="str">
            <v>115 270</v>
          </cell>
          <cell r="Q178" t="str">
            <v>NO</v>
          </cell>
          <cell r="R178" t="str">
            <v>2P</v>
          </cell>
          <cell r="S178" t="str">
            <v>V.ce lucida</v>
          </cell>
          <cell r="T178" t="str">
            <v xml:space="preserve">Nuovo </v>
          </cell>
          <cell r="U178" t="str">
            <v>Nuova</v>
          </cell>
          <cell r="V178" t="str">
            <v>NO</v>
          </cell>
          <cell r="W178" t="str">
            <v>NO</v>
          </cell>
        </row>
        <row r="179">
          <cell r="A179">
            <v>7754</v>
          </cell>
          <cell r="B179" t="str">
            <v>X</v>
          </cell>
          <cell r="C179" t="str">
            <v>X</v>
          </cell>
          <cell r="D179" t="str">
            <v>Gandola Biscotti</v>
          </cell>
          <cell r="E179" t="str">
            <v>Astucci Enervit</v>
          </cell>
          <cell r="F179"/>
          <cell r="G179"/>
          <cell r="H179"/>
          <cell r="I179"/>
          <cell r="J179">
            <v>10000</v>
          </cell>
          <cell r="K179" t="str">
            <v>5.000 fogli</v>
          </cell>
          <cell r="L179">
            <v>1</v>
          </cell>
          <cell r="M179">
            <v>44834</v>
          </cell>
          <cell r="N179"/>
          <cell r="O179"/>
          <cell r="P179" t="str">
            <v>GC1 300</v>
          </cell>
          <cell r="Q179" t="str">
            <v>NO</v>
          </cell>
          <cell r="R179" t="str">
            <v>4Q + 3P</v>
          </cell>
          <cell r="S179" t="str">
            <v>UV</v>
          </cell>
          <cell r="T179" t="str">
            <v>Esistente</v>
          </cell>
          <cell r="U179" t="str">
            <v>Esistente</v>
          </cell>
          <cell r="V179" t="str">
            <v>NO</v>
          </cell>
          <cell r="W179" t="str">
            <v>NO</v>
          </cell>
        </row>
        <row r="180">
          <cell r="A180">
            <v>7763</v>
          </cell>
          <cell r="B180" t="str">
            <v>X</v>
          </cell>
          <cell r="C180" t="str">
            <v>X</v>
          </cell>
          <cell r="D180" t="str">
            <v>Pasta Lensi</v>
          </cell>
          <cell r="E180" t="str">
            <v>Astucci G&amp;G Penne - ord. 49917</v>
          </cell>
          <cell r="F180"/>
          <cell r="G180"/>
          <cell r="H180"/>
          <cell r="I180" t="str">
            <v>111 x 45 x 170</v>
          </cell>
          <cell r="J180">
            <v>55000</v>
          </cell>
          <cell r="K180" t="str">
            <v>6.875 fogli</v>
          </cell>
          <cell r="L180">
            <v>1</v>
          </cell>
          <cell r="M180">
            <v>44834</v>
          </cell>
          <cell r="N180"/>
          <cell r="O180"/>
          <cell r="P180" t="str">
            <v>962 350 103,5x66</v>
          </cell>
          <cell r="Q180" t="str">
            <v>NO</v>
          </cell>
          <cell r="R180" t="str">
            <v>4Q + 2P</v>
          </cell>
          <cell r="S180" t="str">
            <v>V.ce lucida</v>
          </cell>
          <cell r="T180" t="str">
            <v>Esistente</v>
          </cell>
          <cell r="U180" t="str">
            <v>Esistente</v>
          </cell>
          <cell r="V180" t="str">
            <v>NO</v>
          </cell>
          <cell r="W180" t="str">
            <v>SI</v>
          </cell>
        </row>
        <row r="181">
          <cell r="A181">
            <v>7764</v>
          </cell>
          <cell r="B181" t="str">
            <v>X</v>
          </cell>
          <cell r="C181" t="str">
            <v>X</v>
          </cell>
          <cell r="D181" t="str">
            <v>Pasta Lensi</v>
          </cell>
          <cell r="E181" t="str">
            <v>Astucci G&amp;G Rotini - ord. 49918</v>
          </cell>
          <cell r="F181"/>
          <cell r="G181"/>
          <cell r="H181"/>
          <cell r="I181" t="str">
            <v>111 X 60 X 170</v>
          </cell>
          <cell r="J181">
            <v>60000</v>
          </cell>
          <cell r="K181" t="str">
            <v>10.000 fogli</v>
          </cell>
          <cell r="L181">
            <v>1</v>
          </cell>
          <cell r="M181">
            <v>44834</v>
          </cell>
          <cell r="N181"/>
          <cell r="O181"/>
          <cell r="P181" t="str">
            <v>962 350 87,5x72,5</v>
          </cell>
          <cell r="Q181" t="str">
            <v>NO</v>
          </cell>
          <cell r="R181" t="str">
            <v>4Q + 2P</v>
          </cell>
          <cell r="S181" t="str">
            <v>V.ce lucida</v>
          </cell>
          <cell r="T181" t="str">
            <v>Esistente</v>
          </cell>
          <cell r="U181" t="str">
            <v>Esistente</v>
          </cell>
          <cell r="V181" t="str">
            <v>NO</v>
          </cell>
          <cell r="W181" t="str">
            <v>SI</v>
          </cell>
        </row>
        <row r="182">
          <cell r="A182">
            <v>7765</v>
          </cell>
          <cell r="B182" t="str">
            <v>X</v>
          </cell>
          <cell r="C182" t="str">
            <v>X</v>
          </cell>
          <cell r="D182" t="str">
            <v>Pasta Lensi</v>
          </cell>
          <cell r="E182" t="str">
            <v>Astucci G&amp;G Spaghetti - ord. 49921</v>
          </cell>
          <cell r="F182"/>
          <cell r="G182"/>
          <cell r="H182"/>
          <cell r="I182" t="str">
            <v>72 X 27 X 270</v>
          </cell>
          <cell r="J182">
            <v>55000</v>
          </cell>
          <cell r="K182" t="str">
            <v>6.875 fogli</v>
          </cell>
          <cell r="L182">
            <v>1</v>
          </cell>
          <cell r="M182">
            <v>44834</v>
          </cell>
          <cell r="N182"/>
          <cell r="O182"/>
          <cell r="P182" t="str">
            <v>962 350 67,5x86,5</v>
          </cell>
          <cell r="Q182" t="str">
            <v>NO</v>
          </cell>
          <cell r="R182" t="str">
            <v>4Q + 2P</v>
          </cell>
          <cell r="S182" t="str">
            <v>V.ce lucida</v>
          </cell>
          <cell r="T182" t="str">
            <v>Esistente</v>
          </cell>
          <cell r="U182" t="str">
            <v>Esistente</v>
          </cell>
          <cell r="V182" t="str">
            <v>NO</v>
          </cell>
          <cell r="W182" t="str">
            <v>SI</v>
          </cell>
        </row>
        <row r="183">
          <cell r="A183">
            <v>7765</v>
          </cell>
          <cell r="B183" t="str">
            <v>X</v>
          </cell>
          <cell r="C183" t="str">
            <v>X</v>
          </cell>
          <cell r="D183" t="str">
            <v>Pasta Lensi</v>
          </cell>
          <cell r="E183" t="str">
            <v>Astucci G&amp;G Spaghetti - ord. 49921</v>
          </cell>
          <cell r="F183"/>
          <cell r="G183"/>
          <cell r="H183"/>
          <cell r="I183" t="str">
            <v>72 X 27 X 270</v>
          </cell>
          <cell r="J183">
            <v>80000</v>
          </cell>
          <cell r="K183" t="str">
            <v>10.000 fogli</v>
          </cell>
          <cell r="L183">
            <v>1</v>
          </cell>
          <cell r="M183">
            <v>44834</v>
          </cell>
          <cell r="N183"/>
          <cell r="O183"/>
          <cell r="P183" t="str">
            <v>962 350 67,5x86,5</v>
          </cell>
          <cell r="Q183" t="str">
            <v>NO</v>
          </cell>
          <cell r="R183" t="str">
            <v>4Q + 2P</v>
          </cell>
          <cell r="S183" t="str">
            <v>V.ce lucida</v>
          </cell>
          <cell r="T183" t="str">
            <v>Esistente</v>
          </cell>
          <cell r="U183" t="str">
            <v>Esistente</v>
          </cell>
          <cell r="V183" t="str">
            <v>NO</v>
          </cell>
          <cell r="W183" t="str">
            <v>SI</v>
          </cell>
        </row>
        <row r="184">
          <cell r="A184">
            <v>202207836</v>
          </cell>
          <cell r="B184" t="str">
            <v>R</v>
          </cell>
          <cell r="C184" t="str">
            <v>X</v>
          </cell>
          <cell r="D184" t="str">
            <v>Quaranta</v>
          </cell>
          <cell r="E184" t="str">
            <v>Cavallotti Deluxe - ord. 7261</v>
          </cell>
          <cell r="F184"/>
          <cell r="G184"/>
          <cell r="H184"/>
          <cell r="I184"/>
          <cell r="J184">
            <v>20500</v>
          </cell>
          <cell r="K184" t="str">
            <v>1.800 fogli</v>
          </cell>
          <cell r="L184">
            <v>1</v>
          </cell>
          <cell r="M184">
            <v>44834</v>
          </cell>
          <cell r="N184"/>
          <cell r="O184"/>
          <cell r="P184" t="str">
            <v xml:space="preserve">GC1 250 </v>
          </cell>
          <cell r="Q184" t="str">
            <v>NO</v>
          </cell>
          <cell r="R184" t="str">
            <v>4Q + 1P</v>
          </cell>
          <cell r="S184" t="str">
            <v>V.ce opaca</v>
          </cell>
          <cell r="T184" t="str">
            <v>Esistente</v>
          </cell>
          <cell r="U184" t="str">
            <v>Esistente</v>
          </cell>
          <cell r="V184" t="str">
            <v>NO</v>
          </cell>
          <cell r="W184" t="str">
            <v>NO</v>
          </cell>
        </row>
        <row r="185">
          <cell r="A185">
            <v>202207829</v>
          </cell>
          <cell r="B185" t="str">
            <v>N</v>
          </cell>
          <cell r="C185" t="str">
            <v>X</v>
          </cell>
          <cell r="D185" t="str">
            <v>Calzificio Eire</v>
          </cell>
          <cell r="E185" t="str">
            <v>Astucci Avana/avana</v>
          </cell>
          <cell r="F185"/>
          <cell r="G185" t="str">
            <v>-</v>
          </cell>
          <cell r="H185">
            <v>44812</v>
          </cell>
          <cell r="I185"/>
          <cell r="J185">
            <v>7400</v>
          </cell>
          <cell r="K185" t="str">
            <v>3.700 fogli</v>
          </cell>
          <cell r="L185">
            <v>1</v>
          </cell>
          <cell r="M185">
            <v>44835</v>
          </cell>
          <cell r="N185"/>
          <cell r="O185" t="str">
            <v>CR0128</v>
          </cell>
          <cell r="P185" t="str">
            <v>Avana 400</v>
          </cell>
          <cell r="Q185" t="str">
            <v>NO</v>
          </cell>
          <cell r="R185" t="str">
            <v>4Q</v>
          </cell>
          <cell r="S185" t="str">
            <v>V.ce retri</v>
          </cell>
          <cell r="T185" t="str">
            <v>Esistente</v>
          </cell>
          <cell r="U185" t="str">
            <v>Esistente</v>
          </cell>
          <cell r="V185" t="str">
            <v>NO</v>
          </cell>
          <cell r="W185" t="str">
            <v>NO</v>
          </cell>
        </row>
        <row r="186">
          <cell r="A186">
            <v>7857</v>
          </cell>
          <cell r="B186" t="str">
            <v>R</v>
          </cell>
          <cell r="C186" t="str">
            <v>X</v>
          </cell>
          <cell r="D186" t="str">
            <v>El Forner</v>
          </cell>
          <cell r="E186" t="str">
            <v>Scatole per pIzza</v>
          </cell>
          <cell r="F186"/>
          <cell r="G186" t="str">
            <v>-</v>
          </cell>
          <cell r="H186">
            <v>44824</v>
          </cell>
          <cell r="I186"/>
          <cell r="J186">
            <v>4500</v>
          </cell>
          <cell r="K186" t="str">
            <v>4.500 fogli</v>
          </cell>
          <cell r="L186">
            <v>1</v>
          </cell>
          <cell r="M186">
            <v>44835</v>
          </cell>
          <cell r="N186"/>
          <cell r="O186" t="str">
            <v>CR0150</v>
          </cell>
          <cell r="P186" t="str">
            <v>Crow 300 60x80</v>
          </cell>
          <cell r="Q186" t="str">
            <v>NO</v>
          </cell>
          <cell r="R186" t="str">
            <v>1P</v>
          </cell>
          <cell r="S186" t="str">
            <v>V.ce retri</v>
          </cell>
          <cell r="T186" t="str">
            <v>Esistente</v>
          </cell>
          <cell r="U186" t="str">
            <v>Esistente</v>
          </cell>
          <cell r="V186" t="str">
            <v>NO</v>
          </cell>
          <cell r="W186" t="str">
            <v>NO</v>
          </cell>
        </row>
        <row r="187">
          <cell r="A187">
            <v>202207839</v>
          </cell>
          <cell r="B187" t="str">
            <v>N</v>
          </cell>
          <cell r="C187"/>
          <cell r="D187" t="str">
            <v>JBS</v>
          </cell>
          <cell r="E187" t="str">
            <v>Buste VRS Tights abbinate prima st</v>
          </cell>
          <cell r="F187"/>
          <cell r="G187">
            <v>276</v>
          </cell>
          <cell r="H187">
            <v>44876</v>
          </cell>
          <cell r="I187"/>
          <cell r="J187">
            <v>6400</v>
          </cell>
          <cell r="K187" t="str">
            <v>1.600 fogli</v>
          </cell>
          <cell r="L187">
            <v>1</v>
          </cell>
          <cell r="M187">
            <v>44835</v>
          </cell>
          <cell r="N187"/>
          <cell r="O187" t="str">
            <v>CR0125</v>
          </cell>
          <cell r="P187" t="str">
            <v>CR0126</v>
          </cell>
          <cell r="Q187" t="str">
            <v>SI</v>
          </cell>
          <cell r="R187" t="str">
            <v>4Q</v>
          </cell>
          <cell r="S187" t="str">
            <v>Vc.e + SR</v>
          </cell>
          <cell r="T187" t="str">
            <v>Esistente</v>
          </cell>
          <cell r="U187" t="str">
            <v>Esistente</v>
          </cell>
          <cell r="V187" t="str">
            <v>SI</v>
          </cell>
          <cell r="W187" t="str">
            <v>NO</v>
          </cell>
        </row>
        <row r="188">
          <cell r="A188">
            <v>202207840</v>
          </cell>
          <cell r="B188"/>
          <cell r="C188"/>
          <cell r="D188" t="str">
            <v>JBS</v>
          </cell>
          <cell r="E188" t="str">
            <v>Buste VRS Tights abbinate seconda st</v>
          </cell>
          <cell r="F188"/>
          <cell r="G188">
            <v>277</v>
          </cell>
          <cell r="H188">
            <v>44876</v>
          </cell>
          <cell r="I188"/>
          <cell r="J188">
            <v>16000</v>
          </cell>
          <cell r="K188" t="str">
            <v>3.200 fogli</v>
          </cell>
          <cell r="L188">
            <v>1</v>
          </cell>
          <cell r="M188">
            <v>44835</v>
          </cell>
          <cell r="N188"/>
          <cell r="O188" t="str">
            <v>CR0126</v>
          </cell>
          <cell r="P188" t="str">
            <v xml:space="preserve">GC1 250 </v>
          </cell>
          <cell r="Q188" t="str">
            <v>SI</v>
          </cell>
          <cell r="R188" t="str">
            <v>4Q</v>
          </cell>
          <cell r="S188" t="str">
            <v>Vc.e + SR</v>
          </cell>
          <cell r="T188" t="str">
            <v>Esistente</v>
          </cell>
          <cell r="U188" t="str">
            <v>Esistente</v>
          </cell>
          <cell r="V188" t="str">
            <v>SI</v>
          </cell>
          <cell r="W188" t="str">
            <v>NO</v>
          </cell>
        </row>
        <row r="189">
          <cell r="A189">
            <v>202207723</v>
          </cell>
          <cell r="B189" t="str">
            <v>R</v>
          </cell>
          <cell r="C189" t="str">
            <v>X</v>
          </cell>
          <cell r="D189" t="str">
            <v>Nero Nobile</v>
          </cell>
          <cell r="E189" t="str">
            <v>Astucci Nero Nobile FS0385</v>
          </cell>
          <cell r="F189"/>
          <cell r="G189">
            <v>488</v>
          </cell>
          <cell r="H189">
            <v>44746</v>
          </cell>
          <cell r="I189"/>
          <cell r="J189">
            <v>45000</v>
          </cell>
          <cell r="K189" t="str">
            <v>7.500 fogli</v>
          </cell>
          <cell r="L189">
            <v>1</v>
          </cell>
          <cell r="M189">
            <v>44837</v>
          </cell>
          <cell r="N189"/>
          <cell r="O189"/>
          <cell r="P189" t="str">
            <v>GC2 275 72x75</v>
          </cell>
          <cell r="Q189" t="str">
            <v>NO</v>
          </cell>
          <cell r="R189" t="str">
            <v>4Q + 1P</v>
          </cell>
          <cell r="S189" t="str">
            <v>Drip + UV</v>
          </cell>
          <cell r="T189" t="str">
            <v>Esistente</v>
          </cell>
          <cell r="U189" t="str">
            <v>Esistente</v>
          </cell>
          <cell r="V189" t="str">
            <v>Si</v>
          </cell>
          <cell r="W189" t="str">
            <v>NO</v>
          </cell>
        </row>
        <row r="190">
          <cell r="A190">
            <v>7805</v>
          </cell>
          <cell r="B190" t="str">
            <v>R</v>
          </cell>
          <cell r="C190" t="str">
            <v>X</v>
          </cell>
          <cell r="D190" t="str">
            <v>Nero Nobile</v>
          </cell>
          <cell r="E190" t="str">
            <v>Astucci Le Lion FS0380 - ord. 610</v>
          </cell>
          <cell r="F190"/>
          <cell r="G190"/>
          <cell r="H190"/>
          <cell r="I190"/>
          <cell r="J190">
            <v>68000</v>
          </cell>
          <cell r="K190" t="str">
            <v>17.000 fogli</v>
          </cell>
          <cell r="L190">
            <v>2</v>
          </cell>
          <cell r="M190">
            <v>44837</v>
          </cell>
          <cell r="N190"/>
          <cell r="O190"/>
          <cell r="P190" t="str">
            <v>GC2 270 62x100,5</v>
          </cell>
          <cell r="Q190" t="str">
            <v>NO</v>
          </cell>
          <cell r="R190" t="str">
            <v>4Q + 1P</v>
          </cell>
          <cell r="S190" t="str">
            <v>V.ce opaca</v>
          </cell>
          <cell r="T190" t="str">
            <v>Esistente</v>
          </cell>
          <cell r="U190" t="str">
            <v>Esistente</v>
          </cell>
          <cell r="V190" t="str">
            <v>SI</v>
          </cell>
          <cell r="W190" t="str">
            <v>NO</v>
          </cell>
        </row>
        <row r="191">
          <cell r="A191">
            <v>7824</v>
          </cell>
          <cell r="B191" t="str">
            <v>N</v>
          </cell>
          <cell r="C191" t="str">
            <v>x</v>
          </cell>
          <cell r="D191" t="str">
            <v>O.R</v>
          </cell>
          <cell r="E191" t="str">
            <v>Astucci Alba/Onda 15/6 Italy - ord. 22-2398</v>
          </cell>
          <cell r="F191"/>
          <cell r="G191"/>
          <cell r="H191"/>
          <cell r="I191"/>
          <cell r="J191">
            <v>1000</v>
          </cell>
          <cell r="K191" t="str">
            <v>1.000 fogli</v>
          </cell>
          <cell r="L191">
            <v>1</v>
          </cell>
          <cell r="M191">
            <v>44837</v>
          </cell>
          <cell r="N191"/>
          <cell r="O191"/>
          <cell r="P191" t="str">
            <v>115 270</v>
          </cell>
          <cell r="Q191" t="str">
            <v>NO</v>
          </cell>
          <cell r="R191" t="str">
            <v>4Q</v>
          </cell>
          <cell r="S191" t="str">
            <v>V.ce lucida</v>
          </cell>
          <cell r="T191" t="str">
            <v>Esistente</v>
          </cell>
          <cell r="U191" t="str">
            <v>Esistente</v>
          </cell>
          <cell r="V191" t="str">
            <v>SI</v>
          </cell>
          <cell r="W191" t="str">
            <v>NO</v>
          </cell>
        </row>
        <row r="192">
          <cell r="A192">
            <v>7853</v>
          </cell>
          <cell r="B192" t="str">
            <v>R</v>
          </cell>
          <cell r="C192" t="str">
            <v>X</v>
          </cell>
          <cell r="D192" t="str">
            <v>Pantytex</v>
          </cell>
          <cell r="E192" t="str">
            <v>Appendini CA Cotone</v>
          </cell>
          <cell r="F192"/>
          <cell r="G192">
            <v>234</v>
          </cell>
          <cell r="H192">
            <v>44825</v>
          </cell>
          <cell r="I192"/>
          <cell r="J192">
            <v>18000</v>
          </cell>
          <cell r="K192" t="str">
            <v>3.000 fogli</v>
          </cell>
          <cell r="L192">
            <v>1</v>
          </cell>
          <cell r="M192">
            <v>44837</v>
          </cell>
          <cell r="N192"/>
          <cell r="O192"/>
          <cell r="P192" t="str">
            <v>113 350</v>
          </cell>
          <cell r="Q192" t="str">
            <v>NO</v>
          </cell>
          <cell r="R192" t="str">
            <v>4Q + 2P</v>
          </cell>
          <cell r="S192" t="str">
            <v>V.ce lucida</v>
          </cell>
          <cell r="T192" t="str">
            <v>Esistente</v>
          </cell>
          <cell r="U192" t="str">
            <v>Esistente</v>
          </cell>
          <cell r="V192" t="str">
            <v>SI</v>
          </cell>
          <cell r="W192" t="str">
            <v>NO</v>
          </cell>
        </row>
        <row r="193">
          <cell r="A193">
            <v>202207855</v>
          </cell>
          <cell r="B193" t="str">
            <v>R+N</v>
          </cell>
          <cell r="C193" t="str">
            <v>X</v>
          </cell>
          <cell r="D193" t="str">
            <v>Pantytex</v>
          </cell>
          <cell r="E193" t="str">
            <v>Inserti CA</v>
          </cell>
          <cell r="F193"/>
          <cell r="G193">
            <v>232</v>
          </cell>
          <cell r="H193">
            <v>44825</v>
          </cell>
          <cell r="I193"/>
          <cell r="J193">
            <v>62500</v>
          </cell>
          <cell r="K193" t="str">
            <v>12.500 fogli</v>
          </cell>
          <cell r="L193">
            <v>4</v>
          </cell>
          <cell r="M193">
            <v>44837</v>
          </cell>
          <cell r="N193"/>
          <cell r="O193" t="str">
            <v>CR0002</v>
          </cell>
          <cell r="P193" t="str">
            <v>Sym 200 89x52</v>
          </cell>
          <cell r="Q193" t="str">
            <v>NO</v>
          </cell>
          <cell r="R193" t="str">
            <v>4Q + 2P</v>
          </cell>
          <cell r="S193" t="str">
            <v>V.ce lucida</v>
          </cell>
          <cell r="T193" t="str">
            <v>Esistente</v>
          </cell>
          <cell r="U193" t="str">
            <v>Esistente</v>
          </cell>
          <cell r="V193" t="str">
            <v>SI</v>
          </cell>
          <cell r="W193" t="str">
            <v>NO</v>
          </cell>
        </row>
        <row r="194">
          <cell r="A194">
            <v>202207858</v>
          </cell>
          <cell r="B194" t="str">
            <v>N</v>
          </cell>
          <cell r="C194" t="str">
            <v>X</v>
          </cell>
          <cell r="D194" t="str">
            <v>Pantytex</v>
          </cell>
          <cell r="E194" t="str">
            <v>Buste Hunkemoller Disco</v>
          </cell>
          <cell r="F194"/>
          <cell r="G194">
            <v>230</v>
          </cell>
          <cell r="H194">
            <v>44823</v>
          </cell>
          <cell r="I194"/>
          <cell r="J194">
            <v>35000</v>
          </cell>
          <cell r="K194" t="str">
            <v>7.000 fogli</v>
          </cell>
          <cell r="L194">
            <v>2</v>
          </cell>
          <cell r="M194">
            <v>44837</v>
          </cell>
          <cell r="N194"/>
          <cell r="O194" t="str">
            <v>CR0006</v>
          </cell>
          <cell r="P194" t="str">
            <v>GC1 250 102x59</v>
          </cell>
          <cell r="Q194" t="str">
            <v>NO</v>
          </cell>
          <cell r="R194" t="str">
            <v>4Q + 2P</v>
          </cell>
          <cell r="S194" t="str">
            <v>Vc.e + SR</v>
          </cell>
          <cell r="T194" t="str">
            <v>Esistente</v>
          </cell>
          <cell r="U194" t="str">
            <v>Esistente</v>
          </cell>
          <cell r="V194" t="str">
            <v>SI</v>
          </cell>
          <cell r="W194" t="str">
            <v>NO</v>
          </cell>
        </row>
        <row r="195">
          <cell r="A195">
            <v>202207859</v>
          </cell>
          <cell r="B195" t="str">
            <v>N</v>
          </cell>
          <cell r="C195" t="str">
            <v>X</v>
          </cell>
          <cell r="D195" t="str">
            <v>Pantytex</v>
          </cell>
          <cell r="E195" t="str">
            <v>Buste Hunkemoller Soffietto</v>
          </cell>
          <cell r="F195"/>
          <cell r="G195">
            <v>229</v>
          </cell>
          <cell r="H195">
            <v>44823</v>
          </cell>
          <cell r="I195"/>
          <cell r="J195">
            <v>41000</v>
          </cell>
          <cell r="K195" t="str">
            <v>10.250 fogli</v>
          </cell>
          <cell r="L195">
            <v>3</v>
          </cell>
          <cell r="M195">
            <v>44837</v>
          </cell>
          <cell r="N195"/>
          <cell r="O195" t="str">
            <v>CR0010</v>
          </cell>
          <cell r="P195" t="str">
            <v>GC1 250 102x56</v>
          </cell>
          <cell r="Q195" t="str">
            <v>NO</v>
          </cell>
          <cell r="R195" t="str">
            <v>4Q + 2P</v>
          </cell>
          <cell r="S195" t="str">
            <v>Vc.e + SR</v>
          </cell>
          <cell r="T195" t="str">
            <v>Esistente</v>
          </cell>
          <cell r="U195" t="str">
            <v>Esistente</v>
          </cell>
          <cell r="V195" t="str">
            <v>SI</v>
          </cell>
          <cell r="W195" t="str">
            <v>NO</v>
          </cell>
        </row>
        <row r="196">
          <cell r="A196">
            <v>7747</v>
          </cell>
          <cell r="B196" t="str">
            <v>R</v>
          </cell>
          <cell r="C196" t="str">
            <v>X</v>
          </cell>
          <cell r="D196" t="str">
            <v>Prontofoods</v>
          </cell>
          <cell r="E196" t="str">
            <v>Astucci camomille Ristora Melatonina</v>
          </cell>
          <cell r="F196"/>
          <cell r="G196">
            <v>221782</v>
          </cell>
          <cell r="H196">
            <v>44825</v>
          </cell>
          <cell r="I196"/>
          <cell r="J196">
            <v>60000</v>
          </cell>
          <cell r="K196" t="str">
            <v>6.700 fogli</v>
          </cell>
          <cell r="L196">
            <v>1</v>
          </cell>
          <cell r="M196">
            <v>44837</v>
          </cell>
          <cell r="N196"/>
          <cell r="O196" t="str">
            <v>CR0004</v>
          </cell>
          <cell r="P196" t="str">
            <v>Tam 240 93,5x65,5</v>
          </cell>
          <cell r="Q196" t="str">
            <v>NO</v>
          </cell>
          <cell r="R196" t="str">
            <v>4Q + 1P</v>
          </cell>
          <cell r="S196" t="str">
            <v>V.ce lucida</v>
          </cell>
          <cell r="T196" t="str">
            <v>Esistente</v>
          </cell>
          <cell r="U196" t="str">
            <v>Esistente</v>
          </cell>
          <cell r="V196" t="str">
            <v>NO</v>
          </cell>
          <cell r="W196" t="str">
            <v>NO</v>
          </cell>
        </row>
        <row r="197">
          <cell r="A197">
            <v>7747</v>
          </cell>
          <cell r="B197" t="str">
            <v>R</v>
          </cell>
          <cell r="C197" t="str">
            <v>X</v>
          </cell>
          <cell r="D197" t="str">
            <v>Prontofoods</v>
          </cell>
          <cell r="E197" t="str">
            <v>Astucci camomille Sweet London</v>
          </cell>
          <cell r="F197"/>
          <cell r="G197">
            <v>221782</v>
          </cell>
          <cell r="H197">
            <v>44825</v>
          </cell>
          <cell r="I197"/>
          <cell r="J197">
            <v>35000</v>
          </cell>
          <cell r="K197" t="str">
            <v>3.700 fogli</v>
          </cell>
          <cell r="L197">
            <v>1</v>
          </cell>
          <cell r="M197">
            <v>44837</v>
          </cell>
          <cell r="N197"/>
          <cell r="O197" t="str">
            <v>CR0004</v>
          </cell>
          <cell r="P197" t="str">
            <v>Tam 240 93,5x65,5</v>
          </cell>
          <cell r="Q197" t="str">
            <v>NO</v>
          </cell>
          <cell r="R197" t="str">
            <v>4Q + 1P</v>
          </cell>
          <cell r="S197" t="str">
            <v>V.ce lucida</v>
          </cell>
          <cell r="T197" t="str">
            <v>Esistente</v>
          </cell>
          <cell r="U197" t="str">
            <v>Esistente</v>
          </cell>
          <cell r="V197" t="str">
            <v>NO</v>
          </cell>
          <cell r="W197" t="str">
            <v>NO</v>
          </cell>
        </row>
        <row r="198">
          <cell r="A198">
            <v>7747</v>
          </cell>
          <cell r="B198" t="str">
            <v>R</v>
          </cell>
          <cell r="C198" t="str">
            <v>X</v>
          </cell>
          <cell r="D198" t="str">
            <v>Prontofoods</v>
          </cell>
          <cell r="E198" t="str">
            <v>Astucci Camomille Belbake</v>
          </cell>
          <cell r="F198"/>
          <cell r="G198">
            <v>221782</v>
          </cell>
          <cell r="H198">
            <v>44825</v>
          </cell>
          <cell r="I198"/>
          <cell r="J198">
            <v>50000</v>
          </cell>
          <cell r="K198" t="str">
            <v>5.600 fogli</v>
          </cell>
          <cell r="L198">
            <v>1</v>
          </cell>
          <cell r="M198">
            <v>44837</v>
          </cell>
          <cell r="N198"/>
          <cell r="O198" t="str">
            <v>CR0004</v>
          </cell>
          <cell r="P198" t="str">
            <v>Tam 240 93,5x65,5</v>
          </cell>
          <cell r="Q198" t="str">
            <v>NO</v>
          </cell>
          <cell r="R198" t="str">
            <v>4Q + 1P</v>
          </cell>
          <cell r="S198" t="str">
            <v>V.ce lucida</v>
          </cell>
          <cell r="T198" t="str">
            <v>Esistente</v>
          </cell>
          <cell r="U198" t="str">
            <v>Esistente</v>
          </cell>
          <cell r="V198" t="str">
            <v>NO</v>
          </cell>
          <cell r="W198" t="str">
            <v>NO</v>
          </cell>
        </row>
        <row r="199">
          <cell r="A199">
            <v>202207847</v>
          </cell>
          <cell r="B199" t="str">
            <v>R</v>
          </cell>
          <cell r="C199" t="str">
            <v>x</v>
          </cell>
          <cell r="D199" t="str">
            <v>Quaranta</v>
          </cell>
          <cell r="E199" t="str">
            <v>Fascette Stanilas D36 - ord. 7375</v>
          </cell>
          <cell r="F199"/>
          <cell r="G199"/>
          <cell r="H199"/>
          <cell r="I199"/>
          <cell r="J199">
            <v>160000</v>
          </cell>
          <cell r="K199" t="str">
            <v>10.000 fogli</v>
          </cell>
          <cell r="L199">
            <v>2</v>
          </cell>
          <cell r="M199">
            <v>44837</v>
          </cell>
          <cell r="N199"/>
          <cell r="O199"/>
          <cell r="P199" t="str">
            <v>113 320</v>
          </cell>
          <cell r="Q199" t="str">
            <v>NO</v>
          </cell>
          <cell r="R199" t="str">
            <v>4Q + 1P</v>
          </cell>
          <cell r="S199" t="str">
            <v>V.ce + OC</v>
          </cell>
          <cell r="T199" t="str">
            <v>Esistente</v>
          </cell>
          <cell r="U199" t="str">
            <v>Esistente</v>
          </cell>
          <cell r="V199" t="str">
            <v>NO</v>
          </cell>
          <cell r="W199" t="str">
            <v>NO</v>
          </cell>
        </row>
        <row r="200">
          <cell r="A200">
            <v>7845</v>
          </cell>
          <cell r="B200" t="str">
            <v>R</v>
          </cell>
          <cell r="C200" t="str">
            <v>X</v>
          </cell>
          <cell r="D200" t="str">
            <v>Girardi</v>
          </cell>
          <cell r="E200" t="str">
            <v>Scatole Girardi H70 - ord. 227</v>
          </cell>
          <cell r="F200"/>
          <cell r="G200"/>
          <cell r="H200"/>
          <cell r="I200"/>
          <cell r="J200">
            <v>15000</v>
          </cell>
          <cell r="K200" t="str">
            <v>7.500 fogli</v>
          </cell>
          <cell r="L200">
            <v>1</v>
          </cell>
          <cell r="M200">
            <v>44838</v>
          </cell>
          <cell r="N200"/>
          <cell r="O200"/>
          <cell r="P200" t="str">
            <v>113 400</v>
          </cell>
          <cell r="Q200" t="str">
            <v>NO</v>
          </cell>
          <cell r="R200" t="str">
            <v>3P</v>
          </cell>
          <cell r="S200" t="str">
            <v>UV</v>
          </cell>
          <cell r="T200" t="str">
            <v>Esistente</v>
          </cell>
          <cell r="U200" t="str">
            <v>Esistente</v>
          </cell>
          <cell r="V200" t="str">
            <v>SI</v>
          </cell>
          <cell r="W200" t="str">
            <v>NO</v>
          </cell>
        </row>
        <row r="201">
          <cell r="A201">
            <v>202207846</v>
          </cell>
          <cell r="B201" t="str">
            <v>R</v>
          </cell>
          <cell r="C201" t="str">
            <v>X</v>
          </cell>
          <cell r="D201" t="str">
            <v>Quaranta</v>
          </cell>
          <cell r="E201" t="str">
            <v>Espositore Mini stecche la Dolce vita</v>
          </cell>
          <cell r="F201"/>
          <cell r="G201">
            <v>7348</v>
          </cell>
          <cell r="H201"/>
          <cell r="I201"/>
          <cell r="J201">
            <v>6000</v>
          </cell>
          <cell r="K201" t="str">
            <v>3.000 fogli</v>
          </cell>
          <cell r="L201">
            <v>2</v>
          </cell>
          <cell r="M201">
            <v>44838</v>
          </cell>
          <cell r="N201"/>
          <cell r="O201"/>
          <cell r="P201" t="str">
            <v>113 290</v>
          </cell>
          <cell r="Q201" t="str">
            <v>NO</v>
          </cell>
          <cell r="R201" t="str">
            <v>4Q</v>
          </cell>
          <cell r="S201" t="str">
            <v>V.ce lucida</v>
          </cell>
          <cell r="T201" t="str">
            <v>Esistente</v>
          </cell>
          <cell r="U201" t="str">
            <v>Esistente</v>
          </cell>
          <cell r="V201" t="str">
            <v>SI</v>
          </cell>
          <cell r="W201" t="str">
            <v>NO</v>
          </cell>
        </row>
        <row r="202">
          <cell r="A202">
            <v>7863</v>
          </cell>
          <cell r="B202" t="str">
            <v>N</v>
          </cell>
          <cell r="C202" t="str">
            <v>X</v>
          </cell>
          <cell r="D202" t="str">
            <v>Genny</v>
          </cell>
          <cell r="E202" t="str">
            <v>Fascette CA art. J501</v>
          </cell>
          <cell r="F202"/>
          <cell r="G202">
            <v>236</v>
          </cell>
          <cell r="H202">
            <v>44832</v>
          </cell>
          <cell r="I202"/>
          <cell r="J202">
            <v>5000</v>
          </cell>
          <cell r="K202" t="str">
            <v>370 fogli</v>
          </cell>
          <cell r="L202">
            <v>1</v>
          </cell>
          <cell r="M202">
            <v>44839</v>
          </cell>
          <cell r="N202"/>
          <cell r="O202" t="str">
            <v>cr0002</v>
          </cell>
          <cell r="P202" t="str">
            <v>Sym 200 89x52</v>
          </cell>
          <cell r="Q202" t="str">
            <v>NO</v>
          </cell>
          <cell r="R202" t="str">
            <v>2P</v>
          </cell>
          <cell r="S202" t="str">
            <v>V.ce Lucida</v>
          </cell>
          <cell r="T202" t="str">
            <v>Esistente</v>
          </cell>
          <cell r="U202" t="str">
            <v>Esistente</v>
          </cell>
          <cell r="V202" t="str">
            <v>NO</v>
          </cell>
          <cell r="W202" t="str">
            <v>NO</v>
          </cell>
        </row>
        <row r="203">
          <cell r="A203">
            <v>7804</v>
          </cell>
          <cell r="B203" t="str">
            <v>N</v>
          </cell>
          <cell r="C203" t="str">
            <v>X</v>
          </cell>
          <cell r="D203" t="str">
            <v>Nero Nobile</v>
          </cell>
          <cell r="E203" t="str">
            <v>Astucci La capsuleria FS0384</v>
          </cell>
          <cell r="F203"/>
          <cell r="G203"/>
          <cell r="H203"/>
          <cell r="I203"/>
          <cell r="J203">
            <v>45000</v>
          </cell>
          <cell r="K203" t="str">
            <v>11.250 fogli</v>
          </cell>
          <cell r="L203">
            <v>3</v>
          </cell>
          <cell r="M203">
            <v>44839</v>
          </cell>
          <cell r="N203"/>
          <cell r="O203"/>
          <cell r="P203" t="str">
            <v>GC2 270 54x82</v>
          </cell>
          <cell r="Q203" t="str">
            <v>NO</v>
          </cell>
          <cell r="R203" t="str">
            <v>4Q + 1P</v>
          </cell>
          <cell r="S203" t="str">
            <v>V.ce opaca</v>
          </cell>
          <cell r="T203" t="str">
            <v>Esistente</v>
          </cell>
          <cell r="U203" t="str">
            <v>Esistente</v>
          </cell>
          <cell r="V203" t="str">
            <v>SI</v>
          </cell>
          <cell r="W203" t="str">
            <v>NO</v>
          </cell>
        </row>
        <row r="204">
          <cell r="A204">
            <v>7807</v>
          </cell>
          <cell r="B204" t="str">
            <v>X</v>
          </cell>
          <cell r="C204" t="str">
            <v>X</v>
          </cell>
          <cell r="D204" t="str">
            <v>O.R</v>
          </cell>
          <cell r="E204" t="str">
            <v>Scatole Silente grafia Italy</v>
          </cell>
          <cell r="F204"/>
          <cell r="G204"/>
          <cell r="H204"/>
          <cell r="I204"/>
          <cell r="J204">
            <v>1000</v>
          </cell>
          <cell r="K204" t="str">
            <v>1.000 fogli</v>
          </cell>
          <cell r="L204">
            <v>1</v>
          </cell>
          <cell r="M204">
            <v>44839</v>
          </cell>
          <cell r="N204"/>
          <cell r="O204"/>
          <cell r="P204" t="str">
            <v>115 270</v>
          </cell>
          <cell r="Q204" t="str">
            <v>NO</v>
          </cell>
          <cell r="R204" t="str">
            <v>4Q</v>
          </cell>
          <cell r="S204" t="str">
            <v>V.ce lucida</v>
          </cell>
          <cell r="T204" t="str">
            <v>Esistente</v>
          </cell>
          <cell r="U204" t="str">
            <v>Esistente</v>
          </cell>
          <cell r="V204" t="str">
            <v>Si</v>
          </cell>
          <cell r="W204" t="str">
            <v>NO</v>
          </cell>
        </row>
        <row r="205">
          <cell r="A205">
            <v>7854</v>
          </cell>
          <cell r="B205" t="str">
            <v>R</v>
          </cell>
          <cell r="C205" t="str">
            <v>X</v>
          </cell>
          <cell r="D205" t="str">
            <v>Pantytex</v>
          </cell>
          <cell r="E205" t="str">
            <v>Appendini CA Autoreggenti</v>
          </cell>
          <cell r="F205"/>
          <cell r="G205">
            <v>233</v>
          </cell>
          <cell r="H205">
            <v>44825</v>
          </cell>
          <cell r="I205"/>
          <cell r="J205">
            <v>20000</v>
          </cell>
          <cell r="K205" t="str">
            <v>5.000 fogli</v>
          </cell>
          <cell r="L205">
            <v>1</v>
          </cell>
          <cell r="M205">
            <v>44839</v>
          </cell>
          <cell r="N205"/>
          <cell r="O205"/>
          <cell r="P205" t="str">
            <v>GC1 325</v>
          </cell>
          <cell r="Q205" t="str">
            <v>NO</v>
          </cell>
          <cell r="R205" t="str">
            <v>4Q</v>
          </cell>
          <cell r="S205" t="str">
            <v>V.ce lucida</v>
          </cell>
          <cell r="T205" t="str">
            <v>Esistente</v>
          </cell>
          <cell r="U205" t="str">
            <v>Esistente</v>
          </cell>
          <cell r="V205" t="str">
            <v>SI</v>
          </cell>
          <cell r="W205" t="str">
            <v>NO</v>
          </cell>
        </row>
        <row r="206">
          <cell r="A206">
            <v>7762</v>
          </cell>
          <cell r="B206" t="str">
            <v>X</v>
          </cell>
          <cell r="C206" t="str">
            <v>X</v>
          </cell>
          <cell r="D206" t="str">
            <v>O.R</v>
          </cell>
          <cell r="E206" t="str">
            <v>Scatole Imballo Diverso 80 Italy</v>
          </cell>
          <cell r="F206"/>
          <cell r="G206"/>
          <cell r="H206"/>
          <cell r="I206"/>
          <cell r="J206">
            <v>1000</v>
          </cell>
          <cell r="K206" t="str">
            <v>1.000 fogli</v>
          </cell>
          <cell r="L206">
            <v>1</v>
          </cell>
          <cell r="M206">
            <v>44840</v>
          </cell>
          <cell r="N206"/>
          <cell r="O206"/>
          <cell r="P206" t="str">
            <v>115 270</v>
          </cell>
          <cell r="Q206" t="str">
            <v>NO</v>
          </cell>
          <cell r="R206" t="str">
            <v>4Q</v>
          </cell>
          <cell r="S206" t="str">
            <v>V.ce lucida</v>
          </cell>
          <cell r="T206" t="str">
            <v>Esistente</v>
          </cell>
          <cell r="U206" t="str">
            <v>Esistente</v>
          </cell>
          <cell r="V206" t="str">
            <v>Si</v>
          </cell>
          <cell r="W206" t="str">
            <v>NO</v>
          </cell>
        </row>
        <row r="207">
          <cell r="A207">
            <v>202207856</v>
          </cell>
          <cell r="B207" t="str">
            <v>N</v>
          </cell>
          <cell r="C207" t="str">
            <v>X</v>
          </cell>
          <cell r="D207" t="str">
            <v>Quaranta</v>
          </cell>
          <cell r="E207" t="str">
            <v>Cavallotti Quaranta Torroncini</v>
          </cell>
          <cell r="F207"/>
          <cell r="G207">
            <v>7445</v>
          </cell>
          <cell r="H207">
            <v>44824</v>
          </cell>
          <cell r="I207"/>
          <cell r="J207">
            <v>114600</v>
          </cell>
          <cell r="K207" t="str">
            <v>12.800 fogli</v>
          </cell>
          <cell r="L207">
            <v>2</v>
          </cell>
          <cell r="M207">
            <v>44840</v>
          </cell>
          <cell r="N207"/>
          <cell r="O207"/>
          <cell r="P207" t="str">
            <v>GC1 250</v>
          </cell>
          <cell r="Q207" t="str">
            <v>NO</v>
          </cell>
          <cell r="R207" t="str">
            <v>4Q + 2P</v>
          </cell>
          <cell r="S207" t="str">
            <v>V.ce lucida</v>
          </cell>
          <cell r="T207" t="str">
            <v>Esistente</v>
          </cell>
          <cell r="U207" t="str">
            <v>Esistente</v>
          </cell>
          <cell r="V207" t="str">
            <v>SI</v>
          </cell>
          <cell r="W207" t="str">
            <v>NO</v>
          </cell>
        </row>
        <row r="208">
          <cell r="A208">
            <v>202207838</v>
          </cell>
          <cell r="B208" t="str">
            <v>R</v>
          </cell>
          <cell r="C208" t="str">
            <v>X</v>
          </cell>
          <cell r="D208" t="str">
            <v>JBS</v>
          </cell>
          <cell r="E208" t="str">
            <v>Buste Decoy Gambaletto - ord - 12317</v>
          </cell>
          <cell r="F208"/>
          <cell r="G208"/>
          <cell r="H208"/>
          <cell r="I208"/>
          <cell r="J208">
            <v>10000</v>
          </cell>
          <cell r="K208" t="str">
            <v>1.670 fogli</v>
          </cell>
          <cell r="L208">
            <v>1</v>
          </cell>
          <cell r="M208">
            <v>44841</v>
          </cell>
          <cell r="N208"/>
          <cell r="O208"/>
          <cell r="P208" t="str">
            <v xml:space="preserve">GC1 250 </v>
          </cell>
          <cell r="Q208" t="str">
            <v>SI</v>
          </cell>
          <cell r="R208" t="str">
            <v>4Q</v>
          </cell>
          <cell r="S208" t="str">
            <v>V.ce + OC</v>
          </cell>
          <cell r="T208" t="str">
            <v>Esistente</v>
          </cell>
          <cell r="U208" t="str">
            <v>Esistente</v>
          </cell>
          <cell r="V208" t="str">
            <v>SI</v>
          </cell>
          <cell r="W208" t="str">
            <v>NO</v>
          </cell>
        </row>
        <row r="209">
          <cell r="A209">
            <v>202207869</v>
          </cell>
          <cell r="B209" t="str">
            <v>R</v>
          </cell>
          <cell r="C209" t="str">
            <v>X</v>
          </cell>
          <cell r="D209" t="str">
            <v>Nero Nobile</v>
          </cell>
          <cell r="E209" t="str">
            <v>Astucci FS0380 Il caffè italiano</v>
          </cell>
          <cell r="F209"/>
          <cell r="G209">
            <v>687</v>
          </cell>
          <cell r="H209">
            <v>44832</v>
          </cell>
          <cell r="I209"/>
          <cell r="J209">
            <v>130000</v>
          </cell>
          <cell r="K209" t="str">
            <v>32.500 fogli</v>
          </cell>
          <cell r="L209">
            <v>4</v>
          </cell>
          <cell r="M209">
            <v>44841</v>
          </cell>
          <cell r="N209"/>
          <cell r="O209" t="str">
            <v>CR0038</v>
          </cell>
          <cell r="P209" t="str">
            <v>GC2 270 62x100,5</v>
          </cell>
          <cell r="Q209" t="str">
            <v>NO</v>
          </cell>
          <cell r="R209" t="str">
            <v>4Q + 1P</v>
          </cell>
          <cell r="S209" t="str">
            <v>V.ce opaca</v>
          </cell>
          <cell r="T209" t="str">
            <v>Esistente</v>
          </cell>
          <cell r="U209" t="str">
            <v>Esistente</v>
          </cell>
          <cell r="V209" t="str">
            <v>SI</v>
          </cell>
          <cell r="W209" t="str">
            <v>NO</v>
          </cell>
        </row>
        <row r="210">
          <cell r="A210">
            <v>202207911</v>
          </cell>
          <cell r="B210" t="str">
            <v>R</v>
          </cell>
          <cell r="C210" t="str">
            <v>X</v>
          </cell>
          <cell r="D210" t="str">
            <v>Gandola</v>
          </cell>
          <cell r="E210" t="str">
            <v>Espositore Snak Lindt</v>
          </cell>
          <cell r="F210" t="str">
            <v>24 PZ</v>
          </cell>
          <cell r="G210" t="str">
            <v>OA22001435</v>
          </cell>
          <cell r="H210">
            <v>44845</v>
          </cell>
          <cell r="I210"/>
          <cell r="J210">
            <v>6000</v>
          </cell>
          <cell r="K210" t="str">
            <v>3.000 fogli</v>
          </cell>
          <cell r="L210">
            <v>1</v>
          </cell>
          <cell r="M210">
            <v>44843</v>
          </cell>
          <cell r="N210"/>
          <cell r="O210" t="str">
            <v>CR0188</v>
          </cell>
          <cell r="P210" t="str">
            <v>115 250</v>
          </cell>
          <cell r="Q210" t="str">
            <v>NO</v>
          </cell>
          <cell r="R210" t="str">
            <v>4Q + 2P</v>
          </cell>
          <cell r="S210" t="str">
            <v>V.ce lucida</v>
          </cell>
          <cell r="T210" t="str">
            <v>Esistente</v>
          </cell>
          <cell r="U210" t="str">
            <v>Esistente</v>
          </cell>
          <cell r="V210" t="str">
            <v>SI</v>
          </cell>
          <cell r="W210" t="str">
            <v>NO</v>
          </cell>
        </row>
        <row r="211">
          <cell r="A211">
            <v>202207793</v>
          </cell>
          <cell r="B211" t="str">
            <v>N</v>
          </cell>
          <cell r="C211" t="str">
            <v>X</v>
          </cell>
          <cell r="D211" t="str">
            <v>Rubinetterie Fortis</v>
          </cell>
          <cell r="E211" t="str">
            <v>Bauletti Degt</v>
          </cell>
          <cell r="F211"/>
          <cell r="G211"/>
          <cell r="H211"/>
          <cell r="I211"/>
          <cell r="J211">
            <v>45000</v>
          </cell>
          <cell r="K211" t="str">
            <v>11.250 fogli</v>
          </cell>
          <cell r="L211">
            <v>2</v>
          </cell>
          <cell r="M211">
            <v>44844</v>
          </cell>
          <cell r="N211"/>
          <cell r="O211"/>
          <cell r="P211" t="str">
            <v>115 290</v>
          </cell>
          <cell r="Q211" t="str">
            <v>NO</v>
          </cell>
          <cell r="R211" t="str">
            <v>2P</v>
          </cell>
          <cell r="S211" t="str">
            <v>UV</v>
          </cell>
          <cell r="T211" t="str">
            <v>Esistente</v>
          </cell>
          <cell r="U211" t="str">
            <v>Esistente</v>
          </cell>
          <cell r="V211" t="str">
            <v>Si</v>
          </cell>
          <cell r="W211" t="str">
            <v>NO</v>
          </cell>
        </row>
        <row r="212">
          <cell r="A212">
            <v>7794</v>
          </cell>
          <cell r="B212" t="str">
            <v>R</v>
          </cell>
          <cell r="C212" t="str">
            <v>X</v>
          </cell>
          <cell r="D212" t="str">
            <v>Rubinetterie Fortis</v>
          </cell>
          <cell r="E212" t="str">
            <v>Astucci Degt Lineare mod. 142</v>
          </cell>
          <cell r="F212"/>
          <cell r="G212"/>
          <cell r="H212"/>
          <cell r="I212"/>
          <cell r="J212">
            <v>50000</v>
          </cell>
          <cell r="K212" t="str">
            <v>8.400 fogli</v>
          </cell>
          <cell r="L212">
            <v>1</v>
          </cell>
          <cell r="M212">
            <v>44844</v>
          </cell>
          <cell r="N212"/>
          <cell r="O212"/>
          <cell r="P212" t="str">
            <v>112 450</v>
          </cell>
          <cell r="Q212" t="str">
            <v>NO</v>
          </cell>
          <cell r="R212" t="str">
            <v>2P</v>
          </cell>
          <cell r="S212" t="str">
            <v>UV</v>
          </cell>
          <cell r="T212" t="str">
            <v>Esistente</v>
          </cell>
          <cell r="U212" t="str">
            <v>Esistente</v>
          </cell>
          <cell r="V212" t="str">
            <v>Si</v>
          </cell>
          <cell r="W212" t="str">
            <v>NO</v>
          </cell>
        </row>
        <row r="213">
          <cell r="A213">
            <v>202207891</v>
          </cell>
          <cell r="B213" t="str">
            <v>R</v>
          </cell>
          <cell r="C213" t="str">
            <v>X</v>
          </cell>
          <cell r="D213" t="str">
            <v>Pantytex</v>
          </cell>
          <cell r="E213" t="str">
            <v>Cartellini Stampati Pantytex</v>
          </cell>
          <cell r="F213"/>
          <cell r="G213" t="str">
            <v>-</v>
          </cell>
          <cell r="H213">
            <v>44831</v>
          </cell>
          <cell r="I213"/>
          <cell r="J213">
            <v>20000</v>
          </cell>
          <cell r="K213" t="str">
            <v>80 fogli</v>
          </cell>
          <cell r="L213">
            <v>1</v>
          </cell>
          <cell r="M213">
            <v>44846</v>
          </cell>
          <cell r="N213"/>
          <cell r="O213"/>
          <cell r="P213" t="str">
            <v>GC1 250 72x102</v>
          </cell>
          <cell r="Q213" t="str">
            <v>NO</v>
          </cell>
          <cell r="R213" t="str">
            <v>1P</v>
          </cell>
          <cell r="S213" t="str">
            <v>V.ce lucida</v>
          </cell>
          <cell r="T213" t="str">
            <v>Esistente</v>
          </cell>
          <cell r="U213" t="str">
            <v>Esistente</v>
          </cell>
          <cell r="V213" t="str">
            <v>NO</v>
          </cell>
          <cell r="W213" t="str">
            <v>NO</v>
          </cell>
        </row>
        <row r="214">
          <cell r="A214">
            <v>7734</v>
          </cell>
          <cell r="B214" t="str">
            <v>X</v>
          </cell>
          <cell r="C214" t="str">
            <v>X</v>
          </cell>
          <cell r="D214" t="str">
            <v>Prontofoods</v>
          </cell>
          <cell r="E214" t="str">
            <v>Zucchero di canna grezzo 500 g</v>
          </cell>
          <cell r="F214"/>
          <cell r="G214"/>
          <cell r="H214"/>
          <cell r="I214"/>
          <cell r="J214">
            <v>45000</v>
          </cell>
          <cell r="K214" t="str">
            <v>7.500 fogli</v>
          </cell>
          <cell r="L214">
            <v>1</v>
          </cell>
          <cell r="M214">
            <v>44846</v>
          </cell>
          <cell r="N214"/>
          <cell r="O214"/>
          <cell r="P214" t="str">
            <v>962 400 73x75</v>
          </cell>
          <cell r="Q214" t="str">
            <v>NO</v>
          </cell>
          <cell r="R214" t="str">
            <v>4Q + 1P</v>
          </cell>
          <cell r="S214" t="str">
            <v>PL</v>
          </cell>
          <cell r="T214" t="str">
            <v>Esistente</v>
          </cell>
          <cell r="U214" t="str">
            <v>Esistente</v>
          </cell>
          <cell r="V214" t="str">
            <v>NO</v>
          </cell>
          <cell r="W214" t="str">
            <v>SI</v>
          </cell>
        </row>
        <row r="215">
          <cell r="A215">
            <v>202207880</v>
          </cell>
          <cell r="B215" t="str">
            <v>R</v>
          </cell>
          <cell r="C215" t="str">
            <v>x</v>
          </cell>
          <cell r="D215" t="str">
            <v>Prontofoods</v>
          </cell>
          <cell r="E215" t="str">
            <v>Astucci Camomille</v>
          </cell>
          <cell r="F215" t="str">
            <v>Ohi Vita</v>
          </cell>
          <cell r="G215">
            <v>221863</v>
          </cell>
          <cell r="H215">
            <v>44837</v>
          </cell>
          <cell r="I215"/>
          <cell r="J215">
            <v>25000</v>
          </cell>
          <cell r="K215" t="str">
            <v>2.800 fogli</v>
          </cell>
          <cell r="L215">
            <v>1</v>
          </cell>
          <cell r="M215">
            <v>44846</v>
          </cell>
          <cell r="N215"/>
          <cell r="O215" t="str">
            <v>CR0004</v>
          </cell>
          <cell r="P215" t="str">
            <v>Tam 240 93,5x65,5</v>
          </cell>
          <cell r="Q215" t="str">
            <v>NO</v>
          </cell>
          <cell r="R215" t="str">
            <v>4Q + 1P</v>
          </cell>
          <cell r="S215" t="str">
            <v>V.ce lucida</v>
          </cell>
          <cell r="T215" t="str">
            <v>Esistente</v>
          </cell>
          <cell r="U215" t="str">
            <v>Esistente</v>
          </cell>
          <cell r="V215" t="str">
            <v>NO</v>
          </cell>
          <cell r="W215" t="str">
            <v>NO</v>
          </cell>
        </row>
        <row r="216">
          <cell r="A216">
            <v>202207880</v>
          </cell>
          <cell r="B216" t="str">
            <v>N</v>
          </cell>
          <cell r="C216" t="str">
            <v>X</v>
          </cell>
          <cell r="D216" t="str">
            <v>Prontofoods</v>
          </cell>
          <cell r="E216" t="str">
            <v>Astucci Camomille</v>
          </cell>
          <cell r="F216" t="str">
            <v>Noi Voi</v>
          </cell>
          <cell r="G216">
            <v>221863</v>
          </cell>
          <cell r="H216">
            <v>44837</v>
          </cell>
          <cell r="I216"/>
          <cell r="J216">
            <v>10000</v>
          </cell>
          <cell r="K216" t="str">
            <v>1.200 fogli</v>
          </cell>
          <cell r="L216">
            <v>1</v>
          </cell>
          <cell r="M216">
            <v>44846</v>
          </cell>
          <cell r="N216"/>
          <cell r="O216" t="str">
            <v>CR0004</v>
          </cell>
          <cell r="P216" t="str">
            <v>Tam 240 93,5x65,5</v>
          </cell>
          <cell r="Q216" t="str">
            <v>NO</v>
          </cell>
          <cell r="R216" t="str">
            <v>4Q + 1P</v>
          </cell>
          <cell r="S216" t="str">
            <v>V.ce lucida</v>
          </cell>
          <cell r="T216" t="str">
            <v>Esistente</v>
          </cell>
          <cell r="U216" t="str">
            <v>Esistente</v>
          </cell>
          <cell r="V216" t="str">
            <v>NO</v>
          </cell>
          <cell r="W216" t="str">
            <v>NO</v>
          </cell>
        </row>
        <row r="217">
          <cell r="A217">
            <v>202207880</v>
          </cell>
          <cell r="B217" t="str">
            <v>R</v>
          </cell>
          <cell r="C217" t="str">
            <v>x</v>
          </cell>
          <cell r="D217" t="str">
            <v>Prontofoods</v>
          </cell>
          <cell r="E217" t="str">
            <v>Astucci Camomille</v>
          </cell>
          <cell r="F217" t="str">
            <v>Il Gigante</v>
          </cell>
          <cell r="G217">
            <v>221863</v>
          </cell>
          <cell r="H217">
            <v>44837</v>
          </cell>
          <cell r="I217"/>
          <cell r="J217">
            <v>10000</v>
          </cell>
          <cell r="K217" t="str">
            <v>1.200 fogli</v>
          </cell>
          <cell r="L217">
            <v>1</v>
          </cell>
          <cell r="M217">
            <v>44846</v>
          </cell>
          <cell r="N217"/>
          <cell r="O217" t="str">
            <v>CR0004</v>
          </cell>
          <cell r="P217" t="str">
            <v>Tam 240 93,5x65,5</v>
          </cell>
          <cell r="Q217" t="str">
            <v>NO</v>
          </cell>
          <cell r="R217" t="str">
            <v>4Q + 1P</v>
          </cell>
          <cell r="S217" t="str">
            <v>V.ce lucida</v>
          </cell>
          <cell r="T217" t="str">
            <v>Esistente</v>
          </cell>
          <cell r="U217" t="str">
            <v>Esistente</v>
          </cell>
          <cell r="V217" t="str">
            <v>NO</v>
          </cell>
          <cell r="W217" t="str">
            <v>NO</v>
          </cell>
        </row>
        <row r="218">
          <cell r="A218">
            <v>202207880</v>
          </cell>
          <cell r="B218" t="str">
            <v>R</v>
          </cell>
          <cell r="C218" t="str">
            <v>x</v>
          </cell>
          <cell r="D218" t="str">
            <v>Prontofoods</v>
          </cell>
          <cell r="E218" t="str">
            <v>Astucci Camomille</v>
          </cell>
          <cell r="F218" t="str">
            <v>Rafael</v>
          </cell>
          <cell r="G218">
            <v>221863</v>
          </cell>
          <cell r="H218">
            <v>44837</v>
          </cell>
          <cell r="I218"/>
          <cell r="J218">
            <v>40000</v>
          </cell>
          <cell r="K218" t="str">
            <v>4.500 fogli</v>
          </cell>
          <cell r="L218">
            <v>1</v>
          </cell>
          <cell r="M218">
            <v>44846</v>
          </cell>
          <cell r="N218"/>
          <cell r="O218" t="str">
            <v>CR0004</v>
          </cell>
          <cell r="P218" t="str">
            <v>Tam 240 93,5x65,5</v>
          </cell>
          <cell r="Q218" t="str">
            <v>NO</v>
          </cell>
          <cell r="R218" t="str">
            <v>4Q + 1P</v>
          </cell>
          <cell r="S218" t="str">
            <v>V.ce lucida</v>
          </cell>
          <cell r="T218" t="str">
            <v>Esistente</v>
          </cell>
          <cell r="U218" t="str">
            <v>Esistente</v>
          </cell>
          <cell r="V218" t="str">
            <v>NO</v>
          </cell>
          <cell r="W218" t="str">
            <v>NO</v>
          </cell>
        </row>
        <row r="219">
          <cell r="A219">
            <v>202207880</v>
          </cell>
          <cell r="B219" t="str">
            <v>R</v>
          </cell>
          <cell r="C219" t="str">
            <v>x</v>
          </cell>
          <cell r="D219" t="str">
            <v>Prontofoods</v>
          </cell>
          <cell r="E219" t="str">
            <v>Astucci Camomille</v>
          </cell>
          <cell r="F219" t="str">
            <v>Unes</v>
          </cell>
          <cell r="G219">
            <v>221863</v>
          </cell>
          <cell r="H219">
            <v>44837</v>
          </cell>
          <cell r="I219"/>
          <cell r="J219">
            <v>7000</v>
          </cell>
          <cell r="K219" t="str">
            <v>7.800 fogli</v>
          </cell>
          <cell r="L219">
            <v>1</v>
          </cell>
          <cell r="M219">
            <v>44846</v>
          </cell>
          <cell r="N219"/>
          <cell r="O219" t="str">
            <v>CR0004</v>
          </cell>
          <cell r="P219" t="str">
            <v>Tam 240 93,5x65,5</v>
          </cell>
          <cell r="Q219" t="str">
            <v>NO</v>
          </cell>
          <cell r="R219" t="str">
            <v>4Q + 1P</v>
          </cell>
          <cell r="S219" t="str">
            <v>V.ce lucida</v>
          </cell>
          <cell r="T219" t="str">
            <v>Esistente</v>
          </cell>
          <cell r="U219" t="str">
            <v>Esistente</v>
          </cell>
          <cell r="V219" t="str">
            <v>NO</v>
          </cell>
          <cell r="W219" t="str">
            <v>NO</v>
          </cell>
        </row>
        <row r="220">
          <cell r="A220">
            <v>202207880</v>
          </cell>
          <cell r="B220" t="str">
            <v>R</v>
          </cell>
          <cell r="C220" t="str">
            <v>x</v>
          </cell>
          <cell r="D220" t="str">
            <v>Prontofoods</v>
          </cell>
          <cell r="E220" t="str">
            <v>Astucci Camomille</v>
          </cell>
          <cell r="F220" t="str">
            <v>Despar</v>
          </cell>
          <cell r="G220">
            <v>221863</v>
          </cell>
          <cell r="H220">
            <v>44837</v>
          </cell>
          <cell r="I220"/>
          <cell r="J220">
            <v>25000</v>
          </cell>
          <cell r="K220" t="str">
            <v>2.800 fogli</v>
          </cell>
          <cell r="L220">
            <v>1</v>
          </cell>
          <cell r="M220">
            <v>44846</v>
          </cell>
          <cell r="N220"/>
          <cell r="O220" t="str">
            <v>CR0004</v>
          </cell>
          <cell r="P220" t="str">
            <v>Tam 240 93,5x65,5</v>
          </cell>
          <cell r="Q220" t="str">
            <v>NO</v>
          </cell>
          <cell r="R220" t="str">
            <v>4Q + 1P</v>
          </cell>
          <cell r="S220" t="str">
            <v>V.ce lucida</v>
          </cell>
          <cell r="T220" t="str">
            <v>Esistente</v>
          </cell>
          <cell r="U220" t="str">
            <v>Esistente</v>
          </cell>
          <cell r="V220" t="str">
            <v>NO</v>
          </cell>
          <cell r="W220" t="str">
            <v>NO</v>
          </cell>
        </row>
        <row r="221">
          <cell r="A221">
            <v>7849</v>
          </cell>
          <cell r="B221" t="str">
            <v>R</v>
          </cell>
          <cell r="C221" t="str">
            <v>X</v>
          </cell>
          <cell r="D221" t="str">
            <v>Pasta Lensi</v>
          </cell>
          <cell r="E221" t="str">
            <v>Astucci American Beauty Penne</v>
          </cell>
          <cell r="F221"/>
          <cell r="G221">
            <v>50150</v>
          </cell>
          <cell r="H221">
            <v>44825</v>
          </cell>
          <cell r="I221" t="str">
            <v>127 x 45 x 185</v>
          </cell>
          <cell r="J221">
            <v>45000</v>
          </cell>
          <cell r="K221" t="str">
            <v>7.500 fogli</v>
          </cell>
          <cell r="L221">
            <v>1</v>
          </cell>
          <cell r="M221">
            <v>44847</v>
          </cell>
          <cell r="N221"/>
          <cell r="O221" t="str">
            <v>CR0114</v>
          </cell>
          <cell r="P221" t="str">
            <v>962 350 83,5x72,5</v>
          </cell>
          <cell r="Q221" t="str">
            <v>NO</v>
          </cell>
          <cell r="R221" t="str">
            <v>4Q + 2P</v>
          </cell>
          <cell r="S221" t="str">
            <v>V.ce lucida</v>
          </cell>
          <cell r="T221" t="str">
            <v>Esistente</v>
          </cell>
          <cell r="U221" t="str">
            <v>Esistente</v>
          </cell>
          <cell r="V221" t="str">
            <v>NO</v>
          </cell>
          <cell r="W221" t="str">
            <v>SI</v>
          </cell>
        </row>
        <row r="222">
          <cell r="A222">
            <v>202207850</v>
          </cell>
          <cell r="B222" t="str">
            <v>R</v>
          </cell>
          <cell r="C222" t="str">
            <v>X</v>
          </cell>
          <cell r="D222" t="str">
            <v>Pasta Lensi</v>
          </cell>
          <cell r="E222" t="str">
            <v>Astucci Sig. Rotini</v>
          </cell>
          <cell r="F222"/>
          <cell r="G222">
            <v>50149</v>
          </cell>
          <cell r="H222">
            <v>44825</v>
          </cell>
          <cell r="I222" t="str">
            <v>127 X 63 X 185</v>
          </cell>
          <cell r="J222">
            <v>20000</v>
          </cell>
          <cell r="K222" t="str">
            <v>5.000 fogli</v>
          </cell>
          <cell r="L222">
            <v>1</v>
          </cell>
          <cell r="M222">
            <v>44847</v>
          </cell>
          <cell r="N222"/>
          <cell r="O222" t="str">
            <v>CR0080</v>
          </cell>
          <cell r="P222" t="str">
            <v>962 350 63,5x79,5</v>
          </cell>
          <cell r="Q222" t="str">
            <v>NO</v>
          </cell>
          <cell r="R222" t="str">
            <v>4Q + 2P</v>
          </cell>
          <cell r="S222" t="str">
            <v>V.ce lucida</v>
          </cell>
          <cell r="T222" t="str">
            <v>Esistente</v>
          </cell>
          <cell r="U222" t="str">
            <v>Esistente</v>
          </cell>
          <cell r="V222" t="str">
            <v>NO</v>
          </cell>
          <cell r="W222" t="str">
            <v>SI</v>
          </cell>
        </row>
        <row r="223">
          <cell r="A223">
            <v>202207909</v>
          </cell>
          <cell r="B223" t="str">
            <v>R</v>
          </cell>
          <cell r="C223"/>
          <cell r="D223" t="str">
            <v>RCM</v>
          </cell>
          <cell r="E223" t="str">
            <v>Astucci Plntadea</v>
          </cell>
          <cell r="F223"/>
          <cell r="G223" t="str">
            <v>-</v>
          </cell>
          <cell r="H223">
            <v>44846</v>
          </cell>
          <cell r="I223"/>
          <cell r="J223">
            <v>4000</v>
          </cell>
          <cell r="K223" t="str">
            <v>1.000 fogli</v>
          </cell>
          <cell r="L223">
            <v>1</v>
          </cell>
          <cell r="M223">
            <v>44847</v>
          </cell>
          <cell r="N223"/>
          <cell r="O223" t="str">
            <v>CR051</v>
          </cell>
          <cell r="P223" t="str">
            <v>GC1 280 60x103</v>
          </cell>
          <cell r="Q223" t="str">
            <v>SI</v>
          </cell>
          <cell r="R223" t="str">
            <v>1P</v>
          </cell>
          <cell r="S223" t="str">
            <v>PL</v>
          </cell>
          <cell r="T223" t="str">
            <v xml:space="preserve">Nuovo </v>
          </cell>
          <cell r="U223" t="str">
            <v>Nuova</v>
          </cell>
          <cell r="V223" t="str">
            <v>NO</v>
          </cell>
          <cell r="W223" t="str">
            <v>NO</v>
          </cell>
        </row>
        <row r="224">
          <cell r="A224">
            <v>202207852</v>
          </cell>
          <cell r="B224" t="str">
            <v>N</v>
          </cell>
          <cell r="C224" t="str">
            <v>X</v>
          </cell>
          <cell r="D224" t="str">
            <v>Lucaffè</v>
          </cell>
          <cell r="E224" t="str">
            <v>Astucci Lucaffè</v>
          </cell>
          <cell r="F224"/>
          <cell r="G224">
            <v>235</v>
          </cell>
          <cell r="H224">
            <v>44825</v>
          </cell>
          <cell r="I224"/>
          <cell r="J224">
            <v>20000</v>
          </cell>
          <cell r="K224" t="str">
            <v>6.670 fogli</v>
          </cell>
          <cell r="L224">
            <v>2</v>
          </cell>
          <cell r="M224">
            <v>44848</v>
          </cell>
          <cell r="N224"/>
          <cell r="O224"/>
          <cell r="P224" t="str">
            <v>GC1 270</v>
          </cell>
          <cell r="Q224" t="str">
            <v>NO</v>
          </cell>
          <cell r="R224" t="str">
            <v>4Q + 3P</v>
          </cell>
          <cell r="S224" t="str">
            <v>V.ce + UV</v>
          </cell>
          <cell r="T224" t="str">
            <v>Esistente</v>
          </cell>
          <cell r="U224" t="str">
            <v>Esistente</v>
          </cell>
          <cell r="V224" t="str">
            <v>NO</v>
          </cell>
          <cell r="W224" t="str">
            <v>NO</v>
          </cell>
        </row>
        <row r="225">
          <cell r="A225">
            <v>202207885</v>
          </cell>
          <cell r="B225" t="str">
            <v>N</v>
          </cell>
          <cell r="C225" t="str">
            <v>X</v>
          </cell>
          <cell r="D225" t="str">
            <v>Nero Nobile</v>
          </cell>
          <cell r="E225" t="str">
            <v>Astucci FS0384 La capsuleria</v>
          </cell>
          <cell r="F225"/>
          <cell r="G225">
            <v>699</v>
          </cell>
          <cell r="H225" t="str">
            <v>4/10/22</v>
          </cell>
          <cell r="I225"/>
          <cell r="J225">
            <v>68000</v>
          </cell>
          <cell r="K225" t="str">
            <v>17.000 fogli</v>
          </cell>
          <cell r="L225">
            <v>4</v>
          </cell>
          <cell r="M225">
            <v>44848</v>
          </cell>
          <cell r="N225"/>
          <cell r="O225" t="str">
            <v>CR0167</v>
          </cell>
          <cell r="P225" t="str">
            <v>GC2 270 54x82</v>
          </cell>
          <cell r="Q225" t="str">
            <v>NO</v>
          </cell>
          <cell r="R225" t="str">
            <v>4Q + 1P</v>
          </cell>
          <cell r="S225" t="str">
            <v>V.ce opaca</v>
          </cell>
          <cell r="T225" t="str">
            <v>Esistente</v>
          </cell>
          <cell r="U225" t="str">
            <v>Esistente</v>
          </cell>
          <cell r="V225" t="str">
            <v>SI</v>
          </cell>
          <cell r="W225" t="str">
            <v>NO</v>
          </cell>
        </row>
        <row r="226">
          <cell r="A226">
            <v>202207890</v>
          </cell>
          <cell r="B226" t="str">
            <v>R</v>
          </cell>
          <cell r="C226" t="str">
            <v>X</v>
          </cell>
          <cell r="D226" t="str">
            <v>Nero Nobile</v>
          </cell>
          <cell r="E226" t="str">
            <v>Astucci FS0380 Nero Nobile</v>
          </cell>
          <cell r="F226"/>
          <cell r="G226">
            <v>692</v>
          </cell>
          <cell r="H226" t="str">
            <v>3/10/22</v>
          </cell>
          <cell r="I226"/>
          <cell r="J226">
            <v>50000</v>
          </cell>
          <cell r="K226" t="str">
            <v>12.500 fogli</v>
          </cell>
          <cell r="L226">
            <v>2</v>
          </cell>
          <cell r="M226">
            <v>44848</v>
          </cell>
          <cell r="N226"/>
          <cell r="O226" t="str">
            <v>CR0132</v>
          </cell>
          <cell r="P226" t="str">
            <v>GC2 270 62x100,5</v>
          </cell>
          <cell r="Q226" t="str">
            <v>NO</v>
          </cell>
          <cell r="R226" t="str">
            <v>4Q + 1P</v>
          </cell>
          <cell r="S226" t="str">
            <v>Drip + UV</v>
          </cell>
          <cell r="T226" t="str">
            <v>Esistente</v>
          </cell>
          <cell r="U226" t="str">
            <v>Esistente</v>
          </cell>
          <cell r="V226" t="str">
            <v>SI</v>
          </cell>
          <cell r="W226" t="str">
            <v>NO</v>
          </cell>
        </row>
        <row r="227">
          <cell r="A227">
            <v>202207865</v>
          </cell>
          <cell r="B227" t="str">
            <v>R</v>
          </cell>
          <cell r="C227" t="str">
            <v>X</v>
          </cell>
          <cell r="D227" t="str">
            <v>O.R</v>
          </cell>
          <cell r="E227" t="str">
            <v>Scatole Imballo IN A 10/4</v>
          </cell>
          <cell r="F227"/>
          <cell r="G227" t="str">
            <v>ORF22-2601</v>
          </cell>
          <cell r="H227">
            <v>44832</v>
          </cell>
          <cell r="I227"/>
          <cell r="J227">
            <v>3000</v>
          </cell>
          <cell r="K227" t="str">
            <v>3.000 fogli</v>
          </cell>
          <cell r="L227">
            <v>1</v>
          </cell>
          <cell r="M227">
            <v>44848</v>
          </cell>
          <cell r="N227"/>
          <cell r="O227"/>
          <cell r="P227" t="str">
            <v>115 290</v>
          </cell>
          <cell r="Q227" t="str">
            <v>NO</v>
          </cell>
          <cell r="R227" t="str">
            <v>4Q</v>
          </cell>
          <cell r="S227" t="str">
            <v>V.ce Lucida</v>
          </cell>
          <cell r="T227" t="str">
            <v>Esistente</v>
          </cell>
          <cell r="U227" t="str">
            <v>Esistente</v>
          </cell>
          <cell r="V227" t="str">
            <v>SI</v>
          </cell>
          <cell r="W227" t="str">
            <v>NO</v>
          </cell>
        </row>
        <row r="228">
          <cell r="A228">
            <v>7787</v>
          </cell>
          <cell r="B228" t="str">
            <v>R</v>
          </cell>
          <cell r="C228" t="str">
            <v>X</v>
          </cell>
          <cell r="D228" t="str">
            <v>Pasta Lensi</v>
          </cell>
          <cell r="E228" t="str">
            <v xml:space="preserve">Astucci Coop Alti </v>
          </cell>
          <cell r="F228"/>
          <cell r="G228">
            <v>50002</v>
          </cell>
          <cell r="H228"/>
          <cell r="I228" t="str">
            <v>100 x 45 x 200</v>
          </cell>
          <cell r="J228">
            <v>50000</v>
          </cell>
          <cell r="K228" t="str">
            <v>8.340 fogli</v>
          </cell>
          <cell r="L228">
            <v>1</v>
          </cell>
          <cell r="M228">
            <v>44848</v>
          </cell>
          <cell r="N228"/>
          <cell r="O228"/>
          <cell r="P228" t="str">
            <v>GC1 300 60x93</v>
          </cell>
          <cell r="Q228" t="str">
            <v>NO</v>
          </cell>
          <cell r="R228" t="str">
            <v>4Q + 2P</v>
          </cell>
          <cell r="S228" t="str">
            <v>V.ce lucida</v>
          </cell>
          <cell r="T228" t="str">
            <v>Esistente</v>
          </cell>
          <cell r="U228" t="str">
            <v>Esistente</v>
          </cell>
          <cell r="V228" t="str">
            <v>SI</v>
          </cell>
          <cell r="W228" t="str">
            <v>NO</v>
          </cell>
        </row>
        <row r="229">
          <cell r="A229">
            <v>7789</v>
          </cell>
          <cell r="B229" t="str">
            <v>R</v>
          </cell>
          <cell r="C229" t="str">
            <v>X</v>
          </cell>
          <cell r="D229" t="str">
            <v>Pasta Lensi</v>
          </cell>
          <cell r="E229" t="str">
            <v>Astucci Coop Altissimi</v>
          </cell>
          <cell r="F229"/>
          <cell r="G229">
            <v>50028</v>
          </cell>
          <cell r="H229"/>
          <cell r="I229" t="str">
            <v>100 x 62 x 200</v>
          </cell>
          <cell r="J229">
            <v>50000</v>
          </cell>
          <cell r="K229" t="str">
            <v>8.340 fogli</v>
          </cell>
          <cell r="L229">
            <v>1</v>
          </cell>
          <cell r="M229">
            <v>44848</v>
          </cell>
          <cell r="N229"/>
          <cell r="O229"/>
          <cell r="P229" t="str">
            <v>GC1 300 64x103</v>
          </cell>
          <cell r="Q229" t="str">
            <v>NO</v>
          </cell>
          <cell r="R229" t="str">
            <v>4Q + 2P</v>
          </cell>
          <cell r="S229" t="str">
            <v>V.ce lucida</v>
          </cell>
          <cell r="T229" t="str">
            <v>Esistente</v>
          </cell>
          <cell r="U229" t="str">
            <v>Esistente</v>
          </cell>
          <cell r="V229" t="str">
            <v>SI</v>
          </cell>
          <cell r="W229" t="str">
            <v>NO</v>
          </cell>
        </row>
        <row r="230">
          <cell r="A230">
            <v>202207862</v>
          </cell>
          <cell r="B230" t="str">
            <v>R</v>
          </cell>
          <cell r="C230" t="str">
            <v>X</v>
          </cell>
          <cell r="D230" t="str">
            <v>Pasta Lensi</v>
          </cell>
          <cell r="E230" t="str">
            <v>Astucci Ica Macaroni</v>
          </cell>
          <cell r="F230"/>
          <cell r="G230">
            <v>50205</v>
          </cell>
          <cell r="H230">
            <v>44831</v>
          </cell>
          <cell r="I230" t="str">
            <v>127 X 63 X 185</v>
          </cell>
          <cell r="J230">
            <v>30000</v>
          </cell>
          <cell r="K230" t="str">
            <v>7.500 fogli</v>
          </cell>
          <cell r="L230">
            <v>1</v>
          </cell>
          <cell r="M230">
            <v>44848</v>
          </cell>
          <cell r="N230"/>
          <cell r="O230" t="str">
            <v>CR0079</v>
          </cell>
          <cell r="P230" t="str">
            <v>962 350 63,5x79,5</v>
          </cell>
          <cell r="Q230" t="str">
            <v>NO</v>
          </cell>
          <cell r="R230" t="str">
            <v>4Q + 2P</v>
          </cell>
          <cell r="S230" t="str">
            <v>V.ce Lucida</v>
          </cell>
          <cell r="T230" t="str">
            <v>Esistente</v>
          </cell>
          <cell r="U230" t="str">
            <v>Esistente</v>
          </cell>
          <cell r="V230" t="str">
            <v>NO</v>
          </cell>
          <cell r="W230" t="str">
            <v>NO</v>
          </cell>
        </row>
        <row r="231">
          <cell r="A231">
            <v>202207867</v>
          </cell>
          <cell r="B231" t="str">
            <v>N</v>
          </cell>
          <cell r="C231" t="str">
            <v>X</v>
          </cell>
          <cell r="D231" t="str">
            <v>Bruno Chiaruttini</v>
          </cell>
          <cell r="E231" t="str">
            <v>Appendini Accapi D18</v>
          </cell>
          <cell r="F231"/>
          <cell r="G231" t="str">
            <v>239/2022</v>
          </cell>
          <cell r="H231">
            <v>44833</v>
          </cell>
          <cell r="I231"/>
          <cell r="J231">
            <v>18000</v>
          </cell>
          <cell r="K231" t="str">
            <v>4.500 fogli</v>
          </cell>
          <cell r="L231">
            <v>5</v>
          </cell>
          <cell r="M231">
            <v>44849</v>
          </cell>
          <cell r="N231"/>
          <cell r="O231"/>
          <cell r="P231" t="str">
            <v>GC1 325</v>
          </cell>
          <cell r="Q231" t="str">
            <v>NO</v>
          </cell>
          <cell r="R231" t="str">
            <v>4Q + 1P</v>
          </cell>
          <cell r="S231" t="str">
            <v>V.ce retri</v>
          </cell>
          <cell r="T231" t="str">
            <v>Esistente</v>
          </cell>
          <cell r="U231" t="str">
            <v>Esistente</v>
          </cell>
          <cell r="V231" t="str">
            <v>NO</v>
          </cell>
          <cell r="W231" t="str">
            <v>NO</v>
          </cell>
        </row>
        <row r="232">
          <cell r="A232">
            <v>202207905</v>
          </cell>
          <cell r="B232" t="str">
            <v>N</v>
          </cell>
          <cell r="C232" t="str">
            <v>x</v>
          </cell>
          <cell r="D232" t="str">
            <v>EDO</v>
          </cell>
          <cell r="E232" t="str">
            <v>Astucci Citroneijs 6 pz MUCCI</v>
          </cell>
          <cell r="F232" t="str">
            <v>MPI3406001</v>
          </cell>
          <cell r="G232">
            <v>900</v>
          </cell>
          <cell r="H232">
            <v>44845</v>
          </cell>
          <cell r="I232"/>
          <cell r="J232">
            <v>138000</v>
          </cell>
          <cell r="K232" t="str">
            <v>34.500 fogli</v>
          </cell>
          <cell r="L232">
            <v>1</v>
          </cell>
          <cell r="M232">
            <v>44849</v>
          </cell>
          <cell r="N232"/>
          <cell r="O232" t="str">
            <v>CR0190</v>
          </cell>
          <cell r="P232" t="str">
            <v>962 320 66x101</v>
          </cell>
          <cell r="Q232" t="str">
            <v>NO</v>
          </cell>
          <cell r="R232" t="str">
            <v>4Q</v>
          </cell>
          <cell r="S232" t="str">
            <v>V.ce lucida</v>
          </cell>
          <cell r="T232" t="str">
            <v>Esistente</v>
          </cell>
          <cell r="U232" t="str">
            <v>Esistente</v>
          </cell>
          <cell r="V232" t="str">
            <v>Si</v>
          </cell>
          <cell r="W232" t="str">
            <v>NO</v>
          </cell>
        </row>
        <row r="233">
          <cell r="A233">
            <v>202207777</v>
          </cell>
          <cell r="B233" t="str">
            <v>X</v>
          </cell>
          <cell r="C233" t="str">
            <v>X</v>
          </cell>
          <cell r="D233" t="str">
            <v>Nero Nobile</v>
          </cell>
          <cell r="E233" t="str">
            <v>Astucci La capsuleria FS0383</v>
          </cell>
          <cell r="F233"/>
          <cell r="G233">
            <v>592</v>
          </cell>
          <cell r="H233">
            <v>44781</v>
          </cell>
          <cell r="I233"/>
          <cell r="J233">
            <v>30000</v>
          </cell>
          <cell r="K233" t="str">
            <v>5.000 fogli</v>
          </cell>
          <cell r="L233">
            <v>1</v>
          </cell>
          <cell r="M233">
            <v>44849</v>
          </cell>
          <cell r="N233"/>
          <cell r="O233"/>
          <cell r="P233" t="str">
            <v>GC2 270 72x75</v>
          </cell>
          <cell r="Q233" t="str">
            <v>NO</v>
          </cell>
          <cell r="R233" t="str">
            <v>4Q + 1P</v>
          </cell>
          <cell r="S233" t="str">
            <v>Drip + UV</v>
          </cell>
          <cell r="T233" t="str">
            <v>Esistente</v>
          </cell>
          <cell r="U233" t="str">
            <v>Esistente</v>
          </cell>
          <cell r="V233" t="str">
            <v>SI</v>
          </cell>
          <cell r="W233" t="str">
            <v>NO</v>
          </cell>
        </row>
        <row r="234">
          <cell r="A234">
            <v>202207795</v>
          </cell>
          <cell r="B234" t="str">
            <v>N</v>
          </cell>
          <cell r="C234" t="str">
            <v>X</v>
          </cell>
          <cell r="D234" t="str">
            <v>Offel</v>
          </cell>
          <cell r="E234" t="str">
            <v>Scatole Offel G1627</v>
          </cell>
          <cell r="F234"/>
          <cell r="G234"/>
          <cell r="H234"/>
          <cell r="I234"/>
          <cell r="J234">
            <v>20000</v>
          </cell>
          <cell r="K234" t="str">
            <v>5.000 fogli</v>
          </cell>
          <cell r="L234">
            <v>1</v>
          </cell>
          <cell r="M234">
            <v>44849</v>
          </cell>
          <cell r="N234"/>
          <cell r="O234"/>
          <cell r="P234" t="str">
            <v>115 270</v>
          </cell>
          <cell r="Q234" t="str">
            <v>NO</v>
          </cell>
          <cell r="R234" t="str">
            <v>5P</v>
          </cell>
          <cell r="S234" t="str">
            <v>V.ce opaca</v>
          </cell>
          <cell r="T234" t="str">
            <v>Esistente</v>
          </cell>
          <cell r="U234" t="str">
            <v>Esistente</v>
          </cell>
          <cell r="V234" t="str">
            <v>SI</v>
          </cell>
          <cell r="W234" t="str">
            <v>NO</v>
          </cell>
        </row>
        <row r="235">
          <cell r="A235">
            <v>202207866</v>
          </cell>
          <cell r="B235" t="str">
            <v>N</v>
          </cell>
          <cell r="C235" t="str">
            <v>X</v>
          </cell>
          <cell r="D235" t="str">
            <v>RCM</v>
          </cell>
          <cell r="E235" t="str">
            <v>Astucci Natale spazzole</v>
          </cell>
          <cell r="F235"/>
          <cell r="G235" t="str">
            <v>488/E</v>
          </cell>
          <cell r="H235">
            <v>44831</v>
          </cell>
          <cell r="I235"/>
          <cell r="J235">
            <v>12000</v>
          </cell>
          <cell r="K235" t="str">
            <v>1.500 fogli</v>
          </cell>
          <cell r="L235">
            <v>1</v>
          </cell>
          <cell r="M235">
            <v>44849</v>
          </cell>
          <cell r="N235"/>
          <cell r="O235"/>
          <cell r="P235" t="str">
            <v>GC1 350</v>
          </cell>
          <cell r="Q235" t="str">
            <v>NO</v>
          </cell>
          <cell r="R235" t="str">
            <v>4Q + 1P</v>
          </cell>
          <cell r="S235" t="str">
            <v>V.ce retri</v>
          </cell>
          <cell r="T235" t="str">
            <v>Esistente</v>
          </cell>
          <cell r="U235" t="str">
            <v>Esistente</v>
          </cell>
          <cell r="V235" t="str">
            <v>NO</v>
          </cell>
          <cell r="W235" t="str">
            <v>NO</v>
          </cell>
        </row>
        <row r="236">
          <cell r="A236">
            <v>202207860</v>
          </cell>
          <cell r="B236" t="str">
            <v>R</v>
          </cell>
          <cell r="C236" t="str">
            <v>X</v>
          </cell>
          <cell r="D236" t="str">
            <v>Girardi</v>
          </cell>
          <cell r="E236" t="str">
            <v>Cartoncini Stampati</v>
          </cell>
          <cell r="F236"/>
          <cell r="G236">
            <v>228</v>
          </cell>
          <cell r="H236">
            <v>44820</v>
          </cell>
          <cell r="I236"/>
          <cell r="J236">
            <v>350000</v>
          </cell>
          <cell r="K236" t="str">
            <v>17.500 fogli</v>
          </cell>
          <cell r="L236">
            <v>1</v>
          </cell>
          <cell r="M236">
            <v>44851</v>
          </cell>
          <cell r="N236"/>
          <cell r="O236" t="str">
            <v>CR0154</v>
          </cell>
          <cell r="P236" t="str">
            <v>117 320</v>
          </cell>
          <cell r="Q236" t="str">
            <v>NO</v>
          </cell>
          <cell r="R236" t="str">
            <v>1P</v>
          </cell>
          <cell r="S236" t="str">
            <v>V.ce Lucida</v>
          </cell>
          <cell r="T236" t="str">
            <v>Esistente</v>
          </cell>
          <cell r="U236" t="str">
            <v>Esistente</v>
          </cell>
          <cell r="V236" t="str">
            <v>NO</v>
          </cell>
          <cell r="W236" t="str">
            <v>NO</v>
          </cell>
        </row>
        <row r="237">
          <cell r="A237">
            <v>202207778</v>
          </cell>
          <cell r="B237" t="str">
            <v>R</v>
          </cell>
          <cell r="C237" t="str">
            <v>X</v>
          </cell>
          <cell r="D237" t="str">
            <v>Nero Nobile</v>
          </cell>
          <cell r="E237" t="str">
            <v>Astucci La capsuleria FS0385</v>
          </cell>
          <cell r="F237"/>
          <cell r="G237">
            <v>591</v>
          </cell>
          <cell r="H237">
            <v>44781</v>
          </cell>
          <cell r="I237"/>
          <cell r="J237">
            <v>75000</v>
          </cell>
          <cell r="K237" t="str">
            <v>12.500 fogli</v>
          </cell>
          <cell r="L237">
            <v>2</v>
          </cell>
          <cell r="M237">
            <v>44851</v>
          </cell>
          <cell r="N237"/>
          <cell r="O237"/>
          <cell r="P237" t="str">
            <v>GC2 270 72x75</v>
          </cell>
          <cell r="Q237" t="str">
            <v>NO</v>
          </cell>
          <cell r="R237" t="str">
            <v>4Q + 1P</v>
          </cell>
          <cell r="S237" t="str">
            <v>V.ce opaca</v>
          </cell>
          <cell r="T237" t="str">
            <v>Esistente</v>
          </cell>
          <cell r="U237" t="str">
            <v>Esistente</v>
          </cell>
          <cell r="V237" t="str">
            <v>SI</v>
          </cell>
          <cell r="W237" t="str">
            <v>NO</v>
          </cell>
        </row>
        <row r="238">
          <cell r="A238">
            <v>202207864</v>
          </cell>
          <cell r="B238" t="str">
            <v>N</v>
          </cell>
          <cell r="C238" t="str">
            <v>X</v>
          </cell>
          <cell r="D238" t="str">
            <v>Nero Nobile</v>
          </cell>
          <cell r="E238" t="str">
            <v>Astucci FS0380 Mexico</v>
          </cell>
          <cell r="F238"/>
          <cell r="G238">
            <v>678</v>
          </cell>
          <cell r="H238">
            <v>44830</v>
          </cell>
          <cell r="I238"/>
          <cell r="J238">
            <v>10000</v>
          </cell>
          <cell r="K238" t="str">
            <v>2.500 fogli</v>
          </cell>
          <cell r="L238">
            <v>1</v>
          </cell>
          <cell r="M238">
            <v>44851</v>
          </cell>
          <cell r="N238"/>
          <cell r="O238" t="str">
            <v>CR0033</v>
          </cell>
          <cell r="P238" t="str">
            <v>GC2 270 62x100,5</v>
          </cell>
          <cell r="Q238" t="str">
            <v>NO</v>
          </cell>
          <cell r="R238" t="str">
            <v>4Q + 1P</v>
          </cell>
          <cell r="S238" t="str">
            <v>V.ce opaca</v>
          </cell>
          <cell r="T238" t="str">
            <v>Esistente</v>
          </cell>
          <cell r="U238" t="str">
            <v>Esistente</v>
          </cell>
          <cell r="V238" t="str">
            <v>SI</v>
          </cell>
          <cell r="W238" t="str">
            <v>NO</v>
          </cell>
        </row>
        <row r="239">
          <cell r="A239">
            <v>202207913</v>
          </cell>
          <cell r="B239" t="str">
            <v>R</v>
          </cell>
          <cell r="C239" t="str">
            <v>X</v>
          </cell>
          <cell r="D239" t="str">
            <v>Nero Nobile</v>
          </cell>
          <cell r="E239" t="str">
            <v>Astucci FS0384 Per te</v>
          </cell>
          <cell r="F239"/>
          <cell r="G239">
            <v>722</v>
          </cell>
          <cell r="H239">
            <v>44844</v>
          </cell>
          <cell r="I239"/>
          <cell r="J239">
            <v>10000</v>
          </cell>
          <cell r="K239" t="str">
            <v>2.500 fogli</v>
          </cell>
          <cell r="L239">
            <v>1</v>
          </cell>
          <cell r="M239">
            <v>44851</v>
          </cell>
          <cell r="N239"/>
          <cell r="O239" t="str">
            <v>CR0189</v>
          </cell>
          <cell r="P239" t="str">
            <v>GC2 270 54x82</v>
          </cell>
          <cell r="Q239" t="str">
            <v>NO</v>
          </cell>
          <cell r="R239" t="str">
            <v>4Q + 1P</v>
          </cell>
          <cell r="S239" t="str">
            <v>V.ce opaca</v>
          </cell>
          <cell r="T239" t="str">
            <v>Esistente</v>
          </cell>
          <cell r="U239" t="str">
            <v>Esistente</v>
          </cell>
          <cell r="V239" t="str">
            <v>SI</v>
          </cell>
          <cell r="W239" t="str">
            <v>NO</v>
          </cell>
        </row>
        <row r="240">
          <cell r="A240">
            <v>202207870</v>
          </cell>
          <cell r="B240" t="str">
            <v>R</v>
          </cell>
          <cell r="C240" t="str">
            <v>X</v>
          </cell>
          <cell r="D240" t="str">
            <v>Prontofoods</v>
          </cell>
          <cell r="E240" t="str">
            <v xml:space="preserve">Astucci 10 Buste Ristora </v>
          </cell>
          <cell r="F240"/>
          <cell r="G240">
            <v>221851</v>
          </cell>
          <cell r="H240">
            <v>44833</v>
          </cell>
          <cell r="I240"/>
          <cell r="J240">
            <v>80000</v>
          </cell>
          <cell r="K240" t="str">
            <v>20.000 fogli</v>
          </cell>
          <cell r="L240">
            <v>1</v>
          </cell>
          <cell r="M240">
            <v>44851</v>
          </cell>
          <cell r="N240"/>
          <cell r="O240" t="str">
            <v>CR0030</v>
          </cell>
          <cell r="P240" t="str">
            <v>GC2 270 56,5x75</v>
          </cell>
          <cell r="Q240" t="str">
            <v>NO</v>
          </cell>
          <cell r="R240" t="str">
            <v>4Q</v>
          </cell>
          <cell r="S240" t="str">
            <v>UV</v>
          </cell>
          <cell r="T240" t="str">
            <v>Esistente</v>
          </cell>
          <cell r="U240" t="str">
            <v>Esistente</v>
          </cell>
          <cell r="V240" t="str">
            <v>Si</v>
          </cell>
          <cell r="W240" t="str">
            <v>NO</v>
          </cell>
        </row>
        <row r="241">
          <cell r="A241">
            <v>202207870</v>
          </cell>
          <cell r="B241" t="str">
            <v>N</v>
          </cell>
          <cell r="C241" t="str">
            <v>X</v>
          </cell>
          <cell r="D241" t="str">
            <v>Prontofoods</v>
          </cell>
          <cell r="E241" t="str">
            <v>Astucci 10 Buste Ristora Guarana</v>
          </cell>
          <cell r="F241"/>
          <cell r="G241">
            <v>221851</v>
          </cell>
          <cell r="H241">
            <v>44833</v>
          </cell>
          <cell r="I241"/>
          <cell r="J241">
            <v>12000</v>
          </cell>
          <cell r="K241" t="str">
            <v>3.000 fogli</v>
          </cell>
          <cell r="L241">
            <v>1</v>
          </cell>
          <cell r="M241">
            <v>44851</v>
          </cell>
          <cell r="N241"/>
          <cell r="O241" t="str">
            <v>CR0030</v>
          </cell>
          <cell r="P241" t="str">
            <v>GC2 270 56,5x75</v>
          </cell>
          <cell r="Q241" t="str">
            <v>NO</v>
          </cell>
          <cell r="R241" t="str">
            <v>4Q</v>
          </cell>
          <cell r="S241" t="str">
            <v>UV</v>
          </cell>
          <cell r="T241" t="str">
            <v>Esistente</v>
          </cell>
          <cell r="U241" t="str">
            <v>Esistente</v>
          </cell>
          <cell r="V241" t="str">
            <v>Si</v>
          </cell>
          <cell r="W241" t="str">
            <v>NO</v>
          </cell>
        </row>
        <row r="242">
          <cell r="A242">
            <v>202207870</v>
          </cell>
          <cell r="B242" t="str">
            <v>R</v>
          </cell>
          <cell r="C242" t="str">
            <v>X</v>
          </cell>
          <cell r="D242" t="str">
            <v>Prontofoods</v>
          </cell>
          <cell r="E242" t="str">
            <v>Astucci 10 Buste Ristora S.Z</v>
          </cell>
          <cell r="F242"/>
          <cell r="G242">
            <v>221851</v>
          </cell>
          <cell r="H242">
            <v>44833</v>
          </cell>
          <cell r="I242"/>
          <cell r="J242">
            <v>12000</v>
          </cell>
          <cell r="K242" t="str">
            <v>3.000 fogli</v>
          </cell>
          <cell r="L242">
            <v>1</v>
          </cell>
          <cell r="M242">
            <v>44851</v>
          </cell>
          <cell r="N242"/>
          <cell r="O242" t="str">
            <v>CR0030</v>
          </cell>
          <cell r="P242" t="str">
            <v>GC2 270 56,5x75</v>
          </cell>
          <cell r="Q242" t="str">
            <v>NO</v>
          </cell>
          <cell r="R242" t="str">
            <v>4Q</v>
          </cell>
          <cell r="S242" t="str">
            <v>UV</v>
          </cell>
          <cell r="T242" t="str">
            <v>Esistente</v>
          </cell>
          <cell r="U242" t="str">
            <v>Esistente</v>
          </cell>
          <cell r="V242" t="str">
            <v>Si</v>
          </cell>
          <cell r="W242" t="str">
            <v>NO</v>
          </cell>
        </row>
        <row r="243">
          <cell r="A243">
            <v>202207870</v>
          </cell>
          <cell r="B243" t="str">
            <v>R</v>
          </cell>
          <cell r="C243" t="str">
            <v>X</v>
          </cell>
          <cell r="D243" t="str">
            <v>Prontofoods</v>
          </cell>
          <cell r="E243" t="str">
            <v xml:space="preserve">Astucci 10 Buste Bellarom </v>
          </cell>
          <cell r="F243"/>
          <cell r="G243">
            <v>221851</v>
          </cell>
          <cell r="H243">
            <v>44833</v>
          </cell>
          <cell r="I243"/>
          <cell r="J243">
            <v>35000</v>
          </cell>
          <cell r="K243" t="str">
            <v>8.750 fogli</v>
          </cell>
          <cell r="L243">
            <v>1</v>
          </cell>
          <cell r="M243">
            <v>44851</v>
          </cell>
          <cell r="N243"/>
          <cell r="O243" t="str">
            <v>CR0030</v>
          </cell>
          <cell r="P243" t="str">
            <v>GC2 270 56,5x75</v>
          </cell>
          <cell r="Q243" t="str">
            <v>NO</v>
          </cell>
          <cell r="R243" t="str">
            <v>4Q+1P</v>
          </cell>
          <cell r="S243" t="str">
            <v>UV</v>
          </cell>
          <cell r="T243" t="str">
            <v>Esistente</v>
          </cell>
          <cell r="U243" t="str">
            <v>Esistente</v>
          </cell>
          <cell r="V243" t="str">
            <v>Si</v>
          </cell>
          <cell r="W243" t="str">
            <v>NO</v>
          </cell>
        </row>
        <row r="244">
          <cell r="A244">
            <v>202207881</v>
          </cell>
          <cell r="B244" t="str">
            <v>N</v>
          </cell>
          <cell r="C244" t="str">
            <v>X</v>
          </cell>
          <cell r="D244" t="str">
            <v>Moretto</v>
          </cell>
          <cell r="E244" t="str">
            <v>Cioccolata Moretto</v>
          </cell>
          <cell r="F244"/>
          <cell r="G244">
            <v>250</v>
          </cell>
          <cell r="H244">
            <v>44839</v>
          </cell>
          <cell r="I244"/>
          <cell r="J244">
            <v>15000</v>
          </cell>
          <cell r="K244" t="str">
            <v>3.750 fogli</v>
          </cell>
          <cell r="L244">
            <v>1</v>
          </cell>
          <cell r="M244">
            <v>44854</v>
          </cell>
          <cell r="N244"/>
          <cell r="O244"/>
          <cell r="P244" t="str">
            <v>112 385</v>
          </cell>
          <cell r="Q244" t="str">
            <v>NO</v>
          </cell>
          <cell r="R244" t="str">
            <v>4Q</v>
          </cell>
          <cell r="S244" t="str">
            <v>V.ce lucida</v>
          </cell>
          <cell r="T244" t="str">
            <v>Esistente</v>
          </cell>
          <cell r="U244" t="str">
            <v>Esistente</v>
          </cell>
          <cell r="V244" t="str">
            <v>SI</v>
          </cell>
          <cell r="W244" t="str">
            <v>NO</v>
          </cell>
        </row>
        <row r="245">
          <cell r="A245">
            <v>202207877</v>
          </cell>
          <cell r="B245" t="str">
            <v>N</v>
          </cell>
          <cell r="C245" t="str">
            <v>X</v>
          </cell>
          <cell r="D245" t="str">
            <v>Pantytex</v>
          </cell>
          <cell r="E245" t="str">
            <v>Buste Hema Disco</v>
          </cell>
          <cell r="F245"/>
          <cell r="G245">
            <v>244</v>
          </cell>
          <cell r="H245">
            <v>44837</v>
          </cell>
          <cell r="I245"/>
          <cell r="J245">
            <v>50000</v>
          </cell>
          <cell r="K245" t="str">
            <v>10.000 fogli</v>
          </cell>
          <cell r="L245">
            <v>1</v>
          </cell>
          <cell r="M245">
            <v>44854</v>
          </cell>
          <cell r="N245"/>
          <cell r="O245" t="str">
            <v>CR0044</v>
          </cell>
          <cell r="P245" t="str">
            <v>GC1 250 94,5x52</v>
          </cell>
          <cell r="Q245" t="str">
            <v>NO</v>
          </cell>
          <cell r="R245" t="str">
            <v>4Q + 1P</v>
          </cell>
          <cell r="S245" t="str">
            <v>V.ce soft</v>
          </cell>
          <cell r="T245" t="str">
            <v>Esistente</v>
          </cell>
          <cell r="U245" t="str">
            <v>Esistente</v>
          </cell>
          <cell r="V245" t="str">
            <v>NO</v>
          </cell>
          <cell r="W245" t="str">
            <v>NO</v>
          </cell>
        </row>
        <row r="246">
          <cell r="A246">
            <v>202207921</v>
          </cell>
          <cell r="B246" t="str">
            <v>R+N</v>
          </cell>
          <cell r="C246" t="str">
            <v>X</v>
          </cell>
          <cell r="D246" t="str">
            <v>Pantytex</v>
          </cell>
          <cell r="E246" t="str">
            <v>Foto Blubella</v>
          </cell>
          <cell r="F246"/>
          <cell r="G246" t="str">
            <v>-</v>
          </cell>
          <cell r="H246">
            <v>44846</v>
          </cell>
          <cell r="I246"/>
          <cell r="J246">
            <v>6250</v>
          </cell>
          <cell r="K246" t="str">
            <v>850 fogli</v>
          </cell>
          <cell r="L246">
            <v>1</v>
          </cell>
          <cell r="M246">
            <v>44854</v>
          </cell>
          <cell r="N246"/>
          <cell r="O246"/>
          <cell r="P246" t="str">
            <v>GC1 250 102x72</v>
          </cell>
          <cell r="Q246" t="str">
            <v>SI</v>
          </cell>
          <cell r="R246" t="str">
            <v>4Q + 1P</v>
          </cell>
          <cell r="S246" t="str">
            <v>V.ce opaca</v>
          </cell>
          <cell r="T246" t="str">
            <v>Esistente</v>
          </cell>
          <cell r="U246" t="str">
            <v>Esistente</v>
          </cell>
          <cell r="V246" t="str">
            <v>NO</v>
          </cell>
          <cell r="W246" t="str">
            <v>NO</v>
          </cell>
        </row>
        <row r="247">
          <cell r="A247">
            <v>202207883</v>
          </cell>
          <cell r="B247" t="str">
            <v>N</v>
          </cell>
          <cell r="C247" t="str">
            <v>X</v>
          </cell>
          <cell r="D247" t="str">
            <v>Tradigo Giovanni</v>
          </cell>
          <cell r="E247" t="str">
            <v>Astucci Alzatacco Comfort</v>
          </cell>
          <cell r="F247"/>
          <cell r="G247">
            <v>240</v>
          </cell>
          <cell r="H247">
            <v>44834</v>
          </cell>
          <cell r="I247"/>
          <cell r="J247">
            <v>31000</v>
          </cell>
          <cell r="K247" t="str">
            <v>5.200 fogli</v>
          </cell>
          <cell r="L247">
            <v>2</v>
          </cell>
          <cell r="M247">
            <v>44854</v>
          </cell>
          <cell r="N247"/>
          <cell r="O247"/>
          <cell r="P247" t="str">
            <v>112 385</v>
          </cell>
          <cell r="Q247" t="str">
            <v>SI</v>
          </cell>
          <cell r="R247" t="str">
            <v>4Q</v>
          </cell>
          <cell r="S247" t="str">
            <v>V.ce lucida</v>
          </cell>
          <cell r="T247" t="str">
            <v>Esistente</v>
          </cell>
          <cell r="U247" t="str">
            <v>Esistente</v>
          </cell>
          <cell r="V247" t="str">
            <v>SI</v>
          </cell>
          <cell r="W247" t="str">
            <v>NO</v>
          </cell>
        </row>
        <row r="248">
          <cell r="A248">
            <v>202207884</v>
          </cell>
          <cell r="B248" t="str">
            <v>N</v>
          </cell>
          <cell r="C248" t="str">
            <v>X</v>
          </cell>
          <cell r="D248" t="str">
            <v>Tradigo Giovanni</v>
          </cell>
          <cell r="E248" t="str">
            <v>Contenitori Alzatacco</v>
          </cell>
          <cell r="F248"/>
          <cell r="G248">
            <v>240</v>
          </cell>
          <cell r="H248">
            <v>44834</v>
          </cell>
          <cell r="I248"/>
          <cell r="J248">
            <v>5000</v>
          </cell>
          <cell r="K248" t="str">
            <v>5.000 fogli</v>
          </cell>
          <cell r="L248">
            <v>1</v>
          </cell>
          <cell r="M248">
            <v>44854</v>
          </cell>
          <cell r="N248"/>
          <cell r="O248"/>
          <cell r="P248" t="str">
            <v>112 400</v>
          </cell>
          <cell r="Q248" t="str">
            <v>NO</v>
          </cell>
          <cell r="R248" t="str">
            <v>4Q</v>
          </cell>
          <cell r="S248" t="str">
            <v>V.ce Lucida</v>
          </cell>
          <cell r="T248" t="str">
            <v>Esistente</v>
          </cell>
          <cell r="U248" t="str">
            <v>Esistente</v>
          </cell>
          <cell r="V248" t="str">
            <v>Si</v>
          </cell>
          <cell r="W248" t="str">
            <v>NO</v>
          </cell>
        </row>
        <row r="249">
          <cell r="A249">
            <v>202207887</v>
          </cell>
          <cell r="B249" t="str">
            <v>N</v>
          </cell>
          <cell r="C249" t="str">
            <v>X</v>
          </cell>
          <cell r="D249" t="str">
            <v>Tradigo Giovanni</v>
          </cell>
          <cell r="E249" t="str">
            <v>Fascette Pellelife</v>
          </cell>
          <cell r="F249"/>
          <cell r="G249">
            <v>242</v>
          </cell>
          <cell r="H249">
            <v>44834</v>
          </cell>
          <cell r="I249"/>
          <cell r="J249">
            <v>60000</v>
          </cell>
          <cell r="K249" t="str">
            <v>5.000 fogli</v>
          </cell>
          <cell r="L249">
            <v>1</v>
          </cell>
          <cell r="M249">
            <v>44854</v>
          </cell>
          <cell r="N249"/>
          <cell r="O249"/>
          <cell r="P249" t="str">
            <v>Sym 200  64x8</v>
          </cell>
          <cell r="Q249" t="str">
            <v>NO</v>
          </cell>
          <cell r="R249" t="str">
            <v>2P</v>
          </cell>
          <cell r="S249" t="str">
            <v>V.ce lucida</v>
          </cell>
          <cell r="T249" t="str">
            <v>Esistente</v>
          </cell>
          <cell r="U249" t="str">
            <v>Esistente</v>
          </cell>
          <cell r="V249" t="str">
            <v>NO</v>
          </cell>
          <cell r="W249" t="str">
            <v>NO</v>
          </cell>
        </row>
        <row r="250">
          <cell r="A250">
            <v>202207898</v>
          </cell>
          <cell r="B250" t="str">
            <v>N</v>
          </cell>
          <cell r="C250" t="str">
            <v>X</v>
          </cell>
          <cell r="D250" t="str">
            <v>Tradigo Giovanni</v>
          </cell>
          <cell r="E250" t="str">
            <v>Astucci Polish Cream</v>
          </cell>
          <cell r="F250"/>
          <cell r="G250">
            <v>251</v>
          </cell>
          <cell r="H250">
            <v>44841</v>
          </cell>
          <cell r="I250"/>
          <cell r="J250">
            <v>83000</v>
          </cell>
          <cell r="K250" t="str">
            <v>8.300 fogli</v>
          </cell>
          <cell r="L250">
            <v>1</v>
          </cell>
          <cell r="M250">
            <v>44854</v>
          </cell>
          <cell r="N250" t="str">
            <v>Consegna Vipal</v>
          </cell>
          <cell r="O250" t="str">
            <v>CR0181</v>
          </cell>
          <cell r="P250" t="str">
            <v>112 350 49,5x88</v>
          </cell>
          <cell r="Q250" t="str">
            <v>NO</v>
          </cell>
          <cell r="R250" t="str">
            <v>4Q + 1P</v>
          </cell>
          <cell r="S250" t="str">
            <v>V.ce opaca</v>
          </cell>
          <cell r="T250" t="str">
            <v>Esistente</v>
          </cell>
          <cell r="U250" t="str">
            <v>Esistente</v>
          </cell>
          <cell r="V250" t="str">
            <v>SI</v>
          </cell>
          <cell r="W250" t="str">
            <v>NO</v>
          </cell>
        </row>
        <row r="251">
          <cell r="A251">
            <v>202207861</v>
          </cell>
          <cell r="B251" t="str">
            <v>N</v>
          </cell>
          <cell r="C251" t="str">
            <v>X</v>
          </cell>
          <cell r="D251" t="str">
            <v>Valledoro</v>
          </cell>
          <cell r="E251" t="str">
            <v>Astucci SunGri</v>
          </cell>
          <cell r="F251"/>
          <cell r="G251">
            <v>1418</v>
          </cell>
          <cell r="H251">
            <v>44831</v>
          </cell>
          <cell r="I251"/>
          <cell r="J251">
            <v>50000</v>
          </cell>
          <cell r="K251" t="str">
            <v>25.000 fogli</v>
          </cell>
          <cell r="L251">
            <v>1</v>
          </cell>
          <cell r="M251">
            <v>44854</v>
          </cell>
          <cell r="N251"/>
          <cell r="O251" t="str">
            <v>cr0072</v>
          </cell>
          <cell r="P251" t="str">
            <v>962 350 82x60,5</v>
          </cell>
          <cell r="Q251" t="str">
            <v>NO</v>
          </cell>
          <cell r="R251" t="str">
            <v>4Q</v>
          </cell>
          <cell r="S251" t="str">
            <v>V.ce High</v>
          </cell>
          <cell r="T251" t="str">
            <v>Esistente</v>
          </cell>
          <cell r="U251" t="str">
            <v>Esistente</v>
          </cell>
          <cell r="V251" t="str">
            <v>SI</v>
          </cell>
          <cell r="W251" t="str">
            <v>NO</v>
          </cell>
        </row>
        <row r="252">
          <cell r="A252">
            <v>202207893</v>
          </cell>
          <cell r="B252" t="str">
            <v>N</v>
          </cell>
          <cell r="C252" t="str">
            <v>X</v>
          </cell>
          <cell r="D252" t="str">
            <v>Nero Nobile</v>
          </cell>
          <cell r="E252" t="str">
            <v>Astucci FS0380 Ritzcaffe</v>
          </cell>
          <cell r="F252"/>
          <cell r="G252">
            <v>720</v>
          </cell>
          <cell r="H252">
            <v>44844</v>
          </cell>
          <cell r="I252"/>
          <cell r="J252">
            <v>36000</v>
          </cell>
          <cell r="K252" t="str">
            <v>9.000 fogli</v>
          </cell>
          <cell r="L252">
            <v>3</v>
          </cell>
          <cell r="M252">
            <v>44855</v>
          </cell>
          <cell r="N252"/>
          <cell r="O252" t="str">
            <v>CR0131</v>
          </cell>
          <cell r="P252" t="str">
            <v>GC2 270 62x100,5</v>
          </cell>
          <cell r="Q252" t="str">
            <v>NO</v>
          </cell>
          <cell r="R252" t="str">
            <v>4Q</v>
          </cell>
          <cell r="S252" t="str">
            <v>V.ce lucida</v>
          </cell>
          <cell r="T252" t="str">
            <v>Esistente</v>
          </cell>
          <cell r="U252" t="str">
            <v>Esistente</v>
          </cell>
          <cell r="V252" t="str">
            <v>SI</v>
          </cell>
          <cell r="W252" t="str">
            <v>NO</v>
          </cell>
        </row>
        <row r="253">
          <cell r="A253">
            <v>202207906</v>
          </cell>
          <cell r="B253" t="str">
            <v>N</v>
          </cell>
          <cell r="C253" t="str">
            <v>x</v>
          </cell>
          <cell r="D253" t="str">
            <v>Battaglio</v>
          </cell>
          <cell r="E253" t="str">
            <v>Cavallotti Avana</v>
          </cell>
          <cell r="F253"/>
          <cell r="G253">
            <v>247</v>
          </cell>
          <cell r="H253">
            <v>44838</v>
          </cell>
          <cell r="I253"/>
          <cell r="J253">
            <v>12800</v>
          </cell>
          <cell r="K253" t="str">
            <v>800 fogli</v>
          </cell>
          <cell r="L253">
            <v>1</v>
          </cell>
          <cell r="M253">
            <v>44856</v>
          </cell>
          <cell r="N253"/>
          <cell r="O253" t="str">
            <v>CR0073</v>
          </cell>
          <cell r="P253" t="str">
            <v>962 350 83,5x72,5</v>
          </cell>
          <cell r="Q253" t="str">
            <v>SI</v>
          </cell>
          <cell r="R253" t="str">
            <v>1P</v>
          </cell>
          <cell r="S253" t="str">
            <v>V.ce retri</v>
          </cell>
          <cell r="T253" t="str">
            <v xml:space="preserve">Nuovo </v>
          </cell>
          <cell r="U253" t="str">
            <v>Nuova</v>
          </cell>
          <cell r="V253" t="str">
            <v>NO</v>
          </cell>
          <cell r="W253" t="str">
            <v>NO</v>
          </cell>
        </row>
        <row r="254">
          <cell r="A254">
            <v>202207907</v>
          </cell>
          <cell r="B254" t="str">
            <v>N</v>
          </cell>
          <cell r="C254" t="str">
            <v>X</v>
          </cell>
          <cell r="D254" t="str">
            <v>Battaglio</v>
          </cell>
          <cell r="E254" t="str">
            <v>Fascette Krautwear</v>
          </cell>
          <cell r="F254"/>
          <cell r="G254">
            <v>249</v>
          </cell>
          <cell r="H254">
            <v>44838</v>
          </cell>
          <cell r="I254"/>
          <cell r="J254">
            <v>5500</v>
          </cell>
          <cell r="K254" t="str">
            <v>550 fogli</v>
          </cell>
          <cell r="L254">
            <v>1</v>
          </cell>
          <cell r="M254">
            <v>44856</v>
          </cell>
          <cell r="N254"/>
          <cell r="O254" t="str">
            <v>CR0016</v>
          </cell>
          <cell r="P254" t="str">
            <v>GC1 250 72x102</v>
          </cell>
          <cell r="Q254" t="str">
            <v>SI</v>
          </cell>
          <cell r="R254" t="str">
            <v>4Q</v>
          </cell>
          <cell r="S254" t="str">
            <v>V.ce lucida</v>
          </cell>
          <cell r="T254" t="str">
            <v xml:space="preserve">Nuovo </v>
          </cell>
          <cell r="U254" t="str">
            <v>Nuova</v>
          </cell>
          <cell r="V254" t="str">
            <v>NO</v>
          </cell>
          <cell r="W254" t="str">
            <v>NO</v>
          </cell>
        </row>
        <row r="255">
          <cell r="A255">
            <v>202207908</v>
          </cell>
          <cell r="B255" t="str">
            <v>N</v>
          </cell>
          <cell r="C255" t="str">
            <v>X</v>
          </cell>
          <cell r="D255" t="str">
            <v>Battaglio</v>
          </cell>
          <cell r="E255" t="str">
            <v>Fascette Wowerat</v>
          </cell>
          <cell r="F255"/>
          <cell r="G255">
            <v>248</v>
          </cell>
          <cell r="H255">
            <v>44838</v>
          </cell>
          <cell r="I255"/>
          <cell r="J255">
            <v>5000</v>
          </cell>
          <cell r="K255" t="str">
            <v>750 fogli</v>
          </cell>
          <cell r="L255">
            <v>1</v>
          </cell>
          <cell r="M255">
            <v>44856</v>
          </cell>
          <cell r="N255"/>
          <cell r="O255" t="str">
            <v>CR0016</v>
          </cell>
          <cell r="P255" t="str">
            <v>GC1 250 72x102</v>
          </cell>
          <cell r="Q255" t="str">
            <v>SI</v>
          </cell>
          <cell r="R255" t="str">
            <v>4Q</v>
          </cell>
          <cell r="S255" t="str">
            <v>V.ce lucida</v>
          </cell>
          <cell r="T255" t="str">
            <v xml:space="preserve">Nuovo </v>
          </cell>
          <cell r="U255" t="str">
            <v>Nuova</v>
          </cell>
          <cell r="V255" t="str">
            <v>NO</v>
          </cell>
          <cell r="W255" t="str">
            <v>NO</v>
          </cell>
        </row>
        <row r="256">
          <cell r="A256">
            <v>202207879</v>
          </cell>
          <cell r="B256" t="str">
            <v>N</v>
          </cell>
          <cell r="C256" t="str">
            <v>X</v>
          </cell>
          <cell r="D256" t="str">
            <v>D&amp;G</v>
          </cell>
          <cell r="E256" t="str">
            <v>Bauletti D&amp;G</v>
          </cell>
          <cell r="F256"/>
          <cell r="G256">
            <v>243</v>
          </cell>
          <cell r="H256">
            <v>44837</v>
          </cell>
          <cell r="I256"/>
          <cell r="J256">
            <v>1000</v>
          </cell>
          <cell r="K256" t="str">
            <v>1.000 fogli</v>
          </cell>
          <cell r="L256">
            <v>1</v>
          </cell>
          <cell r="M256">
            <v>44858</v>
          </cell>
          <cell r="N256"/>
          <cell r="O256"/>
          <cell r="P256" t="str">
            <v>115 270</v>
          </cell>
          <cell r="Q256" t="str">
            <v>NO</v>
          </cell>
          <cell r="R256" t="str">
            <v>1P</v>
          </cell>
          <cell r="S256" t="str">
            <v>V.ce opaca</v>
          </cell>
          <cell r="T256" t="str">
            <v>Esistente</v>
          </cell>
          <cell r="U256" t="str">
            <v>Esistente</v>
          </cell>
          <cell r="V256" t="str">
            <v>Si</v>
          </cell>
          <cell r="W256" t="str">
            <v>NO</v>
          </cell>
        </row>
        <row r="257">
          <cell r="A257">
            <v>7868</v>
          </cell>
          <cell r="B257" t="str">
            <v>R+N</v>
          </cell>
          <cell r="C257" t="str">
            <v>X</v>
          </cell>
          <cell r="D257" t="str">
            <v>Prontofoods</v>
          </cell>
          <cell r="E257" t="str">
            <v>Astucci Budini Vari modelli</v>
          </cell>
          <cell r="F257"/>
          <cell r="G257">
            <v>221838</v>
          </cell>
          <cell r="H257">
            <v>44831</v>
          </cell>
          <cell r="I257"/>
          <cell r="J257">
            <v>113000</v>
          </cell>
          <cell r="K257" t="str">
            <v>17.000 fogli</v>
          </cell>
          <cell r="L257">
            <v>2</v>
          </cell>
          <cell r="M257">
            <v>44858</v>
          </cell>
          <cell r="N257"/>
          <cell r="O257" t="str">
            <v>CR0070</v>
          </cell>
          <cell r="P257" t="str">
            <v>113 350 93,5x71,5</v>
          </cell>
          <cell r="Q257" t="str">
            <v>NO</v>
          </cell>
          <cell r="R257" t="str">
            <v>4Q + 2P</v>
          </cell>
          <cell r="S257" t="str">
            <v>V.ce + UV</v>
          </cell>
          <cell r="T257" t="str">
            <v>Esistente</v>
          </cell>
          <cell r="U257" t="str">
            <v>Esistente</v>
          </cell>
          <cell r="V257" t="str">
            <v>Si</v>
          </cell>
          <cell r="W257" t="str">
            <v>NO</v>
          </cell>
        </row>
        <row r="258">
          <cell r="A258">
            <v>202207876</v>
          </cell>
          <cell r="B258" t="str">
            <v>R</v>
          </cell>
          <cell r="C258" t="str">
            <v>X</v>
          </cell>
          <cell r="D258" t="str">
            <v>Offel</v>
          </cell>
          <cell r="E258" t="str">
            <v>Appendini SUN+</v>
          </cell>
          <cell r="F258"/>
          <cell r="G258">
            <v>208</v>
          </cell>
          <cell r="H258">
            <v>44834</v>
          </cell>
          <cell r="I258"/>
          <cell r="J258">
            <v>20000</v>
          </cell>
          <cell r="K258" t="str">
            <v>5.000 fogli</v>
          </cell>
          <cell r="L258">
            <v>1</v>
          </cell>
          <cell r="M258">
            <v>44859</v>
          </cell>
          <cell r="N258"/>
          <cell r="O258"/>
          <cell r="P258" t="str">
            <v>GC2 350 71x94</v>
          </cell>
          <cell r="Q258" t="str">
            <v>NO</v>
          </cell>
          <cell r="R258" t="str">
            <v>4Q + 1P</v>
          </cell>
          <cell r="S258" t="str">
            <v>V.ce lucida</v>
          </cell>
          <cell r="T258" t="str">
            <v>Esistente</v>
          </cell>
          <cell r="U258" t="str">
            <v>Esistente</v>
          </cell>
          <cell r="V258" t="str">
            <v>SI</v>
          </cell>
          <cell r="W258" t="str">
            <v>NO</v>
          </cell>
        </row>
        <row r="259">
          <cell r="A259">
            <v>202207897</v>
          </cell>
          <cell r="B259" t="str">
            <v>N</v>
          </cell>
          <cell r="C259" t="str">
            <v>X</v>
          </cell>
          <cell r="D259" t="str">
            <v>Tradigo Giovanni</v>
          </cell>
          <cell r="E259" t="str">
            <v>Buste A L Master</v>
          </cell>
          <cell r="F259" t="str">
            <v>Piccole</v>
          </cell>
          <cell r="G259">
            <v>252</v>
          </cell>
          <cell r="H259">
            <v>44845</v>
          </cell>
          <cell r="I259"/>
          <cell r="J259">
            <v>15000</v>
          </cell>
          <cell r="K259" t="str">
            <v>2.500 fogli</v>
          </cell>
          <cell r="L259">
            <v>1</v>
          </cell>
          <cell r="M259">
            <v>44859</v>
          </cell>
          <cell r="N259"/>
          <cell r="O259" t="str">
            <v>CR0025</v>
          </cell>
          <cell r="P259" t="str">
            <v>GC2 255 102x65</v>
          </cell>
          <cell r="Q259" t="str">
            <v>NO</v>
          </cell>
          <cell r="R259" t="str">
            <v>4Q</v>
          </cell>
          <cell r="S259" t="str">
            <v>V.ce lucida</v>
          </cell>
          <cell r="T259" t="str">
            <v>Esistente</v>
          </cell>
          <cell r="U259" t="str">
            <v>Esistente</v>
          </cell>
          <cell r="V259" t="str">
            <v>SI</v>
          </cell>
          <cell r="W259" t="str">
            <v>NO</v>
          </cell>
        </row>
        <row r="260">
          <cell r="A260">
            <v>202207897</v>
          </cell>
          <cell r="B260" t="str">
            <v>N</v>
          </cell>
          <cell r="C260" t="str">
            <v>X</v>
          </cell>
          <cell r="D260" t="str">
            <v>Tradigo Giovanni</v>
          </cell>
          <cell r="E260" t="str">
            <v>Buste A L Master</v>
          </cell>
          <cell r="F260" t="str">
            <v>Grandi</v>
          </cell>
          <cell r="G260">
            <v>252</v>
          </cell>
          <cell r="H260">
            <v>44845</v>
          </cell>
          <cell r="I260"/>
          <cell r="J260">
            <v>15000</v>
          </cell>
          <cell r="K260" t="str">
            <v>2.500 fogli</v>
          </cell>
          <cell r="L260">
            <v>1</v>
          </cell>
          <cell r="M260">
            <v>44859</v>
          </cell>
          <cell r="N260"/>
          <cell r="O260" t="str">
            <v>CR0025</v>
          </cell>
          <cell r="P260" t="str">
            <v>GC2 255 102x65</v>
          </cell>
          <cell r="Q260" t="str">
            <v>NO</v>
          </cell>
          <cell r="R260" t="str">
            <v>4Q</v>
          </cell>
          <cell r="S260" t="str">
            <v>V.ce lucida</v>
          </cell>
          <cell r="T260" t="str">
            <v>Esistente</v>
          </cell>
          <cell r="U260" t="str">
            <v>Esistente</v>
          </cell>
          <cell r="V260" t="str">
            <v>SI</v>
          </cell>
          <cell r="W260" t="str">
            <v>NO</v>
          </cell>
        </row>
        <row r="261">
          <cell r="A261">
            <v>202207900</v>
          </cell>
          <cell r="B261" t="str">
            <v>N</v>
          </cell>
          <cell r="C261" t="str">
            <v>x</v>
          </cell>
          <cell r="D261" t="str">
            <v>RCM</v>
          </cell>
          <cell r="E261" t="str">
            <v>Astucci NEE</v>
          </cell>
          <cell r="F261"/>
          <cell r="G261" t="str">
            <v>388/N</v>
          </cell>
          <cell r="H261">
            <v>44841</v>
          </cell>
          <cell r="I261"/>
          <cell r="J261">
            <v>15000</v>
          </cell>
          <cell r="K261" t="str">
            <v>1.000 fogli</v>
          </cell>
          <cell r="L261">
            <v>1</v>
          </cell>
          <cell r="M261">
            <v>44860</v>
          </cell>
          <cell r="N261"/>
          <cell r="O261" t="str">
            <v>CR0060</v>
          </cell>
          <cell r="P261" t="str">
            <v>GC1 295 72x102</v>
          </cell>
          <cell r="Q261" t="str">
            <v>SI</v>
          </cell>
          <cell r="R261" t="str">
            <v>1P</v>
          </cell>
          <cell r="S261" t="str">
            <v>PO</v>
          </cell>
          <cell r="T261" t="str">
            <v xml:space="preserve">Nuovo </v>
          </cell>
          <cell r="U261" t="str">
            <v>Nuova</v>
          </cell>
          <cell r="V261" t="str">
            <v>NO</v>
          </cell>
          <cell r="W261" t="str">
            <v>NO</v>
          </cell>
        </row>
        <row r="262">
          <cell r="A262">
            <v>202207901</v>
          </cell>
          <cell r="B262" t="str">
            <v>N</v>
          </cell>
          <cell r="C262" t="str">
            <v>X</v>
          </cell>
          <cell r="D262" t="str">
            <v>RCM</v>
          </cell>
          <cell r="E262" t="str">
            <v>SIM NEE</v>
          </cell>
          <cell r="F262"/>
          <cell r="G262" t="str">
            <v>388/N</v>
          </cell>
          <cell r="H262">
            <v>44841</v>
          </cell>
          <cell r="I262"/>
          <cell r="J262">
            <v>10500</v>
          </cell>
          <cell r="K262" t="str">
            <v>1.500 fogli</v>
          </cell>
          <cell r="L262">
            <v>1</v>
          </cell>
          <cell r="M262">
            <v>44860</v>
          </cell>
          <cell r="N262"/>
          <cell r="O262" t="str">
            <v>CR0060</v>
          </cell>
          <cell r="P262" t="str">
            <v>GC1 295 72x102</v>
          </cell>
          <cell r="Q262" t="str">
            <v>NO</v>
          </cell>
          <cell r="R262" t="str">
            <v>1P</v>
          </cell>
          <cell r="S262" t="str">
            <v>-</v>
          </cell>
          <cell r="T262" t="str">
            <v>-</v>
          </cell>
          <cell r="U262" t="str">
            <v>Nuova</v>
          </cell>
          <cell r="V262" t="str">
            <v>NO</v>
          </cell>
          <cell r="W262" t="str">
            <v>NO</v>
          </cell>
        </row>
        <row r="263">
          <cell r="A263">
            <v>202207902</v>
          </cell>
          <cell r="B263" t="str">
            <v>N</v>
          </cell>
          <cell r="C263" t="str">
            <v>x</v>
          </cell>
          <cell r="D263" t="str">
            <v>RCM</v>
          </cell>
          <cell r="E263" t="str">
            <v>SIM EVRL</v>
          </cell>
          <cell r="F263"/>
          <cell r="G263" t="str">
            <v>388/N</v>
          </cell>
          <cell r="H263">
            <v>44841</v>
          </cell>
          <cell r="I263"/>
          <cell r="J263">
            <v>2000</v>
          </cell>
          <cell r="K263" t="str">
            <v>1.000 fogli</v>
          </cell>
          <cell r="L263">
            <v>1</v>
          </cell>
          <cell r="M263">
            <v>44860</v>
          </cell>
          <cell r="N263"/>
          <cell r="O263" t="str">
            <v>CR0040</v>
          </cell>
          <cell r="P263" t="str">
            <v>GC1 270 56,5x75</v>
          </cell>
          <cell r="Q263" t="str">
            <v>NO</v>
          </cell>
          <cell r="R263" t="str">
            <v>1P</v>
          </cell>
          <cell r="S263" t="str">
            <v>-</v>
          </cell>
          <cell r="T263"/>
          <cell r="U263" t="str">
            <v>Nuova</v>
          </cell>
          <cell r="V263" t="str">
            <v>NO</v>
          </cell>
          <cell r="W263" t="str">
            <v>NO</v>
          </cell>
        </row>
        <row r="264">
          <cell r="A264">
            <v>202207903</v>
          </cell>
          <cell r="B264" t="str">
            <v>N</v>
          </cell>
          <cell r="C264" t="str">
            <v>x</v>
          </cell>
          <cell r="D264" t="str">
            <v>RCM</v>
          </cell>
          <cell r="E264" t="str">
            <v>Astucci EVRL/SPA</v>
          </cell>
          <cell r="F264"/>
          <cell r="G264" t="str">
            <v>388/N</v>
          </cell>
          <cell r="H264">
            <v>44841</v>
          </cell>
          <cell r="I264"/>
          <cell r="J264">
            <v>12000</v>
          </cell>
          <cell r="K264" t="str">
            <v>1.500 fogli</v>
          </cell>
          <cell r="L264">
            <v>1</v>
          </cell>
          <cell r="M264">
            <v>44860</v>
          </cell>
          <cell r="N264"/>
          <cell r="O264" t="str">
            <v>CR0182</v>
          </cell>
          <cell r="P264" t="str">
            <v>112 385 46x1002</v>
          </cell>
          <cell r="Q264" t="str">
            <v>NO</v>
          </cell>
          <cell r="R264" t="str">
            <v>1P</v>
          </cell>
          <cell r="S264" t="str">
            <v>PO</v>
          </cell>
          <cell r="T264" t="str">
            <v xml:space="preserve">Nuovo </v>
          </cell>
          <cell r="U264" t="str">
            <v>Nuova</v>
          </cell>
          <cell r="V264" t="str">
            <v>NO</v>
          </cell>
          <cell r="W264" t="str">
            <v>NO</v>
          </cell>
        </row>
        <row r="265">
          <cell r="A265">
            <v>202207904</v>
          </cell>
          <cell r="B265" t="str">
            <v>N</v>
          </cell>
          <cell r="C265" t="str">
            <v>x</v>
          </cell>
          <cell r="D265" t="str">
            <v>RCM</v>
          </cell>
          <cell r="E265" t="str">
            <v>Interni NEE</v>
          </cell>
          <cell r="F265"/>
          <cell r="G265" t="str">
            <v>388/N</v>
          </cell>
          <cell r="H265">
            <v>44841</v>
          </cell>
          <cell r="I265"/>
          <cell r="J265">
            <v>10500</v>
          </cell>
          <cell r="K265" t="str">
            <v>1.500 fogli</v>
          </cell>
          <cell r="L265">
            <v>1</v>
          </cell>
          <cell r="M265">
            <v>44860</v>
          </cell>
          <cell r="N265"/>
          <cell r="O265" t="str">
            <v>CR0108</v>
          </cell>
          <cell r="P265" t="str">
            <v>NEP NEP</v>
          </cell>
          <cell r="Q265" t="str">
            <v>-</v>
          </cell>
          <cell r="R265" t="str">
            <v>-</v>
          </cell>
          <cell r="S265" t="str">
            <v>-</v>
          </cell>
          <cell r="T265" t="str">
            <v>-</v>
          </cell>
          <cell r="U265" t="str">
            <v>Esistente</v>
          </cell>
          <cell r="V265" t="str">
            <v>SI</v>
          </cell>
          <cell r="W265" t="str">
            <v>NO</v>
          </cell>
        </row>
        <row r="266">
          <cell r="A266">
            <v>202207899</v>
          </cell>
          <cell r="B266" t="str">
            <v>R</v>
          </cell>
          <cell r="C266" t="str">
            <v>x</v>
          </cell>
          <cell r="D266" t="str">
            <v>Gandola Biscotti</v>
          </cell>
          <cell r="E266" t="str">
            <v>Vaschetta Piccola</v>
          </cell>
          <cell r="F266"/>
          <cell r="G266" t="str">
            <v>OA22000671</v>
          </cell>
          <cell r="H266">
            <v>44841</v>
          </cell>
          <cell r="I266"/>
          <cell r="J266">
            <v>100000</v>
          </cell>
          <cell r="K266" t="str">
            <v>12.500 fogli</v>
          </cell>
          <cell r="L266">
            <v>1</v>
          </cell>
          <cell r="M266">
            <v>44861</v>
          </cell>
          <cell r="N266"/>
          <cell r="O266" t="str">
            <v>CR00733</v>
          </cell>
          <cell r="P266" t="str">
            <v>962 350 83,5x72,5</v>
          </cell>
          <cell r="Q266" t="str">
            <v>NO</v>
          </cell>
          <cell r="R266" t="str">
            <v>-</v>
          </cell>
          <cell r="S266" t="str">
            <v>-</v>
          </cell>
          <cell r="T266" t="str">
            <v>-</v>
          </cell>
          <cell r="U266" t="str">
            <v>Esistente</v>
          </cell>
          <cell r="V266" t="str">
            <v>NO</v>
          </cell>
          <cell r="W266" t="str">
            <v>NO</v>
          </cell>
        </row>
        <row r="267">
          <cell r="A267">
            <v>202207886</v>
          </cell>
          <cell r="B267" t="str">
            <v>R</v>
          </cell>
          <cell r="C267" t="str">
            <v>X</v>
          </cell>
          <cell r="D267" t="str">
            <v>Cesare Rizzini</v>
          </cell>
          <cell r="E267" t="str">
            <v>Scatole per Panettone</v>
          </cell>
          <cell r="F267"/>
          <cell r="G267" t="str">
            <v>-</v>
          </cell>
          <cell r="H267">
            <v>44839</v>
          </cell>
          <cell r="I267"/>
          <cell r="J267">
            <v>4000</v>
          </cell>
          <cell r="K267" t="str">
            <v>4.000 fogli</v>
          </cell>
          <cell r="L267">
            <v>1</v>
          </cell>
          <cell r="M267">
            <v>44862</v>
          </cell>
          <cell r="N267"/>
          <cell r="O267"/>
          <cell r="P267" t="str">
            <v>115 250</v>
          </cell>
          <cell r="Q267" t="str">
            <v>NO</v>
          </cell>
          <cell r="R267" t="str">
            <v>1P</v>
          </cell>
          <cell r="S267" t="str">
            <v>PO + OC + SR</v>
          </cell>
          <cell r="T267" t="str">
            <v>Esistente</v>
          </cell>
          <cell r="U267" t="str">
            <v>Esistente</v>
          </cell>
          <cell r="V267" t="str">
            <v>SI</v>
          </cell>
          <cell r="W267" t="str">
            <v>NO</v>
          </cell>
        </row>
        <row r="268">
          <cell r="A268">
            <v>202207926</v>
          </cell>
          <cell r="B268" t="str">
            <v>R</v>
          </cell>
          <cell r="C268" t="str">
            <v>x</v>
          </cell>
          <cell r="D268" t="str">
            <v>Lane Mondial</v>
          </cell>
          <cell r="E268" t="str">
            <v>Scatole neutre 4 angoli</v>
          </cell>
          <cell r="F268"/>
          <cell r="G268">
            <v>257</v>
          </cell>
          <cell r="H268">
            <v>44853</v>
          </cell>
          <cell r="I268"/>
          <cell r="J268">
            <v>1000</v>
          </cell>
          <cell r="K268" t="str">
            <v>1.000 fogli</v>
          </cell>
          <cell r="L268">
            <v>1</v>
          </cell>
          <cell r="M268">
            <v>44862</v>
          </cell>
          <cell r="N268"/>
          <cell r="O268"/>
          <cell r="P268" t="str">
            <v>112 400</v>
          </cell>
          <cell r="Q268" t="str">
            <v>NO</v>
          </cell>
          <cell r="R268" t="str">
            <v>-</v>
          </cell>
          <cell r="S268" t="str">
            <v>-</v>
          </cell>
          <cell r="T268" t="str">
            <v>-</v>
          </cell>
          <cell r="U268" t="str">
            <v>Esistente</v>
          </cell>
          <cell r="V268" t="str">
            <v>SI</v>
          </cell>
          <cell r="W268" t="str">
            <v>NO</v>
          </cell>
        </row>
        <row r="269">
          <cell r="A269">
            <v>202207916</v>
          </cell>
          <cell r="B269" t="str">
            <v>R</v>
          </cell>
          <cell r="C269" t="str">
            <v>X</v>
          </cell>
          <cell r="D269" t="str">
            <v>Quaranta</v>
          </cell>
          <cell r="E269" t="str">
            <v>Fascette Quaranta D36</v>
          </cell>
          <cell r="F269"/>
          <cell r="G269">
            <v>7791</v>
          </cell>
          <cell r="H269">
            <v>44845</v>
          </cell>
          <cell r="I269"/>
          <cell r="J269">
            <v>120000</v>
          </cell>
          <cell r="K269" t="str">
            <v>7.500 fogli</v>
          </cell>
          <cell r="L269">
            <v>2</v>
          </cell>
          <cell r="M269">
            <v>44862</v>
          </cell>
          <cell r="N269"/>
          <cell r="O269" t="str">
            <v>CR0191</v>
          </cell>
          <cell r="P269" t="str">
            <v>113 320</v>
          </cell>
          <cell r="Q269" t="str">
            <v>NO</v>
          </cell>
          <cell r="R269" t="str">
            <v>4Q + 1P</v>
          </cell>
          <cell r="S269" t="str">
            <v>V.ce + OC + UV</v>
          </cell>
          <cell r="T269" t="str">
            <v>Esistente</v>
          </cell>
          <cell r="U269" t="str">
            <v>Esistente</v>
          </cell>
          <cell r="V269" t="str">
            <v>NO</v>
          </cell>
          <cell r="W269" t="str">
            <v>NO</v>
          </cell>
        </row>
        <row r="270">
          <cell r="A270">
            <v>202207910</v>
          </cell>
          <cell r="B270" t="str">
            <v>N</v>
          </cell>
          <cell r="C270" t="str">
            <v>x</v>
          </cell>
          <cell r="D270" t="str">
            <v>La Capsuleria</v>
          </cell>
          <cell r="E270" t="str">
            <v>Astucci Allegri Caffè</v>
          </cell>
          <cell r="F270"/>
          <cell r="G270">
            <v>255</v>
          </cell>
          <cell r="H270">
            <v>44851</v>
          </cell>
          <cell r="I270"/>
          <cell r="J270">
            <v>15000</v>
          </cell>
          <cell r="K270" t="str">
            <v>3.750 fogli</v>
          </cell>
          <cell r="L270">
            <v>1</v>
          </cell>
          <cell r="M270">
            <v>44863</v>
          </cell>
          <cell r="N270"/>
          <cell r="O270"/>
          <cell r="P270" t="str">
            <v>112 350</v>
          </cell>
          <cell r="Q270" t="str">
            <v>NO</v>
          </cell>
          <cell r="R270" t="str">
            <v>4Q</v>
          </cell>
          <cell r="S270" t="str">
            <v>V.ce opaca</v>
          </cell>
          <cell r="T270" t="str">
            <v xml:space="preserve">Nuovo </v>
          </cell>
          <cell r="U270" t="str">
            <v>Nuova</v>
          </cell>
          <cell r="V270" t="str">
            <v>NO</v>
          </cell>
          <cell r="W270" t="str">
            <v>NO</v>
          </cell>
        </row>
        <row r="271">
          <cell r="A271">
            <v>202207927</v>
          </cell>
          <cell r="B271" t="str">
            <v>R</v>
          </cell>
          <cell r="C271" t="str">
            <v>X</v>
          </cell>
          <cell r="D271" t="str">
            <v>Prontofoods</v>
          </cell>
          <cell r="E271" t="str">
            <v>Astucci 5 Buste</v>
          </cell>
          <cell r="F271" t="str">
            <v>Bar Ristora</v>
          </cell>
          <cell r="G271">
            <v>221998</v>
          </cell>
          <cell r="H271">
            <v>44852</v>
          </cell>
          <cell r="I271"/>
          <cell r="J271">
            <v>30000</v>
          </cell>
          <cell r="K271" t="str">
            <v>3.400 fogli</v>
          </cell>
          <cell r="L271">
            <v>1</v>
          </cell>
          <cell r="M271">
            <v>44867</v>
          </cell>
          <cell r="N271"/>
          <cell r="O271"/>
          <cell r="P271" t="str">
            <v>GC2 250 65,5X86,5</v>
          </cell>
          <cell r="Q271" t="str">
            <v>NO</v>
          </cell>
          <cell r="R271" t="str">
            <v>4Q</v>
          </cell>
          <cell r="S271" t="str">
            <v>UV</v>
          </cell>
          <cell r="T271" t="str">
            <v>Esistente</v>
          </cell>
          <cell r="U271" t="str">
            <v>Esistente</v>
          </cell>
          <cell r="V271" t="str">
            <v>NO</v>
          </cell>
          <cell r="W271" t="str">
            <v>NO</v>
          </cell>
        </row>
        <row r="272">
          <cell r="A272">
            <v>202207927</v>
          </cell>
          <cell r="B272" t="str">
            <v>N</v>
          </cell>
          <cell r="C272" t="str">
            <v>X</v>
          </cell>
          <cell r="D272" t="str">
            <v>Prontofoods</v>
          </cell>
          <cell r="E272" t="str">
            <v>Astucci 5 Buste</v>
          </cell>
          <cell r="F272" t="str">
            <v>Ginseng Sonny</v>
          </cell>
          <cell r="G272">
            <v>221998</v>
          </cell>
          <cell r="H272">
            <v>44852</v>
          </cell>
          <cell r="I272"/>
          <cell r="J272">
            <v>25000</v>
          </cell>
          <cell r="K272" t="str">
            <v>2.800 fogli</v>
          </cell>
          <cell r="L272">
            <v>1</v>
          </cell>
          <cell r="M272">
            <v>44867</v>
          </cell>
          <cell r="N272"/>
          <cell r="O272"/>
          <cell r="P272" t="str">
            <v>GC2 250 65,5X86,5</v>
          </cell>
          <cell r="Q272" t="str">
            <v>NO</v>
          </cell>
          <cell r="R272" t="str">
            <v>4Q</v>
          </cell>
          <cell r="S272" t="str">
            <v>UV</v>
          </cell>
          <cell r="T272" t="str">
            <v>Esistente</v>
          </cell>
          <cell r="U272" t="str">
            <v>Esistente</v>
          </cell>
          <cell r="V272" t="str">
            <v>NO</v>
          </cell>
          <cell r="W272" t="str">
            <v>NO</v>
          </cell>
        </row>
        <row r="273">
          <cell r="A273">
            <v>202207927</v>
          </cell>
          <cell r="B273" t="str">
            <v>N</v>
          </cell>
          <cell r="C273" t="str">
            <v>X</v>
          </cell>
          <cell r="D273" t="str">
            <v>Prontofoods</v>
          </cell>
          <cell r="E273" t="str">
            <v>Astucci 5 Buste</v>
          </cell>
          <cell r="F273" t="str">
            <v>Cucina e Sapori</v>
          </cell>
          <cell r="G273">
            <v>221998</v>
          </cell>
          <cell r="H273">
            <v>44852</v>
          </cell>
          <cell r="I273"/>
          <cell r="J273">
            <v>25000</v>
          </cell>
          <cell r="K273" t="str">
            <v>2.800 fogli</v>
          </cell>
          <cell r="L273">
            <v>1</v>
          </cell>
          <cell r="M273">
            <v>44867</v>
          </cell>
          <cell r="N273"/>
          <cell r="O273"/>
          <cell r="P273" t="str">
            <v>GC2 250 65,5X86,5</v>
          </cell>
          <cell r="Q273" t="str">
            <v>NO</v>
          </cell>
          <cell r="R273" t="str">
            <v>4Q</v>
          </cell>
          <cell r="S273" t="str">
            <v>UV</v>
          </cell>
          <cell r="T273" t="str">
            <v>Esistente</v>
          </cell>
          <cell r="U273" t="str">
            <v>Esistente</v>
          </cell>
          <cell r="V273" t="str">
            <v>NO</v>
          </cell>
          <cell r="W273" t="str">
            <v>NO</v>
          </cell>
        </row>
        <row r="274">
          <cell r="A274">
            <v>202207827</v>
          </cell>
          <cell r="B274" t="str">
            <v>N</v>
          </cell>
          <cell r="C274" t="str">
            <v>X</v>
          </cell>
          <cell r="D274" t="str">
            <v>Nero Nobile</v>
          </cell>
          <cell r="E274" t="str">
            <v>Astucci Nero Nobile FS0380</v>
          </cell>
          <cell r="F274"/>
          <cell r="G274">
            <v>621</v>
          </cell>
          <cell r="H274">
            <v>44806</v>
          </cell>
          <cell r="I274"/>
          <cell r="J274">
            <v>163000</v>
          </cell>
          <cell r="K274" t="str">
            <v>40.750 fogli</v>
          </cell>
          <cell r="L274">
            <v>5</v>
          </cell>
          <cell r="M274">
            <v>44868</v>
          </cell>
          <cell r="N274"/>
          <cell r="O274" t="str">
            <v>CR0137</v>
          </cell>
          <cell r="P274" t="str">
            <v>GC2 270 62x100,5</v>
          </cell>
          <cell r="Q274" t="str">
            <v>NO</v>
          </cell>
          <cell r="R274" t="str">
            <v>4Q + 1P</v>
          </cell>
          <cell r="S274" t="str">
            <v>Drip + UV</v>
          </cell>
          <cell r="T274" t="str">
            <v>Esistente</v>
          </cell>
          <cell r="U274" t="str">
            <v>Esistente</v>
          </cell>
          <cell r="V274" t="str">
            <v>SI</v>
          </cell>
          <cell r="W274" t="str">
            <v>NO</v>
          </cell>
        </row>
        <row r="275">
          <cell r="A275">
            <v>202207914</v>
          </cell>
          <cell r="B275" t="str">
            <v>R</v>
          </cell>
          <cell r="C275" t="str">
            <v>X</v>
          </cell>
          <cell r="D275" t="str">
            <v>Nero Nobile</v>
          </cell>
          <cell r="E275" t="str">
            <v>Astucci FS0384 Che caffè</v>
          </cell>
          <cell r="F275"/>
          <cell r="G275">
            <v>723</v>
          </cell>
          <cell r="H275">
            <v>44844</v>
          </cell>
          <cell r="I275"/>
          <cell r="J275">
            <v>20000</v>
          </cell>
          <cell r="K275" t="str">
            <v>5.000 fogli</v>
          </cell>
          <cell r="L275">
            <v>2</v>
          </cell>
          <cell r="M275">
            <v>44868</v>
          </cell>
          <cell r="N275"/>
          <cell r="O275" t="str">
            <v>CR0189</v>
          </cell>
          <cell r="P275" t="str">
            <v>GC2 270 54x82</v>
          </cell>
          <cell r="Q275" t="str">
            <v>NO</v>
          </cell>
          <cell r="R275" t="str">
            <v>4Q + 1P</v>
          </cell>
          <cell r="S275" t="str">
            <v>V.ce + UV</v>
          </cell>
          <cell r="T275" t="str">
            <v>Esistente</v>
          </cell>
          <cell r="U275" t="str">
            <v>Esistente</v>
          </cell>
          <cell r="V275" t="str">
            <v>SI</v>
          </cell>
          <cell r="W275" t="str">
            <v>NO</v>
          </cell>
        </row>
        <row r="276">
          <cell r="A276">
            <v>202207922</v>
          </cell>
          <cell r="B276" t="str">
            <v>R</v>
          </cell>
          <cell r="C276" t="str">
            <v>X</v>
          </cell>
          <cell r="D276" t="str">
            <v>O.R</v>
          </cell>
          <cell r="E276" t="str">
            <v>Scatole Imballo Multi Bricoman</v>
          </cell>
          <cell r="F276"/>
          <cell r="G276" t="str">
            <v>ORF22-1963</v>
          </cell>
          <cell r="H276">
            <v>44753</v>
          </cell>
          <cell r="I276"/>
          <cell r="J276">
            <v>2000</v>
          </cell>
          <cell r="K276" t="str">
            <v>2.000 fogli</v>
          </cell>
          <cell r="L276">
            <v>1</v>
          </cell>
          <cell r="M276">
            <v>44868</v>
          </cell>
          <cell r="N276"/>
          <cell r="O276"/>
          <cell r="P276" t="str">
            <v>112 290</v>
          </cell>
          <cell r="Q276" t="str">
            <v>SI</v>
          </cell>
          <cell r="R276" t="str">
            <v>4Q</v>
          </cell>
          <cell r="S276" t="str">
            <v>V.ce lucida</v>
          </cell>
          <cell r="T276" t="str">
            <v>Esistente</v>
          </cell>
          <cell r="U276" t="str">
            <v>Esistente</v>
          </cell>
          <cell r="V276" t="str">
            <v>SI</v>
          </cell>
          <cell r="W276" t="str">
            <v>NO</v>
          </cell>
        </row>
        <row r="277">
          <cell r="A277">
            <v>202207896</v>
          </cell>
          <cell r="B277" t="str">
            <v>R</v>
          </cell>
          <cell r="C277" t="str">
            <v>X</v>
          </cell>
          <cell r="D277" t="str">
            <v>Pasta Lensi</v>
          </cell>
          <cell r="E277" t="str">
            <v>Astucci Legumi Bassi</v>
          </cell>
          <cell r="F277" t="str">
            <v>Meijer</v>
          </cell>
          <cell r="G277">
            <v>50269</v>
          </cell>
          <cell r="H277">
            <v>44841</v>
          </cell>
          <cell r="I277" t="str">
            <v>127 x 45 x 185</v>
          </cell>
          <cell r="J277">
            <v>20000</v>
          </cell>
          <cell r="K277" t="str">
            <v>3.400 fogli</v>
          </cell>
          <cell r="L277">
            <v>1</v>
          </cell>
          <cell r="M277">
            <v>44868</v>
          </cell>
          <cell r="N277"/>
          <cell r="O277" t="str">
            <v>CR0073</v>
          </cell>
          <cell r="P277" t="str">
            <v>962 350 83,5x72,5</v>
          </cell>
          <cell r="Q277" t="str">
            <v>NO</v>
          </cell>
          <cell r="R277" t="str">
            <v>4Q + 2P</v>
          </cell>
          <cell r="S277" t="str">
            <v>V.ce lucida</v>
          </cell>
          <cell r="T277" t="str">
            <v>Esistente</v>
          </cell>
          <cell r="U277" t="str">
            <v>Esistente</v>
          </cell>
          <cell r="V277" t="str">
            <v>NO</v>
          </cell>
          <cell r="W277" t="str">
            <v>SI</v>
          </cell>
        </row>
        <row r="278">
          <cell r="A278">
            <v>202207912</v>
          </cell>
          <cell r="B278" t="str">
            <v>R</v>
          </cell>
          <cell r="C278" t="str">
            <v>X</v>
          </cell>
          <cell r="D278" t="str">
            <v>Pasta Lensi</v>
          </cell>
          <cell r="E278" t="str">
            <v>Astucci LenBV</v>
          </cell>
          <cell r="F278" t="str">
            <v>Penne</v>
          </cell>
          <cell r="G278">
            <v>50296</v>
          </cell>
          <cell r="H278">
            <v>44846</v>
          </cell>
          <cell r="I278" t="str">
            <v>127 X 63 X 185</v>
          </cell>
          <cell r="J278">
            <v>10000</v>
          </cell>
          <cell r="K278" t="str">
            <v>2.500 fogli</v>
          </cell>
          <cell r="L278">
            <v>1</v>
          </cell>
          <cell r="M278">
            <v>44868</v>
          </cell>
          <cell r="N278"/>
          <cell r="O278" t="str">
            <v>CR0079</v>
          </cell>
          <cell r="P278" t="str">
            <v>962 350 63,5x79,5</v>
          </cell>
          <cell r="Q278" t="str">
            <v>NO</v>
          </cell>
          <cell r="R278" t="str">
            <v>3Q + 2P</v>
          </cell>
          <cell r="S278" t="str">
            <v>V.ce lucida</v>
          </cell>
          <cell r="T278" t="str">
            <v>Esistente</v>
          </cell>
          <cell r="U278" t="str">
            <v>Esistente</v>
          </cell>
          <cell r="V278" t="str">
            <v>NO</v>
          </cell>
          <cell r="W278" t="str">
            <v>SI</v>
          </cell>
        </row>
        <row r="279">
          <cell r="A279">
            <v>202207935</v>
          </cell>
          <cell r="B279" t="str">
            <v>N</v>
          </cell>
          <cell r="C279" t="str">
            <v>X</v>
          </cell>
          <cell r="D279" t="str">
            <v>Prontofoods</v>
          </cell>
          <cell r="E279" t="str">
            <v>Contenitori Cioccolato</v>
          </cell>
          <cell r="F279" t="str">
            <v>Magica Ciok</v>
          </cell>
          <cell r="G279">
            <v>222033</v>
          </cell>
          <cell r="H279">
            <v>44858</v>
          </cell>
          <cell r="I279"/>
          <cell r="J279">
            <v>6000</v>
          </cell>
          <cell r="K279" t="str">
            <v>3.000 fogli</v>
          </cell>
          <cell r="L279">
            <v>1</v>
          </cell>
          <cell r="M279">
            <v>44868</v>
          </cell>
          <cell r="N279"/>
          <cell r="O279"/>
          <cell r="P279" t="str">
            <v>962 450 55x100</v>
          </cell>
          <cell r="Q279" t="str">
            <v>NO</v>
          </cell>
          <cell r="R279" t="str">
            <v>4Q</v>
          </cell>
          <cell r="S279" t="str">
            <v>V.ce lucida</v>
          </cell>
          <cell r="T279" t="str">
            <v>Esistente</v>
          </cell>
          <cell r="U279" t="str">
            <v>Esistente</v>
          </cell>
          <cell r="V279" t="str">
            <v>Si</v>
          </cell>
          <cell r="W279" t="str">
            <v>No</v>
          </cell>
        </row>
        <row r="280">
          <cell r="A280">
            <v>202207931</v>
          </cell>
          <cell r="B280" t="str">
            <v>N</v>
          </cell>
          <cell r="C280" t="str">
            <v>X</v>
          </cell>
          <cell r="D280" t="str">
            <v>RCM</v>
          </cell>
          <cell r="E280" t="str">
            <v>Astucci Mon Shampoing</v>
          </cell>
          <cell r="F280" t="str">
            <v>Astuccio 11</v>
          </cell>
          <cell r="G280" t="str">
            <v>520/E</v>
          </cell>
          <cell r="H280">
            <v>44853</v>
          </cell>
          <cell r="I280"/>
          <cell r="J280">
            <v>3000</v>
          </cell>
          <cell r="K280" t="str">
            <v>750 fogli</v>
          </cell>
          <cell r="L280">
            <v>1</v>
          </cell>
          <cell r="M280">
            <v>44868</v>
          </cell>
          <cell r="N280"/>
          <cell r="O280" t="str">
            <v>CR0203</v>
          </cell>
          <cell r="P280" t="str">
            <v>112 385 72x102</v>
          </cell>
          <cell r="Q280" t="str">
            <v>SI</v>
          </cell>
          <cell r="R280" t="str">
            <v>2P</v>
          </cell>
          <cell r="S280" t="str">
            <v>PL</v>
          </cell>
          <cell r="T280" t="str">
            <v xml:space="preserve">Nuovo </v>
          </cell>
          <cell r="U280" t="str">
            <v>Nuova</v>
          </cell>
          <cell r="V280" t="str">
            <v>NO</v>
          </cell>
          <cell r="W280" t="str">
            <v>NO</v>
          </cell>
        </row>
        <row r="281">
          <cell r="A281">
            <v>202207930</v>
          </cell>
          <cell r="B281" t="str">
            <v>N</v>
          </cell>
          <cell r="C281" t="str">
            <v>X</v>
          </cell>
          <cell r="D281" t="str">
            <v>Revenge</v>
          </cell>
          <cell r="E281" t="str">
            <v>Cavallotto Tecnico</v>
          </cell>
          <cell r="F281"/>
          <cell r="G281">
            <v>1366</v>
          </cell>
          <cell r="H281">
            <v>44854</v>
          </cell>
          <cell r="I281"/>
          <cell r="J281">
            <v>8000</v>
          </cell>
          <cell r="K281" t="str">
            <v>2.000 fogli</v>
          </cell>
          <cell r="L281">
            <v>2</v>
          </cell>
          <cell r="M281">
            <v>44868</v>
          </cell>
          <cell r="N281"/>
          <cell r="O281" t="str">
            <v>CR0040</v>
          </cell>
          <cell r="P281" t="str">
            <v>GC1 270 56,5x75</v>
          </cell>
          <cell r="Q281" t="str">
            <v>NO</v>
          </cell>
          <cell r="R281" t="str">
            <v>4Q</v>
          </cell>
          <cell r="S281" t="str">
            <v>V.ce opaca</v>
          </cell>
          <cell r="T281" t="str">
            <v>Esistente</v>
          </cell>
          <cell r="U281" t="str">
            <v>Esistente</v>
          </cell>
          <cell r="V281" t="str">
            <v>SI</v>
          </cell>
          <cell r="W281" t="str">
            <v>NO</v>
          </cell>
        </row>
        <row r="282">
          <cell r="A282">
            <v>202207944</v>
          </cell>
          <cell r="B282" t="str">
            <v>R</v>
          </cell>
          <cell r="C282" t="str">
            <v>x</v>
          </cell>
          <cell r="D282" t="str">
            <v>Pantytex</v>
          </cell>
          <cell r="E282" t="str">
            <v>Buste HKM Soffietto</v>
          </cell>
          <cell r="F282"/>
          <cell r="G282">
            <v>266</v>
          </cell>
          <cell r="H282">
            <v>44861</v>
          </cell>
          <cell r="I282"/>
          <cell r="J282">
            <v>8000</v>
          </cell>
          <cell r="K282" t="str">
            <v>2.000 fogli</v>
          </cell>
          <cell r="L282">
            <v>1</v>
          </cell>
          <cell r="M282">
            <v>44868</v>
          </cell>
          <cell r="N282"/>
          <cell r="O282" t="str">
            <v>CR0005</v>
          </cell>
          <cell r="P282" t="str">
            <v>GC1 250 102x56</v>
          </cell>
          <cell r="Q282" t="str">
            <v>NO</v>
          </cell>
          <cell r="R282" t="str">
            <v>4Q + 2P</v>
          </cell>
          <cell r="S282" t="str">
            <v>V.ce soft</v>
          </cell>
          <cell r="T282" t="str">
            <v>Esistente</v>
          </cell>
          <cell r="U282" t="str">
            <v>Esistente</v>
          </cell>
          <cell r="V282" t="str">
            <v>SI</v>
          </cell>
          <cell r="W282" t="str">
            <v>NO</v>
          </cell>
        </row>
        <row r="283">
          <cell r="A283">
            <v>202207948</v>
          </cell>
          <cell r="B283" t="str">
            <v>N</v>
          </cell>
          <cell r="C283" t="str">
            <v>x</v>
          </cell>
          <cell r="D283" t="str">
            <v>Pantytex</v>
          </cell>
          <cell r="E283" t="str">
            <v>Astucci Hema 4X</v>
          </cell>
          <cell r="F283"/>
          <cell r="G283" t="str">
            <v>-</v>
          </cell>
          <cell r="H283">
            <v>44861</v>
          </cell>
          <cell r="I283"/>
          <cell r="J283">
            <v>33000</v>
          </cell>
          <cell r="K283" t="str">
            <v>5.500 fogli</v>
          </cell>
          <cell r="L283">
            <v>1</v>
          </cell>
          <cell r="M283">
            <v>44868</v>
          </cell>
          <cell r="N283"/>
          <cell r="O283" t="str">
            <v>CR0019</v>
          </cell>
          <cell r="P283" t="str">
            <v>GC1 250</v>
          </cell>
          <cell r="Q283" t="str">
            <v>NO</v>
          </cell>
          <cell r="R283" t="str">
            <v>4Q + 2P</v>
          </cell>
          <cell r="S283" t="str">
            <v>V.ce opaca</v>
          </cell>
          <cell r="T283" t="str">
            <v>Esistente</v>
          </cell>
          <cell r="U283" t="str">
            <v>Esistente</v>
          </cell>
          <cell r="V283" t="str">
            <v>NO</v>
          </cell>
          <cell r="W283" t="str">
            <v>NO</v>
          </cell>
        </row>
        <row r="284">
          <cell r="A284">
            <v>202207892</v>
          </cell>
          <cell r="B284" t="str">
            <v>R</v>
          </cell>
          <cell r="C284" t="str">
            <v>X</v>
          </cell>
          <cell r="D284" t="str">
            <v>O.R</v>
          </cell>
          <cell r="E284" t="str">
            <v>Scatole Imballo Alba 12/5</v>
          </cell>
          <cell r="F284" t="str">
            <v>Bricoman</v>
          </cell>
          <cell r="G284" t="str">
            <v>ORF22-2625</v>
          </cell>
          <cell r="H284">
            <v>44834</v>
          </cell>
          <cell r="I284"/>
          <cell r="J284">
            <v>1500</v>
          </cell>
          <cell r="K284" t="str">
            <v>1.500 fogli</v>
          </cell>
          <cell r="L284">
            <v>1</v>
          </cell>
          <cell r="M284">
            <v>44869</v>
          </cell>
          <cell r="N284"/>
          <cell r="O284"/>
          <cell r="P284" t="str">
            <v>115 250</v>
          </cell>
          <cell r="Q284" t="str">
            <v>NO</v>
          </cell>
          <cell r="R284" t="str">
            <v>4Q</v>
          </cell>
          <cell r="S284" t="str">
            <v>V.ce opaca</v>
          </cell>
          <cell r="T284" t="str">
            <v>Esistente</v>
          </cell>
          <cell r="U284" t="str">
            <v>Esistente</v>
          </cell>
          <cell r="V284" t="str">
            <v>SI</v>
          </cell>
          <cell r="W284" t="str">
            <v>NO</v>
          </cell>
        </row>
        <row r="285">
          <cell r="A285">
            <v>202207889</v>
          </cell>
          <cell r="B285" t="str">
            <v>N</v>
          </cell>
          <cell r="C285" t="str">
            <v>x</v>
          </cell>
          <cell r="D285" t="str">
            <v>Pantytex</v>
          </cell>
          <cell r="E285" t="str">
            <v>Buste Hunkemoller Disco</v>
          </cell>
          <cell r="F285"/>
          <cell r="G285">
            <v>246</v>
          </cell>
          <cell r="H285">
            <v>44838</v>
          </cell>
          <cell r="I285"/>
          <cell r="J285">
            <v>170500</v>
          </cell>
          <cell r="K285" t="str">
            <v>34.100 Fogli</v>
          </cell>
          <cell r="L285">
            <v>6</v>
          </cell>
          <cell r="M285">
            <v>44869</v>
          </cell>
          <cell r="N285"/>
          <cell r="O285" t="str">
            <v>CR0006</v>
          </cell>
          <cell r="P285" t="str">
            <v>GC1 250 102x59</v>
          </cell>
          <cell r="Q285" t="str">
            <v>NO</v>
          </cell>
          <cell r="R285" t="str">
            <v>4Q + 2P</v>
          </cell>
          <cell r="S285" t="str">
            <v>Vc.e + SR</v>
          </cell>
          <cell r="T285" t="str">
            <v>Esistente</v>
          </cell>
          <cell r="U285" t="str">
            <v>Esistente</v>
          </cell>
          <cell r="V285" t="str">
            <v>SI</v>
          </cell>
          <cell r="W285" t="str">
            <v>NO</v>
          </cell>
        </row>
        <row r="286">
          <cell r="A286">
            <v>202207946</v>
          </cell>
          <cell r="B286" t="str">
            <v>R</v>
          </cell>
          <cell r="C286"/>
          <cell r="D286" t="str">
            <v>Linea Verde</v>
          </cell>
          <cell r="E286" t="str">
            <v>Fascette pure Dimmidisi</v>
          </cell>
          <cell r="F286" t="str">
            <v>classico</v>
          </cell>
          <cell r="G286">
            <v>22078381</v>
          </cell>
          <cell r="H286">
            <v>44861</v>
          </cell>
          <cell r="I286"/>
          <cell r="J286">
            <v>250000</v>
          </cell>
          <cell r="K286" t="str">
            <v>25.000 fogli</v>
          </cell>
          <cell r="L286">
            <v>1</v>
          </cell>
          <cell r="M286">
            <v>44870</v>
          </cell>
          <cell r="N286"/>
          <cell r="O286" t="str">
            <v>CR0133</v>
          </cell>
          <cell r="P286" t="str">
            <v>113 350 65,5x92,5</v>
          </cell>
          <cell r="Q286" t="str">
            <v>NO</v>
          </cell>
          <cell r="R286" t="str">
            <v>4Q + 1P</v>
          </cell>
          <cell r="S286" t="str">
            <v>V.ce Lucida</v>
          </cell>
          <cell r="T286" t="str">
            <v>Esistente</v>
          </cell>
          <cell r="U286" t="str">
            <v>Esistente</v>
          </cell>
          <cell r="V286" t="str">
            <v>NO</v>
          </cell>
          <cell r="W286" t="str">
            <v>NO</v>
          </cell>
        </row>
        <row r="287">
          <cell r="A287">
            <v>202207947</v>
          </cell>
          <cell r="B287" t="str">
            <v>N</v>
          </cell>
          <cell r="C287" t="str">
            <v>X</v>
          </cell>
          <cell r="D287" t="str">
            <v>Linea Verde</v>
          </cell>
          <cell r="E287" t="str">
            <v>Fascette pure Dimmidisi</v>
          </cell>
          <cell r="F287" t="str">
            <v>Natale</v>
          </cell>
          <cell r="G287">
            <v>22078381</v>
          </cell>
          <cell r="H287">
            <v>44861</v>
          </cell>
          <cell r="I287"/>
          <cell r="J287">
            <v>250000</v>
          </cell>
          <cell r="K287" t="str">
            <v>25.000 fogli</v>
          </cell>
          <cell r="L287">
            <v>1</v>
          </cell>
          <cell r="M287">
            <v>44870</v>
          </cell>
          <cell r="N287"/>
          <cell r="O287" t="str">
            <v>CR0133</v>
          </cell>
          <cell r="P287" t="str">
            <v>113 350 65,5x92,5</v>
          </cell>
          <cell r="Q287" t="str">
            <v>NO</v>
          </cell>
          <cell r="R287" t="str">
            <v>4Q + 1P</v>
          </cell>
          <cell r="S287" t="str">
            <v>V.ce Lucida</v>
          </cell>
          <cell r="T287" t="str">
            <v>Esistente</v>
          </cell>
          <cell r="U287" t="str">
            <v>Esistente</v>
          </cell>
          <cell r="V287" t="str">
            <v>NO</v>
          </cell>
          <cell r="W287" t="str">
            <v>NO</v>
          </cell>
        </row>
        <row r="288">
          <cell r="A288">
            <v>202207933</v>
          </cell>
          <cell r="B288" t="str">
            <v>R</v>
          </cell>
          <cell r="C288" t="str">
            <v>X</v>
          </cell>
          <cell r="D288" t="str">
            <v>Quaranta</v>
          </cell>
          <cell r="E288" t="str">
            <v>Cono quaranta</v>
          </cell>
          <cell r="F288"/>
          <cell r="G288">
            <v>7958</v>
          </cell>
          <cell r="H288">
            <v>44854</v>
          </cell>
          <cell r="I288"/>
          <cell r="J288">
            <v>20000</v>
          </cell>
          <cell r="K288" t="str">
            <v>3.400 fogli</v>
          </cell>
          <cell r="L288">
            <v>1</v>
          </cell>
          <cell r="M288">
            <v>44872</v>
          </cell>
          <cell r="N288"/>
          <cell r="O288"/>
          <cell r="P288" t="str">
            <v>112 320</v>
          </cell>
          <cell r="Q288" t="str">
            <v>NO</v>
          </cell>
          <cell r="R288" t="str">
            <v>4Q</v>
          </cell>
          <cell r="S288" t="str">
            <v>V.ce lucida</v>
          </cell>
          <cell r="T288" t="str">
            <v>Esistente</v>
          </cell>
          <cell r="U288" t="str">
            <v>Esistente</v>
          </cell>
          <cell r="V288" t="str">
            <v>NO</v>
          </cell>
          <cell r="W288" t="str">
            <v>NO</v>
          </cell>
        </row>
        <row r="289">
          <cell r="A289">
            <v>202207751</v>
          </cell>
          <cell r="B289" t="str">
            <v>R</v>
          </cell>
          <cell r="C289" t="str">
            <v>X</v>
          </cell>
          <cell r="D289" t="str">
            <v>Prontofoods</v>
          </cell>
          <cell r="E289" t="str">
            <v>Edulcorante Sonny 60</v>
          </cell>
          <cell r="F289"/>
          <cell r="G289">
            <v>221463</v>
          </cell>
          <cell r="H289">
            <v>44761</v>
          </cell>
          <cell r="I289"/>
          <cell r="J289">
            <v>30000</v>
          </cell>
          <cell r="K289" t="str">
            <v>3.750 fogli</v>
          </cell>
          <cell r="L289">
            <v>1</v>
          </cell>
          <cell r="M289">
            <v>44874</v>
          </cell>
          <cell r="N289"/>
          <cell r="O289"/>
          <cell r="P289" t="str">
            <v>Tam 240 71x94</v>
          </cell>
          <cell r="Q289" t="str">
            <v>NO</v>
          </cell>
          <cell r="R289" t="str">
            <v>3Q + 1P</v>
          </cell>
          <cell r="S289" t="str">
            <v>V.ce lucida</v>
          </cell>
          <cell r="T289" t="str">
            <v>Esistente</v>
          </cell>
          <cell r="U289" t="str">
            <v>Esistente</v>
          </cell>
          <cell r="V289" t="str">
            <v>NO</v>
          </cell>
          <cell r="W289" t="str">
            <v>NO</v>
          </cell>
        </row>
        <row r="290">
          <cell r="A290">
            <v>202207751</v>
          </cell>
          <cell r="B290" t="str">
            <v>R</v>
          </cell>
          <cell r="C290" t="str">
            <v>X</v>
          </cell>
          <cell r="D290" t="str">
            <v>Prontofoods</v>
          </cell>
          <cell r="E290" t="str">
            <v>Edulcorante Cucina e Sapori 60</v>
          </cell>
          <cell r="F290"/>
          <cell r="G290">
            <v>221463</v>
          </cell>
          <cell r="H290">
            <v>44761</v>
          </cell>
          <cell r="I290"/>
          <cell r="J290">
            <v>150000</v>
          </cell>
          <cell r="K290" t="str">
            <v>18.750 fogli</v>
          </cell>
          <cell r="L290">
            <v>1</v>
          </cell>
          <cell r="M290">
            <v>44874</v>
          </cell>
          <cell r="N290"/>
          <cell r="O290"/>
          <cell r="P290" t="str">
            <v>Tam 240 71x94</v>
          </cell>
          <cell r="Q290" t="str">
            <v>NO</v>
          </cell>
          <cell r="R290" t="str">
            <v>4Q + 2P</v>
          </cell>
          <cell r="S290" t="str">
            <v>V.ce lucida</v>
          </cell>
          <cell r="T290" t="str">
            <v>Esistente</v>
          </cell>
          <cell r="U290" t="str">
            <v>Esistente</v>
          </cell>
          <cell r="V290" t="str">
            <v>NO</v>
          </cell>
          <cell r="W290" t="str">
            <v>NO</v>
          </cell>
        </row>
        <row r="291">
          <cell r="A291">
            <v>202207960</v>
          </cell>
          <cell r="B291" t="str">
            <v>R</v>
          </cell>
          <cell r="C291" t="str">
            <v>x</v>
          </cell>
          <cell r="D291" t="str">
            <v>Nero Nobile</v>
          </cell>
          <cell r="E291" t="str">
            <v>Astucci FS0383</v>
          </cell>
          <cell r="F291" t="str">
            <v>PAM</v>
          </cell>
          <cell r="G291">
            <v>724</v>
          </cell>
          <cell r="H291">
            <v>44845</v>
          </cell>
          <cell r="I291"/>
          <cell r="J291">
            <v>102000</v>
          </cell>
          <cell r="K291" t="str">
            <v>17.000 fogli</v>
          </cell>
          <cell r="L291">
            <v>1</v>
          </cell>
          <cell r="M291">
            <v>44874</v>
          </cell>
          <cell r="N291"/>
          <cell r="O291" t="str">
            <v>CR0186</v>
          </cell>
          <cell r="P291" t="str">
            <v>GC2 270 72x75</v>
          </cell>
          <cell r="Q291" t="str">
            <v>NO</v>
          </cell>
          <cell r="R291" t="str">
            <v>5P</v>
          </cell>
          <cell r="S291" t="str">
            <v>UV + UV</v>
          </cell>
          <cell r="T291" t="str">
            <v>Esistente</v>
          </cell>
          <cell r="U291" t="str">
            <v>Esistente</v>
          </cell>
          <cell r="V291" t="str">
            <v>SI</v>
          </cell>
          <cell r="W291" t="str">
            <v>NO</v>
          </cell>
        </row>
        <row r="292">
          <cell r="A292">
            <v>202207937</v>
          </cell>
          <cell r="B292" t="str">
            <v>N</v>
          </cell>
          <cell r="C292" t="str">
            <v>x</v>
          </cell>
          <cell r="D292" t="str">
            <v>Nero Nobile</v>
          </cell>
          <cell r="E292" t="str">
            <v>Astucci FS0380 Il caffè italiano</v>
          </cell>
          <cell r="F292" t="str">
            <v>Il caffè Italiano</v>
          </cell>
          <cell r="G292">
            <v>760</v>
          </cell>
          <cell r="H292">
            <v>44859</v>
          </cell>
          <cell r="I292"/>
          <cell r="J292">
            <v>20000</v>
          </cell>
          <cell r="K292" t="str">
            <v>5.000 fogli</v>
          </cell>
          <cell r="L292">
            <v>1</v>
          </cell>
          <cell r="M292">
            <v>44875</v>
          </cell>
          <cell r="N292"/>
          <cell r="O292" t="str">
            <v>CR0109</v>
          </cell>
          <cell r="P292" t="str">
            <v>GC2 270 62x100,5</v>
          </cell>
          <cell r="Q292" t="str">
            <v>NO</v>
          </cell>
          <cell r="R292" t="str">
            <v>4Q + 1P</v>
          </cell>
          <cell r="S292" t="str">
            <v>V.ce opaca</v>
          </cell>
          <cell r="T292" t="str">
            <v>Esistente</v>
          </cell>
          <cell r="U292" t="str">
            <v>Esistente</v>
          </cell>
          <cell r="V292" t="str">
            <v>SI</v>
          </cell>
          <cell r="W292" t="str">
            <v>NO</v>
          </cell>
        </row>
        <row r="293">
          <cell r="A293">
            <v>202207888</v>
          </cell>
          <cell r="B293" t="str">
            <v>N</v>
          </cell>
          <cell r="C293" t="str">
            <v>X</v>
          </cell>
          <cell r="D293" t="str">
            <v>Panificio Metelli</v>
          </cell>
          <cell r="E293" t="str">
            <v>Scatole per Panettone</v>
          </cell>
          <cell r="F293"/>
          <cell r="G293">
            <v>245</v>
          </cell>
          <cell r="H293">
            <v>44838</v>
          </cell>
          <cell r="I293"/>
          <cell r="J293">
            <v>2000</v>
          </cell>
          <cell r="K293" t="str">
            <v>2.000 fogli</v>
          </cell>
          <cell r="L293">
            <v>1</v>
          </cell>
          <cell r="M293">
            <v>44875</v>
          </cell>
          <cell r="N293"/>
          <cell r="O293" t="str">
            <v>CR0168</v>
          </cell>
          <cell r="P293" t="str">
            <v>112 500</v>
          </cell>
          <cell r="Q293" t="str">
            <v>NO</v>
          </cell>
          <cell r="R293" t="str">
            <v>2P</v>
          </cell>
          <cell r="S293" t="str">
            <v>PO + SR</v>
          </cell>
          <cell r="T293" t="str">
            <v>Esistente</v>
          </cell>
          <cell r="U293" t="str">
            <v>Esistente</v>
          </cell>
          <cell r="V293" t="str">
            <v>SI</v>
          </cell>
          <cell r="W293" t="str">
            <v>NO</v>
          </cell>
        </row>
        <row r="294">
          <cell r="A294">
            <v>202207915</v>
          </cell>
          <cell r="B294" t="str">
            <v>R</v>
          </cell>
          <cell r="C294" t="str">
            <v>X</v>
          </cell>
          <cell r="D294" t="str">
            <v>Quaranta</v>
          </cell>
          <cell r="E294" t="str">
            <v>Astucci Florentine</v>
          </cell>
          <cell r="F294" t="str">
            <v>classico</v>
          </cell>
          <cell r="G294">
            <v>7832</v>
          </cell>
          <cell r="H294">
            <v>44847</v>
          </cell>
          <cell r="I294"/>
          <cell r="J294">
            <v>40000</v>
          </cell>
          <cell r="K294" t="str">
            <v>5.500 fogli</v>
          </cell>
          <cell r="L294">
            <v>1</v>
          </cell>
          <cell r="M294">
            <v>44875</v>
          </cell>
          <cell r="N294"/>
          <cell r="O294" t="str">
            <v>CR0192</v>
          </cell>
          <cell r="P294" t="str">
            <v>113 350</v>
          </cell>
          <cell r="Q294" t="str">
            <v>NO</v>
          </cell>
          <cell r="R294" t="str">
            <v>4Q</v>
          </cell>
          <cell r="S294" t="str">
            <v>V.ce High</v>
          </cell>
          <cell r="T294" t="str">
            <v>Esistente</v>
          </cell>
          <cell r="U294" t="str">
            <v>Esistente</v>
          </cell>
          <cell r="V294" t="str">
            <v>SI</v>
          </cell>
          <cell r="W294" t="str">
            <v>NO</v>
          </cell>
        </row>
        <row r="295">
          <cell r="A295">
            <v>202207943</v>
          </cell>
          <cell r="B295"/>
          <cell r="C295"/>
          <cell r="D295" t="str">
            <v>Quaranta</v>
          </cell>
          <cell r="E295" t="str">
            <v>Astucci Florentine</v>
          </cell>
          <cell r="F295" t="str">
            <v>AL HOMAIZI</v>
          </cell>
          <cell r="G295">
            <v>8044</v>
          </cell>
          <cell r="H295">
            <v>44860</v>
          </cell>
          <cell r="I295"/>
          <cell r="J295">
            <v>12000</v>
          </cell>
          <cell r="K295" t="str">
            <v>3.000 fogli</v>
          </cell>
          <cell r="L295">
            <v>1</v>
          </cell>
          <cell r="M295">
            <v>44875</v>
          </cell>
          <cell r="N295"/>
          <cell r="O295" t="str">
            <v>CR0192</v>
          </cell>
          <cell r="P295" t="str">
            <v>113 350</v>
          </cell>
          <cell r="Q295" t="str">
            <v>NO</v>
          </cell>
          <cell r="R295" t="str">
            <v>4Q</v>
          </cell>
          <cell r="S295" t="str">
            <v>V.ce High</v>
          </cell>
          <cell r="T295" t="str">
            <v>Esistente</v>
          </cell>
          <cell r="U295" t="str">
            <v>Esistente</v>
          </cell>
          <cell r="V295" t="str">
            <v>SI</v>
          </cell>
          <cell r="W295" t="str">
            <v>NO</v>
          </cell>
        </row>
        <row r="296">
          <cell r="A296">
            <v>202207928</v>
          </cell>
          <cell r="B296" t="str">
            <v>R</v>
          </cell>
          <cell r="C296" t="str">
            <v>X</v>
          </cell>
          <cell r="D296" t="str">
            <v>JBS</v>
          </cell>
          <cell r="E296" t="str">
            <v>Cavallotti Hype the Detail</v>
          </cell>
          <cell r="F296"/>
          <cell r="G296">
            <v>262</v>
          </cell>
          <cell r="H296">
            <v>44855</v>
          </cell>
          <cell r="I296"/>
          <cell r="J296">
            <v>6000</v>
          </cell>
          <cell r="K296" t="str">
            <v>840 fogli</v>
          </cell>
          <cell r="L296">
            <v>1</v>
          </cell>
          <cell r="M296">
            <v>44876</v>
          </cell>
          <cell r="N296"/>
          <cell r="O296" t="str">
            <v>cr0016</v>
          </cell>
          <cell r="P296" t="str">
            <v>GC1 250 72x102</v>
          </cell>
          <cell r="Q296" t="str">
            <v>SI</v>
          </cell>
          <cell r="R296" t="str">
            <v>2P</v>
          </cell>
          <cell r="S296" t="str">
            <v>V.ce lucida</v>
          </cell>
          <cell r="T296" t="str">
            <v>Esistente</v>
          </cell>
          <cell r="U296" t="str">
            <v>Esistente</v>
          </cell>
          <cell r="V296" t="str">
            <v>Si</v>
          </cell>
          <cell r="W296" t="str">
            <v>NO</v>
          </cell>
        </row>
        <row r="297">
          <cell r="A297">
            <v>202207924</v>
          </cell>
          <cell r="B297" t="str">
            <v>R</v>
          </cell>
          <cell r="C297" t="str">
            <v>X</v>
          </cell>
          <cell r="D297" t="str">
            <v>RCM</v>
          </cell>
          <cell r="E297" t="str">
            <v>Astucci Absulute 57</v>
          </cell>
          <cell r="F297" t="str">
            <v>ast 57</v>
          </cell>
          <cell r="G297" t="str">
            <v>397/N</v>
          </cell>
          <cell r="H297">
            <v>44851</v>
          </cell>
          <cell r="I297"/>
          <cell r="J297">
            <v>50000</v>
          </cell>
          <cell r="K297" t="str">
            <v>5.000 fogli</v>
          </cell>
          <cell r="L297">
            <v>1</v>
          </cell>
          <cell r="M297">
            <v>44879</v>
          </cell>
          <cell r="N297"/>
          <cell r="O297"/>
          <cell r="P297" t="str">
            <v>GC1 300</v>
          </cell>
          <cell r="Q297" t="str">
            <v>NO</v>
          </cell>
          <cell r="R297" t="str">
            <v>2P</v>
          </cell>
          <cell r="S297" t="str">
            <v>PO</v>
          </cell>
          <cell r="T297" t="str">
            <v>Esistente</v>
          </cell>
          <cell r="U297" t="str">
            <v>Esistente</v>
          </cell>
          <cell r="V297" t="str">
            <v>SI</v>
          </cell>
          <cell r="W297" t="str">
            <v>NO</v>
          </cell>
        </row>
        <row r="298">
          <cell r="A298">
            <v>202207925</v>
          </cell>
          <cell r="B298" t="str">
            <v>R</v>
          </cell>
          <cell r="C298"/>
          <cell r="D298" t="str">
            <v>RCM</v>
          </cell>
          <cell r="E298" t="str">
            <v>Interni Absulute 57</v>
          </cell>
          <cell r="F298" t="str">
            <v>Int 57</v>
          </cell>
          <cell r="G298" t="str">
            <v>397/N</v>
          </cell>
          <cell r="H298">
            <v>44851</v>
          </cell>
          <cell r="I298"/>
          <cell r="J298">
            <v>50000</v>
          </cell>
          <cell r="K298" t="str">
            <v>5.000 fogli</v>
          </cell>
          <cell r="L298">
            <v>1</v>
          </cell>
          <cell r="M298">
            <v>44879</v>
          </cell>
          <cell r="N298"/>
          <cell r="O298" t="str">
            <v>CR0108</v>
          </cell>
          <cell r="P298" t="str">
            <v>NEP NEP</v>
          </cell>
          <cell r="Q298" t="str">
            <v>NO</v>
          </cell>
          <cell r="R298" t="str">
            <v>-</v>
          </cell>
          <cell r="S298" t="str">
            <v>-</v>
          </cell>
          <cell r="T298" t="str">
            <v>-</v>
          </cell>
          <cell r="U298" t="str">
            <v>Esistente</v>
          </cell>
          <cell r="V298" t="str">
            <v>SI</v>
          </cell>
          <cell r="W298" t="str">
            <v>NO</v>
          </cell>
        </row>
        <row r="299">
          <cell r="A299">
            <v>202207957</v>
          </cell>
          <cell r="B299" t="str">
            <v>R</v>
          </cell>
          <cell r="C299" t="str">
            <v>x</v>
          </cell>
          <cell r="D299" t="str">
            <v>Nero Nobile</v>
          </cell>
          <cell r="E299" t="str">
            <v>Astucci FS0380</v>
          </cell>
          <cell r="F299" t="str">
            <v>Nero Nobile</v>
          </cell>
          <cell r="G299">
            <v>784</v>
          </cell>
          <cell r="H299">
            <v>44867</v>
          </cell>
          <cell r="I299"/>
          <cell r="J299">
            <v>32000</v>
          </cell>
          <cell r="K299" t="str">
            <v>8.000 fogli</v>
          </cell>
          <cell r="L299">
            <v>1</v>
          </cell>
          <cell r="M299">
            <v>44879</v>
          </cell>
          <cell r="N299"/>
          <cell r="O299" t="str">
            <v>CR0109</v>
          </cell>
          <cell r="P299" t="str">
            <v>GC2 270 62x100,5</v>
          </cell>
          <cell r="Q299" t="str">
            <v>NO</v>
          </cell>
          <cell r="R299" t="str">
            <v>4Q + 1P</v>
          </cell>
          <cell r="S299" t="str">
            <v>Drip + UV</v>
          </cell>
          <cell r="T299" t="str">
            <v>Esistente</v>
          </cell>
          <cell r="U299" t="str">
            <v>Esistente</v>
          </cell>
          <cell r="V299" t="str">
            <v>SI</v>
          </cell>
          <cell r="W299" t="str">
            <v>NO</v>
          </cell>
        </row>
        <row r="300">
          <cell r="A300">
            <v>202207958</v>
          </cell>
          <cell r="B300" t="str">
            <v>R</v>
          </cell>
          <cell r="C300" t="str">
            <v>X</v>
          </cell>
          <cell r="D300" t="str">
            <v>Nero Nobile</v>
          </cell>
          <cell r="E300" t="str">
            <v>Astucci FS0383</v>
          </cell>
          <cell r="F300" t="str">
            <v>Cadoro</v>
          </cell>
          <cell r="G300">
            <v>783</v>
          </cell>
          <cell r="H300">
            <v>44867</v>
          </cell>
          <cell r="I300"/>
          <cell r="J300">
            <v>24000</v>
          </cell>
          <cell r="K300" t="str">
            <v>4.000 fogli</v>
          </cell>
          <cell r="L300">
            <v>1</v>
          </cell>
          <cell r="M300">
            <v>44879</v>
          </cell>
          <cell r="N300"/>
          <cell r="O300" t="str">
            <v>CR0186</v>
          </cell>
          <cell r="P300" t="str">
            <v>GC2 270 72x75</v>
          </cell>
          <cell r="Q300" t="str">
            <v>NO</v>
          </cell>
          <cell r="R300" t="str">
            <v>5P</v>
          </cell>
          <cell r="S300" t="str">
            <v>UV + UV</v>
          </cell>
          <cell r="T300" t="str">
            <v>Esistente</v>
          </cell>
          <cell r="U300" t="str">
            <v>Esistente</v>
          </cell>
          <cell r="V300" t="str">
            <v>SI</v>
          </cell>
          <cell r="W300" t="str">
            <v>NO</v>
          </cell>
        </row>
        <row r="301">
          <cell r="A301">
            <v>202207932</v>
          </cell>
          <cell r="B301" t="str">
            <v>R</v>
          </cell>
          <cell r="C301" t="str">
            <v>X</v>
          </cell>
          <cell r="D301" t="str">
            <v>Pantytex</v>
          </cell>
          <cell r="E301" t="str">
            <v>Astucci wibra gambaletti</v>
          </cell>
          <cell r="F301" t="str">
            <v>Gambaletti</v>
          </cell>
          <cell r="G301">
            <v>259</v>
          </cell>
          <cell r="H301">
            <v>44854</v>
          </cell>
          <cell r="I301"/>
          <cell r="J301">
            <v>82000</v>
          </cell>
          <cell r="K301" t="str">
            <v>16.400 fogli</v>
          </cell>
          <cell r="L301">
            <v>3</v>
          </cell>
          <cell r="M301">
            <v>44880</v>
          </cell>
          <cell r="N301"/>
          <cell r="O301" t="str">
            <v>CR0207</v>
          </cell>
          <cell r="P301" t="str">
            <v>112 400</v>
          </cell>
          <cell r="Q301" t="str">
            <v>NO</v>
          </cell>
          <cell r="R301" t="str">
            <v>4Q</v>
          </cell>
          <cell r="S301" t="str">
            <v>V.ce lucida</v>
          </cell>
          <cell r="T301" t="str">
            <v>Esistente</v>
          </cell>
          <cell r="U301" t="str">
            <v>Esistente</v>
          </cell>
          <cell r="V301" t="str">
            <v>SI</v>
          </cell>
          <cell r="W301" t="str">
            <v>NO</v>
          </cell>
        </row>
        <row r="302">
          <cell r="A302">
            <v>202207932</v>
          </cell>
          <cell r="B302" t="str">
            <v>R</v>
          </cell>
          <cell r="C302" t="str">
            <v>X</v>
          </cell>
          <cell r="D302" t="str">
            <v>Pantytex</v>
          </cell>
          <cell r="E302" t="str">
            <v>Astucci wibra</v>
          </cell>
          <cell r="F302" t="str">
            <v>Collant</v>
          </cell>
          <cell r="G302">
            <v>259</v>
          </cell>
          <cell r="H302">
            <v>44854</v>
          </cell>
          <cell r="I302"/>
          <cell r="J302">
            <v>65600</v>
          </cell>
          <cell r="K302" t="str">
            <v>16.400 fogli</v>
          </cell>
          <cell r="L302">
            <v>3</v>
          </cell>
          <cell r="M302">
            <v>44880</v>
          </cell>
          <cell r="N302"/>
          <cell r="O302" t="str">
            <v>CR0207</v>
          </cell>
          <cell r="P302" t="str">
            <v>112 400</v>
          </cell>
          <cell r="Q302" t="str">
            <v>NO</v>
          </cell>
          <cell r="R302" t="str">
            <v>4Q</v>
          </cell>
          <cell r="S302" t="str">
            <v>V.ce lucida</v>
          </cell>
          <cell r="T302" t="str">
            <v>Esistente</v>
          </cell>
          <cell r="U302" t="str">
            <v>Esistente</v>
          </cell>
          <cell r="V302" t="str">
            <v>SI</v>
          </cell>
          <cell r="W302" t="str">
            <v>NO</v>
          </cell>
        </row>
        <row r="303">
          <cell r="A303">
            <v>202207894</v>
          </cell>
          <cell r="B303" t="str">
            <v>N</v>
          </cell>
          <cell r="C303" t="str">
            <v>x</v>
          </cell>
          <cell r="D303" t="str">
            <v>Prontofoods</v>
          </cell>
          <cell r="E303" t="str">
            <v>Astucci Camomille</v>
          </cell>
          <cell r="F303" t="str">
            <v>Selex</v>
          </cell>
          <cell r="G303">
            <v>221924</v>
          </cell>
          <cell r="H303">
            <v>44841</v>
          </cell>
          <cell r="I303"/>
          <cell r="J303">
            <v>50000</v>
          </cell>
          <cell r="K303" t="str">
            <v>5.600 fogli</v>
          </cell>
          <cell r="L303">
            <v>1</v>
          </cell>
          <cell r="M303">
            <v>44880</v>
          </cell>
          <cell r="N303"/>
          <cell r="O303" t="str">
            <v>CR0004</v>
          </cell>
          <cell r="P303" t="str">
            <v>Tam 240 93,5x65,5</v>
          </cell>
          <cell r="Q303" t="str">
            <v>NO</v>
          </cell>
          <cell r="R303" t="str">
            <v>4Q + 1P</v>
          </cell>
          <cell r="S303" t="str">
            <v>V.ce lucida</v>
          </cell>
          <cell r="T303" t="str">
            <v>Esistente</v>
          </cell>
          <cell r="U303" t="str">
            <v>Esistente</v>
          </cell>
          <cell r="V303" t="str">
            <v>SI</v>
          </cell>
          <cell r="W303" t="str">
            <v>NO</v>
          </cell>
        </row>
        <row r="304">
          <cell r="A304">
            <v>202207894</v>
          </cell>
          <cell r="B304" t="str">
            <v>N</v>
          </cell>
          <cell r="C304" t="str">
            <v>x</v>
          </cell>
          <cell r="D304" t="str">
            <v>Prontofoods</v>
          </cell>
          <cell r="E304" t="str">
            <v>Astucci Camomille</v>
          </cell>
          <cell r="F304" t="str">
            <v>Consilia</v>
          </cell>
          <cell r="G304">
            <v>221924</v>
          </cell>
          <cell r="H304">
            <v>44841</v>
          </cell>
          <cell r="I304"/>
          <cell r="J304">
            <v>40000</v>
          </cell>
          <cell r="K304" t="str">
            <v>4.500 fogli</v>
          </cell>
          <cell r="L304">
            <v>1</v>
          </cell>
          <cell r="M304">
            <v>44880</v>
          </cell>
          <cell r="N304"/>
          <cell r="O304" t="str">
            <v>CR0004</v>
          </cell>
          <cell r="P304" t="str">
            <v>Tam 240 93,5x65,5</v>
          </cell>
          <cell r="Q304" t="str">
            <v>NO</v>
          </cell>
          <cell r="R304" t="str">
            <v>4Q + 1P</v>
          </cell>
          <cell r="S304" t="str">
            <v>V.ce lucida</v>
          </cell>
          <cell r="T304" t="str">
            <v>Esistente</v>
          </cell>
          <cell r="U304" t="str">
            <v>Esistente</v>
          </cell>
          <cell r="V304" t="str">
            <v>SI</v>
          </cell>
          <cell r="W304" t="str">
            <v>NO</v>
          </cell>
        </row>
        <row r="305">
          <cell r="A305">
            <v>202207894</v>
          </cell>
          <cell r="B305" t="str">
            <v>N</v>
          </cell>
          <cell r="C305" t="str">
            <v>x</v>
          </cell>
          <cell r="D305" t="str">
            <v>Prontofoods</v>
          </cell>
          <cell r="E305" t="str">
            <v>Astucci Camomille</v>
          </cell>
          <cell r="F305" t="str">
            <v>Sigma</v>
          </cell>
          <cell r="G305">
            <v>221924</v>
          </cell>
          <cell r="H305">
            <v>44841</v>
          </cell>
          <cell r="I305"/>
          <cell r="J305">
            <v>10000</v>
          </cell>
          <cell r="K305" t="str">
            <v>1.200 fogli</v>
          </cell>
          <cell r="L305">
            <v>1</v>
          </cell>
          <cell r="M305">
            <v>44880</v>
          </cell>
          <cell r="N305"/>
          <cell r="O305" t="str">
            <v>CR0004</v>
          </cell>
          <cell r="P305" t="str">
            <v>Tam 240 93,5x65,5</v>
          </cell>
          <cell r="Q305" t="str">
            <v>NO</v>
          </cell>
          <cell r="R305" t="str">
            <v>4Q + 1P</v>
          </cell>
          <cell r="S305" t="str">
            <v>V.ce lucida</v>
          </cell>
          <cell r="T305" t="str">
            <v>Esistente</v>
          </cell>
          <cell r="U305" t="str">
            <v>Esistente</v>
          </cell>
          <cell r="V305" t="str">
            <v>SI</v>
          </cell>
          <cell r="W305" t="str">
            <v>NO</v>
          </cell>
        </row>
        <row r="306">
          <cell r="A306">
            <v>202207894</v>
          </cell>
          <cell r="B306" t="str">
            <v>N</v>
          </cell>
          <cell r="C306" t="str">
            <v>x</v>
          </cell>
          <cell r="D306" t="str">
            <v>Prontofoods</v>
          </cell>
          <cell r="E306" t="str">
            <v>Astucci Camomille</v>
          </cell>
          <cell r="F306" t="str">
            <v>Sweet London</v>
          </cell>
          <cell r="G306">
            <v>221924</v>
          </cell>
          <cell r="H306">
            <v>44841</v>
          </cell>
          <cell r="I306"/>
          <cell r="J306">
            <v>50000</v>
          </cell>
          <cell r="K306" t="str">
            <v>5.600 fogli</v>
          </cell>
          <cell r="L306">
            <v>1</v>
          </cell>
          <cell r="M306">
            <v>44880</v>
          </cell>
          <cell r="N306"/>
          <cell r="O306" t="str">
            <v>CR0004</v>
          </cell>
          <cell r="P306" t="str">
            <v>Tam 240 93,5x65,5</v>
          </cell>
          <cell r="Q306" t="str">
            <v>NO</v>
          </cell>
          <cell r="R306" t="str">
            <v>4Q + 1P</v>
          </cell>
          <cell r="S306" t="str">
            <v>V.ce lucida</v>
          </cell>
          <cell r="T306" t="str">
            <v>Esistente</v>
          </cell>
          <cell r="U306" t="str">
            <v>Esistente</v>
          </cell>
          <cell r="V306" t="str">
            <v>SI</v>
          </cell>
          <cell r="W306" t="str">
            <v>NO</v>
          </cell>
        </row>
        <row r="307">
          <cell r="A307">
            <v>202207894</v>
          </cell>
          <cell r="B307" t="str">
            <v>R</v>
          </cell>
          <cell r="C307" t="str">
            <v>x</v>
          </cell>
          <cell r="D307" t="str">
            <v>Prontofoods</v>
          </cell>
          <cell r="E307" t="str">
            <v>Astucci Camomille</v>
          </cell>
          <cell r="F307" t="str">
            <v>Infiore</v>
          </cell>
          <cell r="G307">
            <v>221924</v>
          </cell>
          <cell r="H307">
            <v>44841</v>
          </cell>
          <cell r="I307"/>
          <cell r="J307">
            <v>40000</v>
          </cell>
          <cell r="K307" t="str">
            <v>4.500 fogli</v>
          </cell>
          <cell r="L307">
            <v>1</v>
          </cell>
          <cell r="M307">
            <v>44880</v>
          </cell>
          <cell r="N307"/>
          <cell r="O307" t="str">
            <v>CR0004</v>
          </cell>
          <cell r="P307" t="str">
            <v>Tam 240 93,5x65,5</v>
          </cell>
          <cell r="Q307" t="str">
            <v>NO</v>
          </cell>
          <cell r="R307" t="str">
            <v>4Q + 1P</v>
          </cell>
          <cell r="S307" t="str">
            <v>V.ce lucida</v>
          </cell>
          <cell r="T307" t="str">
            <v>Esistente</v>
          </cell>
          <cell r="U307" t="str">
            <v>Esistente</v>
          </cell>
          <cell r="V307" t="str">
            <v>SI</v>
          </cell>
          <cell r="W307" t="str">
            <v>NO</v>
          </cell>
        </row>
        <row r="308">
          <cell r="A308">
            <v>202207894</v>
          </cell>
          <cell r="B308" t="str">
            <v>N</v>
          </cell>
          <cell r="C308" t="str">
            <v>x</v>
          </cell>
          <cell r="D308" t="str">
            <v>Prontofoods</v>
          </cell>
          <cell r="E308" t="str">
            <v>Astucci Camomille</v>
          </cell>
          <cell r="F308" t="str">
            <v>Selezione pIù Melatonina</v>
          </cell>
          <cell r="G308">
            <v>221924</v>
          </cell>
          <cell r="H308">
            <v>44841</v>
          </cell>
          <cell r="I308"/>
          <cell r="J308">
            <v>55000</v>
          </cell>
          <cell r="K308" t="str">
            <v>6.000 fogli</v>
          </cell>
          <cell r="L308">
            <v>1</v>
          </cell>
          <cell r="M308">
            <v>44880</v>
          </cell>
          <cell r="N308"/>
          <cell r="O308" t="str">
            <v>CR0004</v>
          </cell>
          <cell r="P308" t="str">
            <v>Tam 240 93,5x65,5</v>
          </cell>
          <cell r="Q308" t="str">
            <v>NO</v>
          </cell>
          <cell r="R308" t="str">
            <v>4Q + 1P</v>
          </cell>
          <cell r="S308" t="str">
            <v>V.ce lucida</v>
          </cell>
          <cell r="T308" t="str">
            <v>Esistente</v>
          </cell>
          <cell r="U308" t="str">
            <v>Esistente</v>
          </cell>
          <cell r="V308" t="str">
            <v>SI</v>
          </cell>
          <cell r="W308" t="str">
            <v>NO</v>
          </cell>
        </row>
        <row r="309">
          <cell r="A309">
            <v>202207894</v>
          </cell>
          <cell r="B309" t="str">
            <v>N</v>
          </cell>
          <cell r="C309" t="str">
            <v>x</v>
          </cell>
          <cell r="D309" t="str">
            <v>Prontofoods</v>
          </cell>
          <cell r="E309" t="str">
            <v>Astucci Camomille</v>
          </cell>
          <cell r="F309" t="str">
            <v>Coal</v>
          </cell>
          <cell r="G309">
            <v>221924</v>
          </cell>
          <cell r="H309">
            <v>44841</v>
          </cell>
          <cell r="I309"/>
          <cell r="J309">
            <v>10000</v>
          </cell>
          <cell r="K309" t="str">
            <v>1.200 fogli</v>
          </cell>
          <cell r="L309">
            <v>1</v>
          </cell>
          <cell r="M309">
            <v>44880</v>
          </cell>
          <cell r="N309"/>
          <cell r="O309" t="str">
            <v>CR0004</v>
          </cell>
          <cell r="P309" t="str">
            <v>Tam 240 93,5x65,5</v>
          </cell>
          <cell r="Q309" t="str">
            <v>NO</v>
          </cell>
          <cell r="R309" t="str">
            <v>4Q + 1P</v>
          </cell>
          <cell r="S309" t="str">
            <v>V.ce lucida</v>
          </cell>
          <cell r="T309" t="str">
            <v>Esistente</v>
          </cell>
          <cell r="U309" t="str">
            <v>Esistente</v>
          </cell>
          <cell r="V309" t="str">
            <v>SI</v>
          </cell>
          <cell r="W309" t="str">
            <v>NO</v>
          </cell>
        </row>
        <row r="310">
          <cell r="A310">
            <v>202207894</v>
          </cell>
          <cell r="B310" t="str">
            <v>N</v>
          </cell>
          <cell r="C310" t="str">
            <v>x</v>
          </cell>
          <cell r="D310" t="str">
            <v>Prontofoods</v>
          </cell>
          <cell r="E310" t="str">
            <v>Astucci Camomille</v>
          </cell>
          <cell r="F310" t="str">
            <v>Despar</v>
          </cell>
          <cell r="G310">
            <v>221924</v>
          </cell>
          <cell r="H310">
            <v>44841</v>
          </cell>
          <cell r="I310"/>
          <cell r="J310">
            <v>30000</v>
          </cell>
          <cell r="K310" t="str">
            <v>3.400 fogli</v>
          </cell>
          <cell r="L310">
            <v>1</v>
          </cell>
          <cell r="M310">
            <v>44880</v>
          </cell>
          <cell r="N310"/>
          <cell r="O310" t="str">
            <v>CR0004</v>
          </cell>
          <cell r="P310" t="str">
            <v>Tam 240 93,5x65,5</v>
          </cell>
          <cell r="Q310" t="str">
            <v>NO</v>
          </cell>
          <cell r="R310" t="str">
            <v>4Q + 1P</v>
          </cell>
          <cell r="S310" t="str">
            <v>V.ce lucida</v>
          </cell>
          <cell r="T310" t="str">
            <v>Esistente</v>
          </cell>
          <cell r="U310" t="str">
            <v>Esistente</v>
          </cell>
          <cell r="V310" t="str">
            <v>SI</v>
          </cell>
          <cell r="W310" t="str">
            <v>NO</v>
          </cell>
        </row>
        <row r="311">
          <cell r="A311">
            <v>202207964</v>
          </cell>
          <cell r="B311" t="str">
            <v>R</v>
          </cell>
          <cell r="C311" t="str">
            <v>X</v>
          </cell>
          <cell r="D311" t="str">
            <v>Valledoro</v>
          </cell>
          <cell r="E311" t="str">
            <v>Astucci Zulu</v>
          </cell>
          <cell r="F311"/>
          <cell r="G311" t="str">
            <v>-</v>
          </cell>
          <cell r="H311">
            <v>44872</v>
          </cell>
          <cell r="I311"/>
          <cell r="J311">
            <v>45000</v>
          </cell>
          <cell r="K311" t="str">
            <v>7.500 fogli</v>
          </cell>
          <cell r="L311">
            <v>1</v>
          </cell>
          <cell r="M311">
            <v>44880</v>
          </cell>
          <cell r="N311"/>
          <cell r="O311" t="str">
            <v>CR028</v>
          </cell>
          <cell r="P311" t="str">
            <v>GC2 255 65x86</v>
          </cell>
          <cell r="Q311" t="str">
            <v>NO</v>
          </cell>
          <cell r="R311" t="str">
            <v>4Q</v>
          </cell>
          <cell r="S311" t="str">
            <v>UV</v>
          </cell>
          <cell r="T311" t="str">
            <v>Esistente</v>
          </cell>
          <cell r="U311" t="str">
            <v>Esistente</v>
          </cell>
          <cell r="V311" t="str">
            <v>NO</v>
          </cell>
          <cell r="W311" t="str">
            <v>NO</v>
          </cell>
        </row>
        <row r="312">
          <cell r="A312">
            <v>202207882</v>
          </cell>
          <cell r="B312" t="str">
            <v>R</v>
          </cell>
          <cell r="C312" t="str">
            <v>x</v>
          </cell>
          <cell r="D312" t="str">
            <v>Pasta Lensi</v>
          </cell>
          <cell r="E312" t="str">
            <v>Astucci Evanoff Tortiglioni</v>
          </cell>
          <cell r="F312"/>
          <cell r="G312">
            <v>50252</v>
          </cell>
          <cell r="H312">
            <v>44839</v>
          </cell>
          <cell r="I312"/>
          <cell r="J312">
            <v>60000</v>
          </cell>
          <cell r="K312" t="str">
            <v>15.000 fogli</v>
          </cell>
          <cell r="L312">
            <v>1</v>
          </cell>
          <cell r="M312">
            <v>44881</v>
          </cell>
          <cell r="N312"/>
          <cell r="O312" t="str">
            <v>CR0184</v>
          </cell>
          <cell r="P312" t="str">
            <v>GC2 270</v>
          </cell>
          <cell r="Q312" t="str">
            <v>NO</v>
          </cell>
          <cell r="R312" t="str">
            <v>4Q</v>
          </cell>
          <cell r="S312" t="str">
            <v>V.ce lucida</v>
          </cell>
          <cell r="T312" t="str">
            <v>Esistente</v>
          </cell>
          <cell r="U312" t="str">
            <v>Esistente</v>
          </cell>
          <cell r="V312" t="str">
            <v>NO</v>
          </cell>
          <cell r="W312" t="str">
            <v>SI</v>
          </cell>
        </row>
        <row r="313">
          <cell r="A313">
            <v>202207959</v>
          </cell>
          <cell r="B313" t="str">
            <v>R</v>
          </cell>
          <cell r="C313" t="str">
            <v>x</v>
          </cell>
          <cell r="D313" t="str">
            <v>Nero Nobile</v>
          </cell>
          <cell r="E313" t="str">
            <v>Astucci FS0380</v>
          </cell>
          <cell r="F313" t="str">
            <v>PAM</v>
          </cell>
          <cell r="G313">
            <v>785</v>
          </cell>
          <cell r="H313">
            <v>44868</v>
          </cell>
          <cell r="I313"/>
          <cell r="J313">
            <v>108000</v>
          </cell>
          <cell r="K313" t="str">
            <v>26.000 fogli</v>
          </cell>
          <cell r="L313">
            <v>2</v>
          </cell>
          <cell r="M313">
            <v>44882</v>
          </cell>
          <cell r="N313"/>
          <cell r="O313" t="str">
            <v>CR0109</v>
          </cell>
          <cell r="P313" t="str">
            <v>GC2 270 62x100,5</v>
          </cell>
          <cell r="Q313" t="str">
            <v>NO</v>
          </cell>
          <cell r="R313" t="str">
            <v>4Q + 1P</v>
          </cell>
          <cell r="S313" t="str">
            <v>Drip + UV</v>
          </cell>
          <cell r="T313" t="str">
            <v>Esistente</v>
          </cell>
          <cell r="U313" t="str">
            <v>Esistente</v>
          </cell>
          <cell r="V313" t="str">
            <v>SI</v>
          </cell>
          <cell r="W313" t="str">
            <v>NO</v>
          </cell>
        </row>
        <row r="314">
          <cell r="A314">
            <v>202207929</v>
          </cell>
          <cell r="B314" t="str">
            <v>R</v>
          </cell>
          <cell r="C314" t="str">
            <v>X</v>
          </cell>
          <cell r="D314" t="str">
            <v>Westwood</v>
          </cell>
          <cell r="E314" t="str">
            <v>Cravatte Westwood</v>
          </cell>
          <cell r="F314"/>
          <cell r="G314">
            <v>3282</v>
          </cell>
          <cell r="H314">
            <v>44854</v>
          </cell>
          <cell r="I314"/>
          <cell r="J314">
            <v>12000</v>
          </cell>
          <cell r="K314" t="str">
            <v>3.000 fogli</v>
          </cell>
          <cell r="L314">
            <v>1</v>
          </cell>
          <cell r="M314">
            <v>44883</v>
          </cell>
          <cell r="N314"/>
          <cell r="O314" t="str">
            <v>CR0202</v>
          </cell>
          <cell r="P314" t="str">
            <v>FAV 380 71x101</v>
          </cell>
          <cell r="Q314" t="str">
            <v>SI</v>
          </cell>
          <cell r="R314" t="str">
            <v>-</v>
          </cell>
          <cell r="S314" t="str">
            <v>-</v>
          </cell>
          <cell r="T314" t="str">
            <v>-</v>
          </cell>
          <cell r="U314" t="str">
            <v>Esistente</v>
          </cell>
          <cell r="V314" t="str">
            <v>SI</v>
          </cell>
          <cell r="W314" t="str">
            <v>NO</v>
          </cell>
        </row>
        <row r="315">
          <cell r="A315">
            <v>202207934</v>
          </cell>
          <cell r="B315" t="str">
            <v>N</v>
          </cell>
          <cell r="C315" t="str">
            <v>X</v>
          </cell>
          <cell r="D315" t="str">
            <v>Westwood</v>
          </cell>
          <cell r="E315" t="str">
            <v>Cartelle colori Westwood</v>
          </cell>
          <cell r="F315"/>
          <cell r="G315">
            <v>261</v>
          </cell>
          <cell r="H315">
            <v>44854</v>
          </cell>
          <cell r="I315"/>
          <cell r="J315">
            <v>1500</v>
          </cell>
          <cell r="K315" t="str">
            <v>375 fogli</v>
          </cell>
          <cell r="L315">
            <v>1</v>
          </cell>
          <cell r="M315">
            <v>44883</v>
          </cell>
          <cell r="N315"/>
          <cell r="O315" t="str">
            <v>CR0202</v>
          </cell>
          <cell r="P315" t="str">
            <v>FAV 380 71x101</v>
          </cell>
          <cell r="Q315" t="str">
            <v>SI</v>
          </cell>
          <cell r="R315" t="str">
            <v>-</v>
          </cell>
          <cell r="S315" t="str">
            <v>-</v>
          </cell>
          <cell r="T315" t="str">
            <v>-</v>
          </cell>
          <cell r="U315" t="str">
            <v>Esistente</v>
          </cell>
          <cell r="V315" t="str">
            <v>SI</v>
          </cell>
          <cell r="W315" t="str">
            <v>NO</v>
          </cell>
        </row>
        <row r="316">
          <cell r="A316">
            <v>202207953</v>
          </cell>
          <cell r="B316" t="str">
            <v>N</v>
          </cell>
          <cell r="C316" t="str">
            <v>X</v>
          </cell>
          <cell r="D316" t="str">
            <v>JBS</v>
          </cell>
          <cell r="E316" t="str">
            <v>Buste Vrs Abbinate</v>
          </cell>
          <cell r="F316"/>
          <cell r="G316">
            <v>267</v>
          </cell>
          <cell r="H316">
            <v>44861</v>
          </cell>
          <cell r="I316"/>
          <cell r="J316">
            <v>6400</v>
          </cell>
          <cell r="K316" t="str">
            <v>3.000 fogli</v>
          </cell>
          <cell r="L316">
            <v>1</v>
          </cell>
          <cell r="M316">
            <v>44883</v>
          </cell>
          <cell r="N316"/>
          <cell r="O316" t="str">
            <v>CR0016</v>
          </cell>
          <cell r="P316" t="str">
            <v>GC1 250 72x102</v>
          </cell>
          <cell r="Q316" t="str">
            <v>SI</v>
          </cell>
          <cell r="R316" t="str">
            <v>4Q + 1P</v>
          </cell>
          <cell r="S316" t="str">
            <v>Vc.e + SR</v>
          </cell>
          <cell r="T316" t="str">
            <v xml:space="preserve">Nuovo </v>
          </cell>
          <cell r="U316" t="str">
            <v>Nuova</v>
          </cell>
          <cell r="V316" t="str">
            <v>NO</v>
          </cell>
          <cell r="W316" t="str">
            <v>NO</v>
          </cell>
        </row>
        <row r="317">
          <cell r="A317">
            <v>202207954</v>
          </cell>
          <cell r="B317" t="str">
            <v>N</v>
          </cell>
          <cell r="C317" t="str">
            <v>X</v>
          </cell>
          <cell r="D317" t="str">
            <v>JBS</v>
          </cell>
          <cell r="E317" t="str">
            <v>Buste Vrs Abbinate</v>
          </cell>
          <cell r="F317"/>
          <cell r="G317">
            <v>269</v>
          </cell>
          <cell r="H317">
            <v>44861</v>
          </cell>
          <cell r="I317"/>
          <cell r="J317">
            <v>3200</v>
          </cell>
          <cell r="K317" t="str">
            <v>3.000 fogli</v>
          </cell>
          <cell r="L317">
            <v>1</v>
          </cell>
          <cell r="M317">
            <v>44883</v>
          </cell>
          <cell r="N317"/>
          <cell r="O317" t="str">
            <v>CR0016</v>
          </cell>
          <cell r="P317" t="str">
            <v>GC1 250 72x102</v>
          </cell>
          <cell r="Q317" t="str">
            <v>SI</v>
          </cell>
          <cell r="R317" t="str">
            <v>4Q + 1P</v>
          </cell>
          <cell r="S317" t="str">
            <v>Vc.e + SR</v>
          </cell>
          <cell r="T317" t="str">
            <v xml:space="preserve">Nuovo </v>
          </cell>
          <cell r="U317" t="str">
            <v>Nuova</v>
          </cell>
          <cell r="V317" t="str">
            <v>NO</v>
          </cell>
          <cell r="W317" t="str">
            <v>NO</v>
          </cell>
        </row>
        <row r="318">
          <cell r="A318">
            <v>202207955</v>
          </cell>
          <cell r="B318" t="str">
            <v>N</v>
          </cell>
          <cell r="C318" t="str">
            <v>X</v>
          </cell>
          <cell r="D318" t="str">
            <v>JBS</v>
          </cell>
          <cell r="E318" t="str">
            <v>Buste Vrs Abbinate</v>
          </cell>
          <cell r="F318"/>
          <cell r="G318">
            <v>268</v>
          </cell>
          <cell r="H318">
            <v>44861</v>
          </cell>
          <cell r="I318"/>
          <cell r="J318">
            <v>6400</v>
          </cell>
          <cell r="K318" t="str">
            <v>3.000 fogli</v>
          </cell>
          <cell r="L318">
            <v>1</v>
          </cell>
          <cell r="M318">
            <v>44883</v>
          </cell>
          <cell r="N318"/>
          <cell r="O318" t="str">
            <v>CR0016</v>
          </cell>
          <cell r="P318" t="str">
            <v>GC1 250 72x102</v>
          </cell>
          <cell r="Q318" t="str">
            <v>SI</v>
          </cell>
          <cell r="R318" t="str">
            <v>4Q + 1P</v>
          </cell>
          <cell r="S318" t="str">
            <v>Vc.e + SR</v>
          </cell>
          <cell r="T318" t="str">
            <v xml:space="preserve">Nuovo </v>
          </cell>
          <cell r="U318" t="str">
            <v>Nuova</v>
          </cell>
          <cell r="V318" t="str">
            <v>NO</v>
          </cell>
          <cell r="W318" t="str">
            <v>NO</v>
          </cell>
        </row>
        <row r="319">
          <cell r="A319">
            <v>202207968</v>
          </cell>
          <cell r="B319" t="str">
            <v>N</v>
          </cell>
          <cell r="C319"/>
          <cell r="D319" t="str">
            <v>Revenge</v>
          </cell>
          <cell r="E319" t="str">
            <v>Cavallotti Pool Kis</v>
          </cell>
          <cell r="F319"/>
          <cell r="G319">
            <v>274</v>
          </cell>
          <cell r="H319">
            <v>44875</v>
          </cell>
          <cell r="I319"/>
          <cell r="J319">
            <v>25000</v>
          </cell>
          <cell r="K319" t="str">
            <v>3.125 fogli</v>
          </cell>
          <cell r="L319">
            <v>1</v>
          </cell>
          <cell r="M319">
            <v>44883</v>
          </cell>
          <cell r="N319"/>
          <cell r="O319" t="str">
            <v>CR0060</v>
          </cell>
          <cell r="P319" t="str">
            <v>GC1 295 72x102</v>
          </cell>
          <cell r="Q319" t="str">
            <v>NO</v>
          </cell>
          <cell r="R319" t="str">
            <v>4Q</v>
          </cell>
          <cell r="S319" t="str">
            <v>Drip</v>
          </cell>
          <cell r="T319" t="str">
            <v>Esistente</v>
          </cell>
          <cell r="U319" t="str">
            <v>Esistente</v>
          </cell>
          <cell r="V319" t="str">
            <v>SI</v>
          </cell>
          <cell r="W319" t="str">
            <v>NO</v>
          </cell>
        </row>
        <row r="320">
          <cell r="A320">
            <v>202207969</v>
          </cell>
          <cell r="B320" t="str">
            <v>R</v>
          </cell>
          <cell r="C320"/>
          <cell r="D320" t="str">
            <v>Revenge</v>
          </cell>
          <cell r="E320" t="str">
            <v>Cavallotti Classic</v>
          </cell>
          <cell r="F320" t="str">
            <v>Dechatlon</v>
          </cell>
          <cell r="G320">
            <v>274</v>
          </cell>
          <cell r="H320">
            <v>44875</v>
          </cell>
          <cell r="I320"/>
          <cell r="J320">
            <v>10000</v>
          </cell>
          <cell r="K320" t="str">
            <v>1.250 fogli</v>
          </cell>
          <cell r="L320">
            <v>1</v>
          </cell>
          <cell r="M320">
            <v>44883</v>
          </cell>
          <cell r="N320"/>
          <cell r="O320" t="str">
            <v>CR0060</v>
          </cell>
          <cell r="P320" t="str">
            <v>GC1 295 72x102</v>
          </cell>
          <cell r="Q320" t="str">
            <v>NO</v>
          </cell>
          <cell r="R320" t="str">
            <v>4Q</v>
          </cell>
          <cell r="S320" t="str">
            <v>Drip</v>
          </cell>
          <cell r="T320" t="str">
            <v>Esistente</v>
          </cell>
          <cell r="U320" t="str">
            <v>Esistente</v>
          </cell>
          <cell r="V320" t="str">
            <v>SI</v>
          </cell>
          <cell r="W320" t="str">
            <v>NO</v>
          </cell>
        </row>
        <row r="321">
          <cell r="A321">
            <v>202207965</v>
          </cell>
          <cell r="B321" t="str">
            <v>N</v>
          </cell>
          <cell r="C321" t="str">
            <v>X</v>
          </cell>
          <cell r="D321" t="str">
            <v>Edo</v>
          </cell>
          <cell r="E321" t="str">
            <v>Astucci 6 Ghiaccioli</v>
          </cell>
          <cell r="F321" t="str">
            <v>Ica</v>
          </cell>
          <cell r="G321">
            <v>951</v>
          </cell>
          <cell r="H321">
            <v>44872</v>
          </cell>
          <cell r="I321"/>
          <cell r="J321">
            <v>51000</v>
          </cell>
          <cell r="K321" t="str">
            <v>12.750 fogli</v>
          </cell>
          <cell r="L321">
            <v>1</v>
          </cell>
          <cell r="M321">
            <v>44885</v>
          </cell>
          <cell r="N321"/>
          <cell r="O321" t="str">
            <v>CR0216</v>
          </cell>
          <cell r="P321" t="str">
            <v>Ka 320 65,5x101</v>
          </cell>
          <cell r="Q321" t="str">
            <v>NO</v>
          </cell>
          <cell r="R321" t="str">
            <v>4Q</v>
          </cell>
          <cell r="S321" t="str">
            <v>V.ce lucida</v>
          </cell>
          <cell r="T321" t="str">
            <v>Esistente</v>
          </cell>
          <cell r="U321" t="str">
            <v>Esistente</v>
          </cell>
          <cell r="V321" t="str">
            <v>SI</v>
          </cell>
          <cell r="W321" t="str">
            <v>NO</v>
          </cell>
        </row>
        <row r="322">
          <cell r="A322">
            <v>202207938</v>
          </cell>
          <cell r="B322" t="str">
            <v>N</v>
          </cell>
          <cell r="C322" t="str">
            <v>X</v>
          </cell>
          <cell r="D322" t="str">
            <v>Nero Nobile</v>
          </cell>
          <cell r="E322" t="str">
            <v>Astucci FS0380 Corcovado</v>
          </cell>
          <cell r="F322" t="str">
            <v>Corcovado</v>
          </cell>
          <cell r="G322">
            <v>772</v>
          </cell>
          <cell r="H322">
            <v>44886</v>
          </cell>
          <cell r="I322"/>
          <cell r="J322">
            <v>12000</v>
          </cell>
          <cell r="K322" t="str">
            <v>3.000 fogli</v>
          </cell>
          <cell r="L322">
            <v>1</v>
          </cell>
          <cell r="M322">
            <v>44886</v>
          </cell>
          <cell r="N322"/>
          <cell r="O322" t="str">
            <v>CR0109</v>
          </cell>
          <cell r="P322" t="str">
            <v>GC2 270 62x100,5</v>
          </cell>
          <cell r="Q322" t="str">
            <v>NO</v>
          </cell>
          <cell r="R322" t="str">
            <v>4Q + 1P</v>
          </cell>
          <cell r="S322" t="str">
            <v>V.ce opaca</v>
          </cell>
          <cell r="T322" t="str">
            <v>Esistente</v>
          </cell>
          <cell r="U322" t="str">
            <v>Esistente</v>
          </cell>
          <cell r="V322" t="str">
            <v>SI</v>
          </cell>
          <cell r="W322" t="str">
            <v>NO</v>
          </cell>
        </row>
        <row r="323">
          <cell r="A323">
            <v>202207923</v>
          </cell>
          <cell r="B323" t="str">
            <v>N</v>
          </cell>
          <cell r="C323" t="str">
            <v>x</v>
          </cell>
          <cell r="D323" t="str">
            <v>Quaranta</v>
          </cell>
          <cell r="E323" t="str">
            <v>Astucci 1/2 taglio Rovescio</v>
          </cell>
          <cell r="F323">
            <v>11710</v>
          </cell>
          <cell r="G323">
            <v>7893</v>
          </cell>
          <cell r="H323">
            <v>44851</v>
          </cell>
          <cell r="I323"/>
          <cell r="J323">
            <v>120000</v>
          </cell>
          <cell r="K323" t="str">
            <v>20.000 fogli</v>
          </cell>
          <cell r="L323">
            <v>1</v>
          </cell>
          <cell r="M323">
            <v>44886</v>
          </cell>
          <cell r="N323"/>
          <cell r="O323"/>
          <cell r="P323" t="str">
            <v>GC1 290</v>
          </cell>
          <cell r="Q323" t="str">
            <v>NO</v>
          </cell>
          <cell r="R323" t="str">
            <v>4Q + 2P</v>
          </cell>
          <cell r="S323" t="str">
            <v>V.ce opaca</v>
          </cell>
          <cell r="T323" t="str">
            <v>Esistente</v>
          </cell>
          <cell r="U323" t="str">
            <v>Esistente</v>
          </cell>
          <cell r="V323" t="str">
            <v>NO</v>
          </cell>
          <cell r="W323" t="str">
            <v>NO</v>
          </cell>
        </row>
        <row r="324">
          <cell r="A324">
            <v>202207963</v>
          </cell>
          <cell r="B324" t="str">
            <v>R</v>
          </cell>
          <cell r="C324"/>
          <cell r="D324" t="str">
            <v>Nero Nobile</v>
          </cell>
          <cell r="E324" t="str">
            <v>Astucci FS0380</v>
          </cell>
          <cell r="F324" t="str">
            <v>Nero Nobile</v>
          </cell>
          <cell r="G324">
            <v>793</v>
          </cell>
          <cell r="H324">
            <v>44872</v>
          </cell>
          <cell r="I324"/>
          <cell r="J324">
            <v>28000</v>
          </cell>
          <cell r="K324" t="str">
            <v>7.000 fogli</v>
          </cell>
          <cell r="L324">
            <v>2</v>
          </cell>
          <cell r="M324">
            <v>44886</v>
          </cell>
          <cell r="N324"/>
          <cell r="O324" t="str">
            <v>CR0138</v>
          </cell>
          <cell r="P324" t="str">
            <v>GC2 270 62x100,5</v>
          </cell>
          <cell r="Q324" t="str">
            <v>NO</v>
          </cell>
          <cell r="R324" t="str">
            <v>4Q + 1P</v>
          </cell>
          <cell r="S324" t="str">
            <v>Drip + UV</v>
          </cell>
          <cell r="T324" t="str">
            <v>Esistente</v>
          </cell>
          <cell r="U324" t="str">
            <v>Esistente</v>
          </cell>
          <cell r="V324" t="str">
            <v>SI</v>
          </cell>
          <cell r="W324" t="str">
            <v>NO</v>
          </cell>
        </row>
        <row r="325">
          <cell r="A325">
            <v>202207967</v>
          </cell>
          <cell r="B325" t="str">
            <v>R+N</v>
          </cell>
          <cell r="C325"/>
          <cell r="D325" t="str">
            <v>Nero Nobile</v>
          </cell>
          <cell r="E325" t="str">
            <v>Astucci FS0385</v>
          </cell>
          <cell r="F325" t="str">
            <v>vesuvius</v>
          </cell>
          <cell r="G325">
            <v>802</v>
          </cell>
          <cell r="H325">
            <v>44874</v>
          </cell>
          <cell r="I325"/>
          <cell r="J325">
            <v>45000</v>
          </cell>
          <cell r="K325" t="str">
            <v>7.500 fogli</v>
          </cell>
          <cell r="L325">
            <v>2</v>
          </cell>
          <cell r="M325">
            <v>44886</v>
          </cell>
          <cell r="N325"/>
          <cell r="O325" t="str">
            <v>CR0186</v>
          </cell>
          <cell r="P325" t="str">
            <v>GC2 270 72x75</v>
          </cell>
          <cell r="Q325" t="str">
            <v>NO</v>
          </cell>
          <cell r="R325" t="str">
            <v>4Q</v>
          </cell>
          <cell r="S325" t="str">
            <v>V.ce opaca</v>
          </cell>
          <cell r="T325" t="str">
            <v>Esistente</v>
          </cell>
          <cell r="U325" t="str">
            <v>Esistente</v>
          </cell>
          <cell r="V325" t="str">
            <v>SI</v>
          </cell>
          <cell r="W325" t="str">
            <v>NO</v>
          </cell>
        </row>
        <row r="326">
          <cell r="A326">
            <v>202207970</v>
          </cell>
          <cell r="B326" t="str">
            <v>R</v>
          </cell>
          <cell r="C326"/>
          <cell r="D326" t="str">
            <v>Nero Nobile</v>
          </cell>
          <cell r="E326" t="str">
            <v>Astucci FS0385</v>
          </cell>
          <cell r="F326" t="str">
            <v>La capsuleria</v>
          </cell>
          <cell r="G326">
            <v>796</v>
          </cell>
          <cell r="H326">
            <v>44874</v>
          </cell>
          <cell r="I326"/>
          <cell r="J326">
            <v>90000</v>
          </cell>
          <cell r="K326" t="str">
            <v>15.000 fogli</v>
          </cell>
          <cell r="L326">
            <v>3</v>
          </cell>
          <cell r="M326">
            <v>44886</v>
          </cell>
          <cell r="N326"/>
          <cell r="O326" t="str">
            <v>CR0186</v>
          </cell>
          <cell r="P326" t="str">
            <v>GC2 270 72x75</v>
          </cell>
          <cell r="Q326" t="str">
            <v>NO</v>
          </cell>
          <cell r="R326" t="str">
            <v>4Q + 1P</v>
          </cell>
          <cell r="S326" t="str">
            <v>V.ce opaca</v>
          </cell>
          <cell r="T326" t="str">
            <v>Esistente</v>
          </cell>
          <cell r="U326" t="str">
            <v>Esistente</v>
          </cell>
          <cell r="V326" t="str">
            <v>SI</v>
          </cell>
          <cell r="W326" t="str">
            <v>NO</v>
          </cell>
        </row>
        <row r="327">
          <cell r="A327">
            <v>202207971</v>
          </cell>
          <cell r="B327" t="str">
            <v>R</v>
          </cell>
          <cell r="C327"/>
          <cell r="D327" t="str">
            <v>Nero Nobile</v>
          </cell>
          <cell r="E327" t="str">
            <v>Astucci FS0380</v>
          </cell>
          <cell r="F327" t="str">
            <v>Yespresso</v>
          </cell>
          <cell r="G327">
            <v>801</v>
          </cell>
          <cell r="H327">
            <v>44874</v>
          </cell>
          <cell r="I327"/>
          <cell r="J327">
            <v>20000</v>
          </cell>
          <cell r="K327" t="str">
            <v>5.000 fogli</v>
          </cell>
          <cell r="L327">
            <v>1</v>
          </cell>
          <cell r="M327">
            <v>44886</v>
          </cell>
          <cell r="N327"/>
          <cell r="O327" t="str">
            <v>CR0138</v>
          </cell>
          <cell r="P327" t="str">
            <v>GC2 270 62x100,5</v>
          </cell>
          <cell r="Q327" t="str">
            <v>NO</v>
          </cell>
          <cell r="R327" t="str">
            <v>4Q + 2P</v>
          </cell>
          <cell r="S327" t="str">
            <v>V.ce + UV</v>
          </cell>
          <cell r="T327" t="str">
            <v>Esistente</v>
          </cell>
          <cell r="U327" t="str">
            <v>Esistente</v>
          </cell>
          <cell r="V327" t="str">
            <v>Si</v>
          </cell>
          <cell r="W327" t="str">
            <v>NO</v>
          </cell>
        </row>
        <row r="328">
          <cell r="A328">
            <v>202207972</v>
          </cell>
          <cell r="B328" t="str">
            <v>N</v>
          </cell>
          <cell r="C328"/>
          <cell r="D328" t="str">
            <v>Nero Nobile</v>
          </cell>
          <cell r="E328" t="str">
            <v>Astucci FS0380</v>
          </cell>
          <cell r="F328" t="str">
            <v>Scionti / piave</v>
          </cell>
          <cell r="G328">
            <v>804</v>
          </cell>
          <cell r="H328">
            <v>44875</v>
          </cell>
          <cell r="I328"/>
          <cell r="J328">
            <v>20000</v>
          </cell>
          <cell r="K328" t="str">
            <v>5.000 fogli</v>
          </cell>
          <cell r="L328">
            <v>1</v>
          </cell>
          <cell r="M328">
            <v>44886</v>
          </cell>
          <cell r="N328"/>
          <cell r="O328" t="str">
            <v>CR0138</v>
          </cell>
          <cell r="P328" t="str">
            <v>GC2 270 62x100,5</v>
          </cell>
          <cell r="Q328" t="str">
            <v>NO</v>
          </cell>
          <cell r="R328" t="str">
            <v>4Q</v>
          </cell>
          <cell r="S328" t="str">
            <v>Drip</v>
          </cell>
          <cell r="T328" t="str">
            <v>Esistente</v>
          </cell>
          <cell r="U328" t="str">
            <v>Esistente</v>
          </cell>
          <cell r="V328" t="str">
            <v>Si</v>
          </cell>
          <cell r="W328" t="str">
            <v>NO</v>
          </cell>
        </row>
        <row r="329">
          <cell r="A329">
            <v>202207973</v>
          </cell>
          <cell r="B329" t="str">
            <v>N</v>
          </cell>
          <cell r="C329"/>
          <cell r="D329" t="str">
            <v>Nero Nobile</v>
          </cell>
          <cell r="E329" t="str">
            <v>Astucci FS0385</v>
          </cell>
          <cell r="F329" t="str">
            <v>Nero Nobile</v>
          </cell>
          <cell r="G329">
            <v>800</v>
          </cell>
          <cell r="H329">
            <v>44874</v>
          </cell>
          <cell r="I329"/>
          <cell r="J329">
            <v>93000</v>
          </cell>
          <cell r="K329" t="str">
            <v>15.500 fogli</v>
          </cell>
          <cell r="L329">
            <v>2</v>
          </cell>
          <cell r="M329">
            <v>44886</v>
          </cell>
          <cell r="N329"/>
          <cell r="O329" t="str">
            <v>CR0186</v>
          </cell>
          <cell r="P329" t="str">
            <v>GC2 270 72x75</v>
          </cell>
          <cell r="Q329" t="str">
            <v>NO</v>
          </cell>
          <cell r="R329" t="str">
            <v>4Q + 1P</v>
          </cell>
          <cell r="S329" t="str">
            <v>Drip + UV</v>
          </cell>
          <cell r="T329" t="str">
            <v>Esistente</v>
          </cell>
          <cell r="U329" t="str">
            <v>Esistente</v>
          </cell>
          <cell r="V329" t="str">
            <v>SI</v>
          </cell>
          <cell r="W329" t="str">
            <v>NO</v>
          </cell>
        </row>
        <row r="330">
          <cell r="A330">
            <v>202207975</v>
          </cell>
          <cell r="B330"/>
          <cell r="C330"/>
          <cell r="D330" t="str">
            <v>Dore Dore</v>
          </cell>
          <cell r="E330" t="str">
            <v>Solette DD</v>
          </cell>
          <cell r="F330" t="str">
            <v>SEG78CG</v>
          </cell>
          <cell r="G330">
            <v>1311</v>
          </cell>
          <cell r="H330">
            <v>44875</v>
          </cell>
          <cell r="I330"/>
          <cell r="J330">
            <v>15000</v>
          </cell>
          <cell r="K330" t="str">
            <v>2.500 fogli</v>
          </cell>
          <cell r="L330">
            <v>1</v>
          </cell>
          <cell r="M330">
            <v>44886</v>
          </cell>
          <cell r="N330"/>
          <cell r="O330"/>
          <cell r="P330" t="str">
            <v>EXE 450 72x102</v>
          </cell>
          <cell r="Q330" t="str">
            <v>Si</v>
          </cell>
          <cell r="R330" t="str">
            <v>2P</v>
          </cell>
          <cell r="S330" t="str">
            <v>PO</v>
          </cell>
          <cell r="T330" t="str">
            <v>Esistente</v>
          </cell>
          <cell r="U330" t="str">
            <v>Esistente</v>
          </cell>
          <cell r="V330" t="str">
            <v>SI</v>
          </cell>
          <cell r="W330" t="str">
            <v>NO</v>
          </cell>
        </row>
        <row r="331">
          <cell r="A331">
            <v>202207976</v>
          </cell>
          <cell r="B331"/>
          <cell r="C331"/>
          <cell r="D331" t="str">
            <v>Dore Dore</v>
          </cell>
          <cell r="E331" t="str">
            <v>Cavallotti DD</v>
          </cell>
          <cell r="F331"/>
          <cell r="G331">
            <v>1311</v>
          </cell>
          <cell r="H331">
            <v>44875</v>
          </cell>
          <cell r="I331"/>
          <cell r="J331">
            <v>165000</v>
          </cell>
          <cell r="K331" t="str">
            <v>5.000 fogli</v>
          </cell>
          <cell r="L331">
            <v>1</v>
          </cell>
          <cell r="M331">
            <v>44886</v>
          </cell>
          <cell r="N331"/>
          <cell r="O331"/>
          <cell r="P331" t="str">
            <v>GC1 275 72x102</v>
          </cell>
          <cell r="Q331" t="str">
            <v>SI</v>
          </cell>
          <cell r="R331" t="str">
            <v>4P</v>
          </cell>
          <cell r="S331" t="str">
            <v>V.ce opaca</v>
          </cell>
          <cell r="T331" t="str">
            <v>Esistente</v>
          </cell>
          <cell r="U331" t="str">
            <v>Esistente</v>
          </cell>
          <cell r="V331" t="str">
            <v>NO</v>
          </cell>
          <cell r="W331" t="str">
            <v>NO</v>
          </cell>
        </row>
        <row r="332">
          <cell r="A332">
            <v>202207977</v>
          </cell>
          <cell r="B332" t="str">
            <v>R</v>
          </cell>
          <cell r="C332" t="str">
            <v>X</v>
          </cell>
          <cell r="D332" t="str">
            <v>Pasta Lensi</v>
          </cell>
          <cell r="E332" t="str">
            <v>Astucci Morrison x200</v>
          </cell>
          <cell r="F332" t="str">
            <v>Penne</v>
          </cell>
          <cell r="G332">
            <v>50439</v>
          </cell>
          <cell r="H332">
            <v>44876</v>
          </cell>
          <cell r="I332" t="str">
            <v>127 X 63 X 200</v>
          </cell>
          <cell r="J332">
            <v>55000</v>
          </cell>
          <cell r="K332" t="str">
            <v>13.750 fogli</v>
          </cell>
          <cell r="L332">
            <v>1</v>
          </cell>
          <cell r="M332">
            <v>44886</v>
          </cell>
          <cell r="N332"/>
          <cell r="O332" t="str">
            <v>cr0081</v>
          </cell>
          <cell r="P332" t="str">
            <v>962 350 66,5x79</v>
          </cell>
          <cell r="Q332" t="str">
            <v>NO</v>
          </cell>
          <cell r="R332" t="str">
            <v>4Q + 2P</v>
          </cell>
          <cell r="S332" t="str">
            <v>V.ce opaca</v>
          </cell>
          <cell r="T332" t="str">
            <v>Esistente</v>
          </cell>
          <cell r="U332" t="str">
            <v>Esistente</v>
          </cell>
          <cell r="V332" t="str">
            <v>NO</v>
          </cell>
          <cell r="W332" t="str">
            <v>NO</v>
          </cell>
        </row>
        <row r="333">
          <cell r="A333">
            <v>202207966</v>
          </cell>
          <cell r="B333" t="str">
            <v>N</v>
          </cell>
          <cell r="C333" t="str">
            <v>X</v>
          </cell>
          <cell r="D333" t="str">
            <v>Essegel</v>
          </cell>
          <cell r="E333" t="str">
            <v>Astucci 10 Ghiaccioli Cazzaniga</v>
          </cell>
          <cell r="F333"/>
          <cell r="G333">
            <v>275</v>
          </cell>
          <cell r="H333">
            <v>44875</v>
          </cell>
          <cell r="I333"/>
          <cell r="J333">
            <v>25500</v>
          </cell>
          <cell r="K333" t="str">
            <v>8.500 fogli</v>
          </cell>
          <cell r="L333">
            <v>1</v>
          </cell>
          <cell r="M333">
            <v>44887</v>
          </cell>
          <cell r="N333"/>
          <cell r="O333" t="str">
            <v>CR0200</v>
          </cell>
          <cell r="P333" t="str">
            <v>112 400 99,5X110</v>
          </cell>
          <cell r="Q333" t="str">
            <v>NO</v>
          </cell>
          <cell r="R333" t="str">
            <v>4Q</v>
          </cell>
          <cell r="S333" t="str">
            <v>V.ce lucida</v>
          </cell>
          <cell r="T333" t="str">
            <v>Esistente</v>
          </cell>
          <cell r="U333" t="str">
            <v>Esistente</v>
          </cell>
          <cell r="V333" t="str">
            <v>SI</v>
          </cell>
          <cell r="W333" t="str">
            <v>NO</v>
          </cell>
        </row>
        <row r="334">
          <cell r="A334">
            <v>202207945</v>
          </cell>
          <cell r="B334" t="str">
            <v>R</v>
          </cell>
          <cell r="C334" t="str">
            <v>X</v>
          </cell>
          <cell r="D334" t="str">
            <v>Prontofoods</v>
          </cell>
          <cell r="E334" t="str">
            <v>Astucci 10 Buste</v>
          </cell>
          <cell r="F334" t="str">
            <v>Ginseng Ristora</v>
          </cell>
          <cell r="G334">
            <v>222062</v>
          </cell>
          <cell r="H334">
            <v>44861</v>
          </cell>
          <cell r="I334"/>
          <cell r="J334">
            <v>80000</v>
          </cell>
          <cell r="K334" t="str">
            <v>20.000 fogli</v>
          </cell>
          <cell r="L334">
            <v>1</v>
          </cell>
          <cell r="M334">
            <v>44888</v>
          </cell>
          <cell r="N334"/>
          <cell r="O334" t="str">
            <v>CR0110</v>
          </cell>
          <cell r="P334" t="str">
            <v>GC2 270 56,5x75</v>
          </cell>
          <cell r="Q334" t="str">
            <v>NO</v>
          </cell>
          <cell r="R334" t="str">
            <v>4Q</v>
          </cell>
          <cell r="S334" t="str">
            <v>UV</v>
          </cell>
          <cell r="T334" t="str">
            <v>Esistente</v>
          </cell>
          <cell r="U334" t="str">
            <v>Esistente</v>
          </cell>
          <cell r="V334" t="str">
            <v>Si</v>
          </cell>
          <cell r="W334" t="str">
            <v>NO</v>
          </cell>
        </row>
        <row r="335">
          <cell r="A335">
            <v>202207945</v>
          </cell>
          <cell r="B335" t="str">
            <v>R</v>
          </cell>
          <cell r="C335" t="str">
            <v>X</v>
          </cell>
          <cell r="D335" t="str">
            <v>Prontofoods</v>
          </cell>
          <cell r="E335" t="str">
            <v>Astucci 10 Buste</v>
          </cell>
          <cell r="F335" t="str">
            <v>Ginseng Ristora SZ</v>
          </cell>
          <cell r="G335">
            <v>222062</v>
          </cell>
          <cell r="H335">
            <v>44861</v>
          </cell>
          <cell r="I335"/>
          <cell r="J335">
            <v>20000</v>
          </cell>
          <cell r="K335" t="str">
            <v>5.000 fogli</v>
          </cell>
          <cell r="L335">
            <v>1</v>
          </cell>
          <cell r="M335">
            <v>44888</v>
          </cell>
          <cell r="N335"/>
          <cell r="O335" t="str">
            <v>CR0110</v>
          </cell>
          <cell r="P335" t="str">
            <v>GC2 270 56,5x75</v>
          </cell>
          <cell r="Q335" t="str">
            <v>NO</v>
          </cell>
          <cell r="R335" t="str">
            <v>4Q</v>
          </cell>
          <cell r="S335" t="str">
            <v>UV</v>
          </cell>
          <cell r="T335" t="str">
            <v>Esistente</v>
          </cell>
          <cell r="U335" t="str">
            <v>Esistente</v>
          </cell>
          <cell r="V335" t="str">
            <v>Si</v>
          </cell>
          <cell r="W335" t="str">
            <v>NO</v>
          </cell>
        </row>
        <row r="336">
          <cell r="A336">
            <v>202207945</v>
          </cell>
          <cell r="B336" t="str">
            <v>R</v>
          </cell>
          <cell r="C336" t="str">
            <v>X</v>
          </cell>
          <cell r="D336" t="str">
            <v>Prontofoods</v>
          </cell>
          <cell r="E336" t="str">
            <v>Astucci 10 Buste</v>
          </cell>
          <cell r="F336" t="str">
            <v>Ginseng Bellarom</v>
          </cell>
          <cell r="G336">
            <v>222062</v>
          </cell>
          <cell r="H336">
            <v>44861</v>
          </cell>
          <cell r="I336"/>
          <cell r="J336">
            <v>130000</v>
          </cell>
          <cell r="K336" t="str">
            <v>32.500 fogli</v>
          </cell>
          <cell r="L336">
            <v>1</v>
          </cell>
          <cell r="M336">
            <v>44888</v>
          </cell>
          <cell r="N336"/>
          <cell r="O336" t="str">
            <v>CR0110</v>
          </cell>
          <cell r="P336" t="str">
            <v>GC2 270 56,5x75</v>
          </cell>
          <cell r="Q336" t="str">
            <v>NO</v>
          </cell>
          <cell r="R336" t="str">
            <v>4Q</v>
          </cell>
          <cell r="S336" t="str">
            <v>UV</v>
          </cell>
          <cell r="T336" t="str">
            <v>Esistente</v>
          </cell>
          <cell r="U336" t="str">
            <v>Esistente</v>
          </cell>
          <cell r="V336" t="str">
            <v>Si</v>
          </cell>
          <cell r="W336" t="str">
            <v>NO</v>
          </cell>
        </row>
        <row r="337">
          <cell r="A337">
            <v>202207956</v>
          </cell>
          <cell r="B337" t="str">
            <v>R</v>
          </cell>
          <cell r="C337" t="str">
            <v>X</v>
          </cell>
          <cell r="D337" t="str">
            <v>Prontofoods</v>
          </cell>
          <cell r="E337" t="str">
            <v>Griglie per Ristora</v>
          </cell>
          <cell r="F337"/>
          <cell r="G337">
            <v>222070</v>
          </cell>
          <cell r="H337">
            <v>44861</v>
          </cell>
          <cell r="I337"/>
          <cell r="J337">
            <v>50000</v>
          </cell>
          <cell r="K337" t="str">
            <v>12.500 fogli</v>
          </cell>
          <cell r="L337">
            <v>1</v>
          </cell>
          <cell r="M337">
            <v>44888</v>
          </cell>
          <cell r="N337"/>
          <cell r="O337"/>
          <cell r="P337" t="str">
            <v>112 400</v>
          </cell>
          <cell r="Q337" t="str">
            <v>SI</v>
          </cell>
          <cell r="R337" t="str">
            <v>-</v>
          </cell>
          <cell r="S337" t="str">
            <v>-</v>
          </cell>
          <cell r="T337" t="str">
            <v>-</v>
          </cell>
          <cell r="U337" t="str">
            <v>Esistente</v>
          </cell>
          <cell r="V337" t="str">
            <v>NO</v>
          </cell>
          <cell r="W337" t="str">
            <v>NO</v>
          </cell>
        </row>
        <row r="338">
          <cell r="A338">
            <v>202207918</v>
          </cell>
          <cell r="B338"/>
          <cell r="C338"/>
          <cell r="D338" t="str">
            <v>Essegel</v>
          </cell>
          <cell r="E338" t="str">
            <v>Astucci La Popsi</v>
          </cell>
          <cell r="F338"/>
          <cell r="G338">
            <v>256</v>
          </cell>
          <cell r="H338">
            <v>44851</v>
          </cell>
          <cell r="I338"/>
          <cell r="J338">
            <v>50000</v>
          </cell>
          <cell r="K338" t="str">
            <v>16.700 fogli</v>
          </cell>
          <cell r="L338">
            <v>1</v>
          </cell>
          <cell r="M338">
            <v>44890</v>
          </cell>
          <cell r="N338"/>
          <cell r="O338" t="str">
            <v>CR0200</v>
          </cell>
          <cell r="P338" t="str">
            <v>112 400</v>
          </cell>
          <cell r="Q338" t="str">
            <v>NO</v>
          </cell>
          <cell r="R338" t="str">
            <v>4Q</v>
          </cell>
          <cell r="S338" t="str">
            <v>V.ce lucida</v>
          </cell>
          <cell r="T338" t="str">
            <v>Esistente</v>
          </cell>
          <cell r="U338" t="str">
            <v>Esistente</v>
          </cell>
          <cell r="V338" t="str">
            <v>SI</v>
          </cell>
          <cell r="W338" t="str">
            <v>NO</v>
          </cell>
        </row>
        <row r="339">
          <cell r="A339">
            <v>202207936</v>
          </cell>
          <cell r="B339"/>
          <cell r="C339"/>
          <cell r="D339" t="str">
            <v>Pantytex</v>
          </cell>
          <cell r="E339" t="str">
            <v>Gamballetti Desiree</v>
          </cell>
          <cell r="F339"/>
          <cell r="G339" t="str">
            <v>-</v>
          </cell>
          <cell r="H339" t="str">
            <v>-</v>
          </cell>
          <cell r="I339"/>
          <cell r="J339">
            <v>4100</v>
          </cell>
          <cell r="K339" t="str">
            <v>1.000 fogli</v>
          </cell>
          <cell r="L339">
            <v>1</v>
          </cell>
          <cell r="M339">
            <v>44890</v>
          </cell>
          <cell r="N339"/>
          <cell r="O339" t="str">
            <v>CR0002</v>
          </cell>
          <cell r="P339" t="str">
            <v>Sym 200 89x52</v>
          </cell>
          <cell r="Q339" t="str">
            <v>SI</v>
          </cell>
          <cell r="R339" t="str">
            <v>4Q + 1P</v>
          </cell>
          <cell r="S339" t="str">
            <v>V.ce opaca</v>
          </cell>
          <cell r="T339" t="str">
            <v>Esistente</v>
          </cell>
          <cell r="U339" t="str">
            <v>Esistente</v>
          </cell>
          <cell r="V339" t="str">
            <v>NO</v>
          </cell>
          <cell r="W339" t="str">
            <v>NO</v>
          </cell>
        </row>
        <row r="340">
          <cell r="A340">
            <v>202207939</v>
          </cell>
          <cell r="B340"/>
          <cell r="C340"/>
          <cell r="D340" t="str">
            <v>Pantytex</v>
          </cell>
          <cell r="E340" t="str">
            <v>Appendini Manguun</v>
          </cell>
          <cell r="F340"/>
          <cell r="G340">
            <v>265</v>
          </cell>
          <cell r="H340">
            <v>44860</v>
          </cell>
          <cell r="I340"/>
          <cell r="J340">
            <v>15500</v>
          </cell>
          <cell r="K340" t="str">
            <v>3.875 fogli</v>
          </cell>
          <cell r="L340">
            <v>2</v>
          </cell>
          <cell r="M340">
            <v>44890</v>
          </cell>
          <cell r="N340"/>
          <cell r="O340" t="str">
            <v>CR0006</v>
          </cell>
          <cell r="P340" t="str">
            <v>GC1 250 102x59</v>
          </cell>
          <cell r="Q340" t="str">
            <v>SI</v>
          </cell>
          <cell r="R340" t="str">
            <v>1P</v>
          </cell>
          <cell r="S340" t="str">
            <v>V.ce opaca</v>
          </cell>
          <cell r="T340" t="str">
            <v>Esistente</v>
          </cell>
          <cell r="U340" t="str">
            <v>Esistente</v>
          </cell>
          <cell r="V340" t="str">
            <v>NO</v>
          </cell>
          <cell r="W340" t="str">
            <v>NO</v>
          </cell>
        </row>
        <row r="341">
          <cell r="A341">
            <v>202207940</v>
          </cell>
          <cell r="B341"/>
          <cell r="C341"/>
          <cell r="D341" t="str">
            <v>Pantytex</v>
          </cell>
          <cell r="E341" t="str">
            <v>Inserti Desiree</v>
          </cell>
          <cell r="F341"/>
          <cell r="G341">
            <v>264</v>
          </cell>
          <cell r="H341">
            <v>44860</v>
          </cell>
          <cell r="I341"/>
          <cell r="J341">
            <v>33000</v>
          </cell>
          <cell r="K341" t="str">
            <v>6.600 fogli</v>
          </cell>
          <cell r="L341">
            <v>2</v>
          </cell>
          <cell r="M341">
            <v>44890</v>
          </cell>
          <cell r="N341"/>
          <cell r="O341" t="str">
            <v>CR0002</v>
          </cell>
          <cell r="P341" t="str">
            <v>Sym 200 89x52</v>
          </cell>
          <cell r="Q341" t="str">
            <v>SI</v>
          </cell>
          <cell r="R341" t="str">
            <v>4Q + 1P</v>
          </cell>
          <cell r="S341" t="str">
            <v>V.ce opaca</v>
          </cell>
          <cell r="T341" t="str">
            <v>Esistente</v>
          </cell>
          <cell r="U341" t="str">
            <v>Esistente</v>
          </cell>
          <cell r="V341" t="str">
            <v>NO</v>
          </cell>
          <cell r="W341" t="str">
            <v>NO</v>
          </cell>
        </row>
        <row r="342">
          <cell r="A342">
            <v>202207952</v>
          </cell>
          <cell r="B342" t="str">
            <v>R</v>
          </cell>
          <cell r="C342"/>
          <cell r="D342" t="str">
            <v>Pastificio Gaetarelli</v>
          </cell>
          <cell r="E342" t="str">
            <v>Fasce per la pasta</v>
          </cell>
          <cell r="F342"/>
          <cell r="G342">
            <v>271</v>
          </cell>
          <cell r="H342">
            <v>44862</v>
          </cell>
          <cell r="I342"/>
          <cell r="J342">
            <v>30000</v>
          </cell>
          <cell r="K342" t="str">
            <v>6.000 fogli</v>
          </cell>
          <cell r="L342">
            <v>1</v>
          </cell>
          <cell r="M342">
            <v>44890</v>
          </cell>
          <cell r="N342"/>
          <cell r="O342" t="str">
            <v>cr0068</v>
          </cell>
          <cell r="P342" t="str">
            <v>sym 330 100x72,5</v>
          </cell>
          <cell r="Q342" t="str">
            <v>NO</v>
          </cell>
          <cell r="R342" t="str">
            <v>4Q + 2P</v>
          </cell>
          <cell r="S342" t="str">
            <v>V.ce retri</v>
          </cell>
          <cell r="T342" t="str">
            <v>Esistente</v>
          </cell>
          <cell r="U342" t="str">
            <v>Esistente</v>
          </cell>
          <cell r="V342" t="str">
            <v>NO</v>
          </cell>
          <cell r="W342" t="str">
            <v>NO</v>
          </cell>
        </row>
        <row r="343">
          <cell r="A343">
            <v>202207980</v>
          </cell>
          <cell r="B343"/>
          <cell r="C343"/>
          <cell r="D343" t="str">
            <v>Genny</v>
          </cell>
          <cell r="E343" t="str">
            <v>Appendini CA Bimbo 2x</v>
          </cell>
          <cell r="F343"/>
          <cell r="G343">
            <v>280</v>
          </cell>
          <cell r="H343">
            <v>44879</v>
          </cell>
          <cell r="I343"/>
          <cell r="J343">
            <v>52400</v>
          </cell>
          <cell r="K343" t="str">
            <v>6.550 fogli</v>
          </cell>
          <cell r="L343">
            <v>3</v>
          </cell>
          <cell r="M343">
            <v>44890</v>
          </cell>
          <cell r="N343"/>
          <cell r="O343" t="str">
            <v>CR0224</v>
          </cell>
          <cell r="P343" t="str">
            <v>GC1 295 56x74</v>
          </cell>
          <cell r="Q343" t="str">
            <v>NO</v>
          </cell>
          <cell r="R343" t="str">
            <v>4Q</v>
          </cell>
          <cell r="S343" t="str">
            <v>V.ce lucida</v>
          </cell>
          <cell r="T343" t="str">
            <v>Esistente</v>
          </cell>
          <cell r="U343" t="str">
            <v>Esistente</v>
          </cell>
          <cell r="V343" t="str">
            <v>SI</v>
          </cell>
          <cell r="W343" t="str">
            <v>NO</v>
          </cell>
        </row>
        <row r="344">
          <cell r="A344">
            <v>202207981</v>
          </cell>
          <cell r="B344"/>
          <cell r="C344"/>
          <cell r="D344" t="str">
            <v>Genny</v>
          </cell>
          <cell r="E344" t="str">
            <v>Appendini CA Bimbo 3x</v>
          </cell>
          <cell r="F344"/>
          <cell r="G344">
            <v>279</v>
          </cell>
          <cell r="H344">
            <v>44879</v>
          </cell>
          <cell r="I344"/>
          <cell r="J344">
            <v>36000</v>
          </cell>
          <cell r="K344" t="str">
            <v>4.500 fogli</v>
          </cell>
          <cell r="L344">
            <v>2</v>
          </cell>
          <cell r="M344">
            <v>44890</v>
          </cell>
          <cell r="N344"/>
          <cell r="O344" t="str">
            <v>CR0222</v>
          </cell>
          <cell r="P344" t="str">
            <v>GC1 325 99x48,5</v>
          </cell>
          <cell r="Q344" t="str">
            <v>NO</v>
          </cell>
          <cell r="R344" t="str">
            <v>4Q</v>
          </cell>
          <cell r="S344" t="str">
            <v>V.ce lucida</v>
          </cell>
          <cell r="T344" t="str">
            <v>Esistente</v>
          </cell>
          <cell r="U344" t="str">
            <v>Esistente</v>
          </cell>
          <cell r="V344" t="str">
            <v>SI</v>
          </cell>
          <cell r="W344" t="str">
            <v>NO</v>
          </cell>
        </row>
        <row r="345">
          <cell r="A345">
            <v>202207984</v>
          </cell>
          <cell r="B345" t="str">
            <v>R</v>
          </cell>
          <cell r="C345"/>
          <cell r="D345" t="str">
            <v>Quaranta</v>
          </cell>
          <cell r="E345" t="str">
            <v>Astucci Eurospin</v>
          </cell>
          <cell r="F345"/>
          <cell r="G345">
            <v>8349</v>
          </cell>
          <cell r="H345">
            <v>44880</v>
          </cell>
          <cell r="I345"/>
          <cell r="J345">
            <v>21400</v>
          </cell>
          <cell r="K345" t="str">
            <v>2.650 fogli</v>
          </cell>
          <cell r="L345">
            <v>1</v>
          </cell>
          <cell r="M345">
            <v>44890</v>
          </cell>
          <cell r="N345"/>
          <cell r="O345"/>
          <cell r="P345"/>
          <cell r="Q345" t="str">
            <v>NO</v>
          </cell>
          <cell r="R345" t="str">
            <v>4Q + 2P</v>
          </cell>
          <cell r="S345" t="str">
            <v>V.ce lucida</v>
          </cell>
          <cell r="T345" t="str">
            <v>Esistente</v>
          </cell>
          <cell r="U345" t="str">
            <v>Esistente</v>
          </cell>
          <cell r="V345" t="str">
            <v>Si</v>
          </cell>
          <cell r="W345" t="str">
            <v>NO</v>
          </cell>
        </row>
        <row r="346">
          <cell r="A346">
            <v>202207982</v>
          </cell>
          <cell r="B346"/>
          <cell r="C346"/>
          <cell r="D346" t="str">
            <v>Genny</v>
          </cell>
          <cell r="E346" t="str">
            <v>Appendini CA Autoreggenti</v>
          </cell>
          <cell r="F346"/>
          <cell r="G346">
            <v>281</v>
          </cell>
          <cell r="H346">
            <v>44879</v>
          </cell>
          <cell r="I346"/>
          <cell r="J346">
            <v>10000</v>
          </cell>
          <cell r="K346" t="str">
            <v>2.500 fogli</v>
          </cell>
          <cell r="L346">
            <v>1</v>
          </cell>
          <cell r="M346">
            <v>44890</v>
          </cell>
          <cell r="N346"/>
          <cell r="O346" t="str">
            <v>CR0223</v>
          </cell>
          <cell r="P346" t="str">
            <v>GC1 295 58,5x70</v>
          </cell>
          <cell r="Q346" t="str">
            <v>NO</v>
          </cell>
          <cell r="R346" t="str">
            <v>4Q + 2P</v>
          </cell>
          <cell r="S346" t="str">
            <v>V.ce lucida</v>
          </cell>
          <cell r="T346" t="str">
            <v>Esistente</v>
          </cell>
          <cell r="U346" t="str">
            <v>Esistente</v>
          </cell>
          <cell r="V346" t="str">
            <v>SI</v>
          </cell>
          <cell r="W346" t="str">
            <v>NO</v>
          </cell>
        </row>
        <row r="347">
          <cell r="A347">
            <v>202207873</v>
          </cell>
          <cell r="B347" t="str">
            <v>N</v>
          </cell>
          <cell r="C347" t="str">
            <v>X</v>
          </cell>
          <cell r="D347" t="str">
            <v>JBS</v>
          </cell>
          <cell r="E347" t="str">
            <v>Buste Decoy D12</v>
          </cell>
          <cell r="F347"/>
          <cell r="G347" t="str">
            <v>-</v>
          </cell>
          <cell r="H347">
            <v>44834</v>
          </cell>
          <cell r="I347"/>
          <cell r="J347">
            <v>6000</v>
          </cell>
          <cell r="K347" t="str">
            <v>1.500 fogli</v>
          </cell>
          <cell r="L347">
            <v>1</v>
          </cell>
          <cell r="M347">
            <v>44893</v>
          </cell>
          <cell r="N347"/>
          <cell r="O347" t="str">
            <v>CR0060</v>
          </cell>
          <cell r="P347" t="str">
            <v>GC1 250</v>
          </cell>
          <cell r="Q347" t="str">
            <v>NO</v>
          </cell>
          <cell r="R347" t="str">
            <v>4Q</v>
          </cell>
          <cell r="S347" t="str">
            <v>V.ce + OC</v>
          </cell>
          <cell r="T347" t="str">
            <v>Esistente</v>
          </cell>
          <cell r="U347" t="str">
            <v>Esistente</v>
          </cell>
          <cell r="V347" t="str">
            <v>SI</v>
          </cell>
          <cell r="W347" t="str">
            <v>NO</v>
          </cell>
        </row>
        <row r="348">
          <cell r="A348">
            <v>202207874</v>
          </cell>
          <cell r="B348" t="str">
            <v>N</v>
          </cell>
          <cell r="C348" t="str">
            <v>X</v>
          </cell>
          <cell r="D348" t="str">
            <v>JBS</v>
          </cell>
          <cell r="E348" t="str">
            <v>Appendini Decoy D15</v>
          </cell>
          <cell r="F348"/>
          <cell r="G348" t="str">
            <v>-</v>
          </cell>
          <cell r="H348">
            <v>44837</v>
          </cell>
          <cell r="I348"/>
          <cell r="J348">
            <v>3000</v>
          </cell>
          <cell r="K348" t="str">
            <v>750 fogli</v>
          </cell>
          <cell r="L348">
            <v>1</v>
          </cell>
          <cell r="M348">
            <v>44893</v>
          </cell>
          <cell r="N348"/>
          <cell r="O348" t="str">
            <v>cr0024</v>
          </cell>
          <cell r="P348" t="str">
            <v>GC1 250 72x102</v>
          </cell>
          <cell r="Q348" t="str">
            <v>SI</v>
          </cell>
          <cell r="R348" t="str">
            <v>4Q</v>
          </cell>
          <cell r="S348" t="str">
            <v>V.ce + OC</v>
          </cell>
          <cell r="T348" t="str">
            <v>Esistente</v>
          </cell>
          <cell r="U348" t="str">
            <v>Esistente</v>
          </cell>
          <cell r="V348" t="str">
            <v>SI</v>
          </cell>
          <cell r="W348" t="str">
            <v>NO</v>
          </cell>
        </row>
        <row r="349">
          <cell r="A349">
            <v>202207875</v>
          </cell>
          <cell r="B349" t="str">
            <v>N</v>
          </cell>
          <cell r="C349" t="str">
            <v>X</v>
          </cell>
          <cell r="D349" t="str">
            <v>JBS</v>
          </cell>
          <cell r="E349" t="str">
            <v>Buste Decoy D24</v>
          </cell>
          <cell r="F349"/>
          <cell r="G349"/>
          <cell r="H349">
            <v>44837</v>
          </cell>
          <cell r="I349"/>
          <cell r="J349">
            <v>3000</v>
          </cell>
          <cell r="K349" t="str">
            <v>750 fogli</v>
          </cell>
          <cell r="L349">
            <v>1</v>
          </cell>
          <cell r="M349">
            <v>44893</v>
          </cell>
          <cell r="N349"/>
          <cell r="O349"/>
          <cell r="P349" t="str">
            <v xml:space="preserve">GC1 250 </v>
          </cell>
          <cell r="Q349" t="str">
            <v>NO</v>
          </cell>
          <cell r="R349" t="str">
            <v>4Q</v>
          </cell>
          <cell r="S349" t="str">
            <v>V.ce + OC</v>
          </cell>
          <cell r="T349" t="str">
            <v>Esistente</v>
          </cell>
          <cell r="U349" t="str">
            <v>Esistente</v>
          </cell>
          <cell r="V349" t="str">
            <v>SI</v>
          </cell>
          <cell r="W349" t="str">
            <v>NO</v>
          </cell>
        </row>
        <row r="350">
          <cell r="A350">
            <v>202207961</v>
          </cell>
          <cell r="B350" t="str">
            <v>N</v>
          </cell>
          <cell r="C350" t="str">
            <v>X</v>
          </cell>
          <cell r="D350" t="str">
            <v>Plastic Center</v>
          </cell>
          <cell r="E350" t="str">
            <v>Astucci Soft meches</v>
          </cell>
          <cell r="F350"/>
          <cell r="G350">
            <v>273</v>
          </cell>
          <cell r="H350">
            <v>44872</v>
          </cell>
          <cell r="I350"/>
          <cell r="J350">
            <v>8000</v>
          </cell>
          <cell r="K350" t="str">
            <v>4.000 fogli</v>
          </cell>
          <cell r="L350">
            <v>1</v>
          </cell>
          <cell r="M350">
            <v>44895</v>
          </cell>
          <cell r="N350"/>
          <cell r="O350" t="str">
            <v>CR0215</v>
          </cell>
          <cell r="P350" t="str">
            <v>112 500</v>
          </cell>
          <cell r="Q350" t="str">
            <v>NO</v>
          </cell>
          <cell r="R350" t="str">
            <v>2P</v>
          </cell>
          <cell r="S350" t="str">
            <v>V.ce lucida</v>
          </cell>
          <cell r="T350" t="str">
            <v>Esistente</v>
          </cell>
          <cell r="U350" t="str">
            <v>Esistente</v>
          </cell>
          <cell r="V350" t="str">
            <v>SI</v>
          </cell>
          <cell r="W350" t="str">
            <v>NO</v>
          </cell>
        </row>
        <row r="351">
          <cell r="A351">
            <v>202207962</v>
          </cell>
          <cell r="B351" t="str">
            <v>N</v>
          </cell>
          <cell r="C351" t="str">
            <v>X</v>
          </cell>
          <cell r="D351" t="str">
            <v>Bruno Chiaruttini</v>
          </cell>
          <cell r="E351" t="str">
            <v>Scatole Avana Avana</v>
          </cell>
          <cell r="F351"/>
          <cell r="G351">
            <v>272</v>
          </cell>
          <cell r="H351">
            <v>44869</v>
          </cell>
          <cell r="I351"/>
          <cell r="J351">
            <v>3000</v>
          </cell>
          <cell r="K351" t="str">
            <v>1.500 fogli</v>
          </cell>
          <cell r="L351">
            <v>1</v>
          </cell>
          <cell r="M351">
            <v>44895</v>
          </cell>
          <cell r="N351"/>
          <cell r="O351"/>
          <cell r="P351" t="str">
            <v>Avana 400</v>
          </cell>
          <cell r="Q351" t="str">
            <v>NO</v>
          </cell>
          <cell r="R351" t="str">
            <v>-</v>
          </cell>
          <cell r="S351" t="str">
            <v>-</v>
          </cell>
          <cell r="T351" t="str">
            <v>-</v>
          </cell>
          <cell r="U351" t="str">
            <v>Nuova</v>
          </cell>
          <cell r="V351" t="str">
            <v>Si</v>
          </cell>
          <cell r="W351" t="str">
            <v>NO</v>
          </cell>
        </row>
        <row r="352">
          <cell r="A352">
            <v>202207985</v>
          </cell>
          <cell r="B352"/>
          <cell r="C352"/>
          <cell r="D352" t="str">
            <v>RCM</v>
          </cell>
          <cell r="E352" t="str">
            <v>Astucci Nee</v>
          </cell>
          <cell r="F352"/>
          <cell r="G352" t="str">
            <v>422/N</v>
          </cell>
          <cell r="H352">
            <v>44876</v>
          </cell>
          <cell r="I352"/>
          <cell r="J352">
            <v>16250</v>
          </cell>
          <cell r="K352" t="str">
            <v>1.250 fogli</v>
          </cell>
          <cell r="L352">
            <v>1</v>
          </cell>
          <cell r="M352">
            <v>44895</v>
          </cell>
          <cell r="N352"/>
          <cell r="O352" t="str">
            <v>CR0060</v>
          </cell>
          <cell r="P352" t="str">
            <v>GC1 295 72x102</v>
          </cell>
          <cell r="Q352" t="str">
            <v>SI</v>
          </cell>
          <cell r="R352" t="str">
            <v>4P</v>
          </cell>
          <cell r="S352" t="str">
            <v>PO</v>
          </cell>
          <cell r="T352" t="str">
            <v xml:space="preserve">Nuovo </v>
          </cell>
          <cell r="U352" t="str">
            <v>Nuova</v>
          </cell>
          <cell r="V352" t="str">
            <v>NO</v>
          </cell>
          <cell r="W352" t="str">
            <v>NO</v>
          </cell>
        </row>
        <row r="353">
          <cell r="A353">
            <v>202207986</v>
          </cell>
          <cell r="B353"/>
          <cell r="C353"/>
          <cell r="D353" t="str">
            <v>RCM</v>
          </cell>
          <cell r="E353" t="str">
            <v>Astucci Nee</v>
          </cell>
          <cell r="F353"/>
          <cell r="G353" t="str">
            <v>422/N</v>
          </cell>
          <cell r="H353">
            <v>44876</v>
          </cell>
          <cell r="I353"/>
          <cell r="J353">
            <v>5250</v>
          </cell>
          <cell r="K353" t="str">
            <v>1.750 fogli</v>
          </cell>
          <cell r="L353">
            <v>1</v>
          </cell>
          <cell r="M353">
            <v>44895</v>
          </cell>
          <cell r="N353"/>
          <cell r="O353" t="str">
            <v>CR0111</v>
          </cell>
          <cell r="P353" t="str">
            <v>GC2 260 65,5X86,5</v>
          </cell>
          <cell r="Q353" t="str">
            <v>SI</v>
          </cell>
          <cell r="R353" t="str">
            <v>1P</v>
          </cell>
          <cell r="S353" t="str">
            <v>-</v>
          </cell>
          <cell r="T353" t="str">
            <v>-</v>
          </cell>
          <cell r="U353" t="str">
            <v>Nuova</v>
          </cell>
          <cell r="V353" t="str">
            <v>NO</v>
          </cell>
          <cell r="W353" t="str">
            <v>NO</v>
          </cell>
        </row>
        <row r="354">
          <cell r="A354">
            <v>202207895</v>
          </cell>
          <cell r="B354" t="str">
            <v>R</v>
          </cell>
          <cell r="C354" t="str">
            <v>x</v>
          </cell>
          <cell r="D354" t="str">
            <v>Pasta Lensi</v>
          </cell>
          <cell r="E354" t="str">
            <v>Astucci Spaghetti</v>
          </cell>
          <cell r="F354" t="str">
            <v>A/B Thin</v>
          </cell>
          <cell r="G354">
            <v>50270</v>
          </cell>
          <cell r="H354">
            <v>44841</v>
          </cell>
          <cell r="I354" t="str">
            <v>72 X 27 X 270</v>
          </cell>
          <cell r="J354">
            <v>30000</v>
          </cell>
          <cell r="K354" t="str">
            <v>3.750 fogli</v>
          </cell>
          <cell r="L354">
            <v>1</v>
          </cell>
          <cell r="M354">
            <v>44896</v>
          </cell>
          <cell r="N354"/>
          <cell r="O354" t="str">
            <v>CR0116</v>
          </cell>
          <cell r="P354" t="str">
            <v>962 350 67,5x86,5</v>
          </cell>
          <cell r="Q354" t="str">
            <v>NO</v>
          </cell>
          <cell r="R354" t="str">
            <v>4Q + 1P</v>
          </cell>
          <cell r="S354" t="str">
            <v>V.ce lucida</v>
          </cell>
          <cell r="T354" t="str">
            <v>Esistente</v>
          </cell>
          <cell r="U354" t="str">
            <v>Esistente</v>
          </cell>
          <cell r="V354" t="str">
            <v>Si</v>
          </cell>
          <cell r="W354" t="str">
            <v>SI</v>
          </cell>
        </row>
        <row r="355">
          <cell r="A355">
            <v>202207895</v>
          </cell>
          <cell r="B355" t="str">
            <v>R</v>
          </cell>
          <cell r="C355" t="str">
            <v>x</v>
          </cell>
          <cell r="D355" t="str">
            <v>Pasta Lensi</v>
          </cell>
          <cell r="E355" t="str">
            <v>Astucci Spaghetti</v>
          </cell>
          <cell r="F355" t="str">
            <v>Meijer</v>
          </cell>
          <cell r="G355">
            <v>50270</v>
          </cell>
          <cell r="H355">
            <v>44841</v>
          </cell>
          <cell r="I355" t="str">
            <v>72 X 27 X 270</v>
          </cell>
          <cell r="J355">
            <v>20000</v>
          </cell>
          <cell r="K355" t="str">
            <v>2.500 fogli</v>
          </cell>
          <cell r="L355">
            <v>1</v>
          </cell>
          <cell r="M355">
            <v>44896</v>
          </cell>
          <cell r="N355"/>
          <cell r="O355" t="str">
            <v>CR0116</v>
          </cell>
          <cell r="P355" t="str">
            <v>962 350 67,5x86,5</v>
          </cell>
          <cell r="Q355" t="str">
            <v>NO</v>
          </cell>
          <cell r="R355" t="str">
            <v>4Q + 2P</v>
          </cell>
          <cell r="S355" t="str">
            <v>V.ce lucida</v>
          </cell>
          <cell r="T355" t="str">
            <v>Esistente</v>
          </cell>
          <cell r="U355" t="str">
            <v>Esistente</v>
          </cell>
          <cell r="V355" t="str">
            <v>Si</v>
          </cell>
          <cell r="W355" t="str">
            <v>SI</v>
          </cell>
        </row>
        <row r="356">
          <cell r="A356">
            <v>202207983</v>
          </cell>
          <cell r="B356" t="str">
            <v>N</v>
          </cell>
          <cell r="C356"/>
          <cell r="D356" t="str">
            <v>Pantytex</v>
          </cell>
          <cell r="E356" t="str">
            <v>Scatole 4 angoli</v>
          </cell>
          <cell r="F356"/>
          <cell r="G356">
            <v>282</v>
          </cell>
          <cell r="H356">
            <v>44879</v>
          </cell>
          <cell r="I356"/>
          <cell r="J356">
            <v>20000</v>
          </cell>
          <cell r="K356" t="str">
            <v>10.000 fogli</v>
          </cell>
          <cell r="L356">
            <v>1</v>
          </cell>
          <cell r="M356">
            <v>44896</v>
          </cell>
          <cell r="N356"/>
          <cell r="O356" t="str">
            <v>CR0226</v>
          </cell>
          <cell r="P356" t="str">
            <v>112 385 78,5x59,5</v>
          </cell>
          <cell r="Q356" t="str">
            <v>NO</v>
          </cell>
          <cell r="R356" t="str">
            <v>-</v>
          </cell>
          <cell r="S356" t="str">
            <v>-</v>
          </cell>
          <cell r="T356" t="str">
            <v>-</v>
          </cell>
          <cell r="U356" t="str">
            <v>Nuova</v>
          </cell>
          <cell r="V356" t="str">
            <v>NO</v>
          </cell>
          <cell r="W356" t="str">
            <v>NO</v>
          </cell>
        </row>
        <row r="357">
          <cell r="A357">
            <v>202207878</v>
          </cell>
          <cell r="B357" t="str">
            <v>R</v>
          </cell>
          <cell r="C357" t="str">
            <v>X</v>
          </cell>
          <cell r="D357" t="str">
            <v>O.R</v>
          </cell>
          <cell r="E357" t="str">
            <v>Scatole Imballo Alba/Onda 10/4</v>
          </cell>
          <cell r="F357"/>
          <cell r="G357" t="str">
            <v>ORF22-2625</v>
          </cell>
          <cell r="H357">
            <v>44834</v>
          </cell>
          <cell r="I357"/>
          <cell r="J357">
            <v>6000</v>
          </cell>
          <cell r="K357" t="str">
            <v>3.000 fogli</v>
          </cell>
          <cell r="L357">
            <v>1</v>
          </cell>
          <cell r="M357">
            <v>44897</v>
          </cell>
          <cell r="N357" t="str">
            <v>VARIE DATE</v>
          </cell>
          <cell r="O357"/>
          <cell r="P357" t="str">
            <v>115 250</v>
          </cell>
          <cell r="Q357" t="str">
            <v>NO</v>
          </cell>
          <cell r="R357" t="str">
            <v>4Q</v>
          </cell>
          <cell r="S357" t="str">
            <v>V.ce opaca</v>
          </cell>
          <cell r="T357" t="str">
            <v>Esistente</v>
          </cell>
          <cell r="U357" t="str">
            <v>Esistente</v>
          </cell>
          <cell r="V357" t="str">
            <v>SI</v>
          </cell>
          <cell r="W357" t="str">
            <v>NO</v>
          </cell>
        </row>
        <row r="358">
          <cell r="A358">
            <v>202207941</v>
          </cell>
          <cell r="B358" t="str">
            <v>N</v>
          </cell>
          <cell r="C358" t="str">
            <v>X</v>
          </cell>
          <cell r="D358" t="str">
            <v>Offel</v>
          </cell>
          <cell r="E358" t="str">
            <v>Scatole stampstet 1E - G1721E</v>
          </cell>
          <cell r="F358" t="str">
            <v>1E</v>
          </cell>
          <cell r="G358">
            <v>231</v>
          </cell>
          <cell r="H358">
            <v>44858</v>
          </cell>
          <cell r="I358"/>
          <cell r="J358">
            <v>50000</v>
          </cell>
          <cell r="K358" t="str">
            <v>12.500 fogli</v>
          </cell>
          <cell r="L358">
            <v>1</v>
          </cell>
          <cell r="M358">
            <v>44900</v>
          </cell>
          <cell r="N358"/>
          <cell r="O358" t="str">
            <v>CR0204</v>
          </cell>
          <cell r="P358" t="str">
            <v>112 385</v>
          </cell>
          <cell r="Q358" t="str">
            <v>NO</v>
          </cell>
          <cell r="R358" t="str">
            <v>5P</v>
          </cell>
          <cell r="S358" t="str">
            <v>V.ce opaca</v>
          </cell>
          <cell r="T358" t="str">
            <v>Esistente</v>
          </cell>
          <cell r="U358" t="str">
            <v>Esistente</v>
          </cell>
          <cell r="V358" t="str">
            <v>SI</v>
          </cell>
          <cell r="W358" t="str">
            <v>NO</v>
          </cell>
        </row>
        <row r="359">
          <cell r="A359">
            <v>202207942</v>
          </cell>
          <cell r="B359" t="str">
            <v>N</v>
          </cell>
          <cell r="C359" t="str">
            <v>X</v>
          </cell>
          <cell r="D359" t="str">
            <v>Offel</v>
          </cell>
          <cell r="E359" t="str">
            <v>Scatole stampstet 33E - G1726E</v>
          </cell>
          <cell r="F359" t="str">
            <v>33E</v>
          </cell>
          <cell r="G359">
            <v>231</v>
          </cell>
          <cell r="H359">
            <v>44858</v>
          </cell>
          <cell r="I359"/>
          <cell r="J359">
            <v>35000</v>
          </cell>
          <cell r="K359" t="str">
            <v>8.750 fogli</v>
          </cell>
          <cell r="L359">
            <v>1</v>
          </cell>
          <cell r="M359">
            <v>44900</v>
          </cell>
          <cell r="N359"/>
          <cell r="O359" t="str">
            <v>CR0205</v>
          </cell>
          <cell r="P359" t="str">
            <v>112 385</v>
          </cell>
          <cell r="Q359" t="str">
            <v>NO</v>
          </cell>
          <cell r="R359" t="str">
            <v>5P</v>
          </cell>
          <cell r="S359" t="str">
            <v>V.ce opaca</v>
          </cell>
          <cell r="T359" t="str">
            <v>Esistente</v>
          </cell>
          <cell r="U359" t="str">
            <v>Esistente</v>
          </cell>
          <cell r="V359" t="str">
            <v>SI</v>
          </cell>
          <cell r="W359" t="str">
            <v>NO</v>
          </cell>
        </row>
        <row r="360">
          <cell r="A360">
            <v>202207978</v>
          </cell>
          <cell r="B360"/>
          <cell r="C360"/>
          <cell r="D360" t="str">
            <v>Bergen</v>
          </cell>
          <cell r="E360" t="str">
            <v>Astucci Tippy</v>
          </cell>
          <cell r="F360"/>
          <cell r="G360">
            <v>2</v>
          </cell>
          <cell r="H360">
            <v>44879</v>
          </cell>
          <cell r="I360"/>
          <cell r="J360">
            <v>24000</v>
          </cell>
          <cell r="K360" t="str">
            <v>2.400 fogli</v>
          </cell>
          <cell r="L360">
            <v>1</v>
          </cell>
          <cell r="M360">
            <v>44907</v>
          </cell>
          <cell r="N360" t="str">
            <v>VIPAL</v>
          </cell>
          <cell r="O360" t="str">
            <v>CR0219</v>
          </cell>
          <cell r="P360" t="str">
            <v>112 385 49x88,5</v>
          </cell>
          <cell r="Q360" t="str">
            <v>NO</v>
          </cell>
          <cell r="R360" t="str">
            <v>4Q + 1P</v>
          </cell>
          <cell r="S360" t="str">
            <v>V.ce lucida</v>
          </cell>
          <cell r="T360" t="str">
            <v>Esistente</v>
          </cell>
          <cell r="U360" t="str">
            <v>Esistente</v>
          </cell>
          <cell r="V360" t="str">
            <v>SI</v>
          </cell>
          <cell r="W360" t="str">
            <v>NO</v>
          </cell>
        </row>
        <row r="361">
          <cell r="A361">
            <v>202207917</v>
          </cell>
          <cell r="B361"/>
          <cell r="C361"/>
          <cell r="D361" t="str">
            <v>Essegel</v>
          </cell>
          <cell r="E361" t="str">
            <v>Astucci 10 Ghiaccioli Nuova misura MD</v>
          </cell>
          <cell r="F361"/>
          <cell r="G361">
            <v>253</v>
          </cell>
          <cell r="H361">
            <v>44848</v>
          </cell>
          <cell r="I361"/>
          <cell r="J361">
            <v>200000</v>
          </cell>
          <cell r="K361" t="str">
            <v>50.000 fogli</v>
          </cell>
          <cell r="L361">
            <v>1</v>
          </cell>
          <cell r="M361">
            <v>44915</v>
          </cell>
          <cell r="N361"/>
          <cell r="O361" t="str">
            <v>CR0199</v>
          </cell>
          <cell r="P361" t="str">
            <v>112 400 60x106</v>
          </cell>
          <cell r="Q361" t="str">
            <v>NO</v>
          </cell>
          <cell r="R361" t="str">
            <v>4Q</v>
          </cell>
          <cell r="S361" t="str">
            <v>V.ce lucida</v>
          </cell>
          <cell r="T361" t="str">
            <v>Esistente</v>
          </cell>
          <cell r="U361" t="str">
            <v>Esistente</v>
          </cell>
          <cell r="V361" t="str">
            <v>SI</v>
          </cell>
          <cell r="W361" t="str">
            <v>NO</v>
          </cell>
        </row>
        <row r="362">
          <cell r="A362">
            <v>202207974</v>
          </cell>
          <cell r="B362" t="str">
            <v>R</v>
          </cell>
          <cell r="C362"/>
          <cell r="D362" t="str">
            <v>Dore Dore</v>
          </cell>
          <cell r="E362" t="str">
            <v>Scatole neutre 4 angoli</v>
          </cell>
          <cell r="F362" t="str">
            <v>DD</v>
          </cell>
          <cell r="G362">
            <v>1312</v>
          </cell>
          <cell r="H362">
            <v>44876</v>
          </cell>
          <cell r="I362"/>
          <cell r="J362">
            <v>150000</v>
          </cell>
          <cell r="K362" t="str">
            <v>52.500 fogli</v>
          </cell>
          <cell r="L362">
            <v>3</v>
          </cell>
          <cell r="M362">
            <v>44927</v>
          </cell>
          <cell r="N362"/>
          <cell r="O362" t="str">
            <v>CR0074</v>
          </cell>
          <cell r="P362" t="str">
            <v>KA 350 83,5x72</v>
          </cell>
          <cell r="Q362" t="str">
            <v>NO</v>
          </cell>
          <cell r="R362" t="str">
            <v>-</v>
          </cell>
          <cell r="S362" t="str">
            <v>-</v>
          </cell>
          <cell r="T362" t="str">
            <v>-</v>
          </cell>
          <cell r="U362" t="str">
            <v>Nuova</v>
          </cell>
          <cell r="V362" t="str">
            <v>NO</v>
          </cell>
          <cell r="W362" t="str">
            <v>NO</v>
          </cell>
        </row>
        <row r="363">
          <cell r="A363">
            <v>202207949</v>
          </cell>
          <cell r="B363"/>
          <cell r="C363"/>
          <cell r="D363" t="str">
            <v>Alfagel</v>
          </cell>
          <cell r="E363" t="str">
            <v>Astucci MDD</v>
          </cell>
          <cell r="F363" t="str">
            <v>Cartone riciclato</v>
          </cell>
          <cell r="G363">
            <v>263</v>
          </cell>
          <cell r="H363">
            <v>44858</v>
          </cell>
          <cell r="I363"/>
          <cell r="J363">
            <v>270000</v>
          </cell>
          <cell r="K363" t="str">
            <v>67.500 fogli</v>
          </cell>
          <cell r="L363">
            <v>5</v>
          </cell>
          <cell r="M363">
            <v>44942</v>
          </cell>
          <cell r="N363"/>
          <cell r="O363" t="str">
            <v>CR0209</v>
          </cell>
          <cell r="P363" t="str">
            <v>112 400</v>
          </cell>
          <cell r="Q363" t="str">
            <v>NO</v>
          </cell>
          <cell r="R363" t="str">
            <v>4Q + 3P</v>
          </cell>
          <cell r="S363" t="str">
            <v>V.ce Lucida</v>
          </cell>
          <cell r="T363" t="str">
            <v>Esistente</v>
          </cell>
          <cell r="U363" t="str">
            <v>Esistente</v>
          </cell>
          <cell r="V363" t="str">
            <v>SI</v>
          </cell>
          <cell r="W363" t="str">
            <v>NO</v>
          </cell>
        </row>
        <row r="364">
          <cell r="A364">
            <v>202207950</v>
          </cell>
          <cell r="B364"/>
          <cell r="C364"/>
          <cell r="D364" t="str">
            <v>Alfagel</v>
          </cell>
          <cell r="E364" t="str">
            <v>Astucci MDD</v>
          </cell>
          <cell r="F364" t="str">
            <v>Cartone tambrite</v>
          </cell>
          <cell r="G364">
            <v>263</v>
          </cell>
          <cell r="H364">
            <v>44858</v>
          </cell>
          <cell r="I364"/>
          <cell r="J364">
            <v>150000</v>
          </cell>
          <cell r="K364" t="str">
            <v>37.500 fogli</v>
          </cell>
          <cell r="L364">
            <v>4</v>
          </cell>
          <cell r="M364">
            <v>44942</v>
          </cell>
          <cell r="N364"/>
          <cell r="O364" t="str">
            <v>CR0208</v>
          </cell>
          <cell r="P364" t="str">
            <v>GC2 285</v>
          </cell>
          <cell r="Q364" t="str">
            <v>NO</v>
          </cell>
          <cell r="R364" t="str">
            <v>4Q + 3P</v>
          </cell>
          <cell r="S364" t="str">
            <v>V.ce Lucida</v>
          </cell>
          <cell r="T364" t="str">
            <v>Esistente</v>
          </cell>
          <cell r="U364" t="str">
            <v>Esistente</v>
          </cell>
          <cell r="V364" t="str">
            <v>SI</v>
          </cell>
          <cell r="W364" t="str">
            <v>NO</v>
          </cell>
        </row>
        <row r="365">
          <cell r="A365">
            <v>202207951</v>
          </cell>
          <cell r="B365"/>
          <cell r="C365"/>
          <cell r="D365" t="str">
            <v>Alfagel</v>
          </cell>
          <cell r="E365" t="str">
            <v>Astucci MDD</v>
          </cell>
          <cell r="F365" t="str">
            <v>Nuova Misura</v>
          </cell>
          <cell r="G365">
            <v>263</v>
          </cell>
          <cell r="H365">
            <v>44858</v>
          </cell>
          <cell r="I365"/>
          <cell r="J365">
            <v>80000</v>
          </cell>
          <cell r="K365" t="str">
            <v>20.000 fogli</v>
          </cell>
          <cell r="L365">
            <v>2</v>
          </cell>
          <cell r="M365">
            <v>44942</v>
          </cell>
          <cell r="N365"/>
          <cell r="O365" t="str">
            <v>CR0209</v>
          </cell>
          <cell r="P365" t="str">
            <v>112 400</v>
          </cell>
          <cell r="Q365" t="str">
            <v>NO</v>
          </cell>
          <cell r="R365" t="str">
            <v>4Q + 3P</v>
          </cell>
          <cell r="S365" t="str">
            <v>V.ce Lucida</v>
          </cell>
          <cell r="T365" t="str">
            <v>Esistente</v>
          </cell>
          <cell r="U365" t="str">
            <v>Esistente</v>
          </cell>
          <cell r="V365" t="str">
            <v>SI</v>
          </cell>
          <cell r="W365" t="str">
            <v>NO</v>
          </cell>
        </row>
        <row r="366">
          <cell r="A366">
            <v>202207919</v>
          </cell>
          <cell r="B366"/>
          <cell r="C366"/>
          <cell r="D366" t="str">
            <v>Alfagel</v>
          </cell>
          <cell r="E366" t="str">
            <v>Astucci Pop Fruit 5 Pz</v>
          </cell>
          <cell r="F366"/>
          <cell r="G366">
            <v>254</v>
          </cell>
          <cell r="H366">
            <v>44848</v>
          </cell>
          <cell r="I366"/>
          <cell r="J366">
            <v>400000</v>
          </cell>
          <cell r="K366" t="str">
            <v>100.000 fogli</v>
          </cell>
          <cell r="L366">
            <v>5</v>
          </cell>
          <cell r="M366">
            <v>44949</v>
          </cell>
          <cell r="N366"/>
          <cell r="O366" t="str">
            <v>CR0198</v>
          </cell>
          <cell r="P366" t="str">
            <v>112 400 62x81</v>
          </cell>
          <cell r="Q366" t="str">
            <v>NO</v>
          </cell>
          <cell r="R366" t="str">
            <v>4Q + 3P</v>
          </cell>
          <cell r="S366" t="str">
            <v>V.ce lucida</v>
          </cell>
          <cell r="T366" t="str">
            <v>Esistente</v>
          </cell>
          <cell r="U366" t="str">
            <v>Esistente</v>
          </cell>
          <cell r="V366" t="str">
            <v>SI</v>
          </cell>
          <cell r="W366" t="str">
            <v>NO</v>
          </cell>
        </row>
        <row r="367">
          <cell r="A367">
            <v>202207920</v>
          </cell>
          <cell r="B367"/>
          <cell r="C367"/>
          <cell r="D367" t="str">
            <v>Alfagel</v>
          </cell>
          <cell r="E367" t="str">
            <v>Astucci Multitype</v>
          </cell>
          <cell r="F367"/>
          <cell r="G367">
            <v>254</v>
          </cell>
          <cell r="H367">
            <v>44848</v>
          </cell>
          <cell r="I367"/>
          <cell r="J367">
            <v>180000</v>
          </cell>
          <cell r="K367" t="str">
            <v>45.000 fogli</v>
          </cell>
          <cell r="L367">
            <v>5</v>
          </cell>
          <cell r="M367">
            <v>44977</v>
          </cell>
          <cell r="N367"/>
          <cell r="O367"/>
          <cell r="P367" t="str">
            <v>112 400 55x101</v>
          </cell>
          <cell r="Q367" t="str">
            <v>NO</v>
          </cell>
          <cell r="R367" t="str">
            <v>4Q + 2P</v>
          </cell>
          <cell r="S367" t="str">
            <v>V.ce lucida</v>
          </cell>
          <cell r="T367" t="str">
            <v>Esistente</v>
          </cell>
          <cell r="U367" t="str">
            <v>Esistente</v>
          </cell>
          <cell r="V367" t="str">
            <v>Si</v>
          </cell>
          <cell r="W367" t="str">
            <v>NO</v>
          </cell>
        </row>
      </sheetData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Clienti"/>
      <sheetName val="Giacenza_Articoli"/>
      <sheetName val="DB_Articoli"/>
      <sheetName val="Linee_clienti"/>
      <sheetName val="Accessori"/>
    </sheetNames>
    <sheetDataSet>
      <sheetData sheetId="0"/>
      <sheetData sheetId="1">
        <row r="2">
          <cell r="A2" t="str">
            <v>CLIENTE</v>
          </cell>
          <cell r="B2" t="str">
            <v>ACRONIMO</v>
          </cell>
          <cell r="C2" t="str">
            <v>TIPO BANCALE</v>
          </cell>
          <cell r="D2" t="str">
            <v>ANGOLARI</v>
          </cell>
          <cell r="E2" t="str">
            <v>H BANCALE</v>
          </cell>
          <cell r="F2" t="str">
            <v>GIORNI DI RITIRO</v>
          </cell>
          <cell r="G2" t="str">
            <v>MODELLI MISTI</v>
          </cell>
          <cell r="H2" t="str">
            <v>SCATOLONI CON SCRITTE</v>
          </cell>
          <cell r="I2" t="str">
            <v>NR. CAMPIONI</v>
          </cell>
          <cell r="J2" t="str">
            <v>TIPO CARTELLO</v>
          </cell>
          <cell r="K2" t="str">
            <v>CARTELLO CODICE</v>
          </cell>
          <cell r="L2" t="str">
            <v>CARTELLO DESTIAZIONE</v>
          </cell>
          <cell r="M2" t="str">
            <v>NOTE</v>
          </cell>
        </row>
        <row r="3">
          <cell r="A3" t="str">
            <v>ADPRESSCOMMUNICATIONS</v>
          </cell>
          <cell r="B3" t="str">
            <v>ADP</v>
          </cell>
          <cell r="C3" t="str">
            <v>FINTO</v>
          </cell>
          <cell r="D3" t="str">
            <v>NO</v>
          </cell>
          <cell r="E3" t="str">
            <v>-</v>
          </cell>
          <cell r="G3" t="str">
            <v>NO</v>
          </cell>
          <cell r="H3" t="str">
            <v>NO</v>
          </cell>
          <cell r="I3">
            <v>1</v>
          </cell>
          <cell r="J3" t="str">
            <v>CLASSICO</v>
          </cell>
          <cell r="K3" t="str">
            <v>-</v>
          </cell>
          <cell r="L3" t="str">
            <v>-</v>
          </cell>
          <cell r="M3" t="str">
            <v>-</v>
          </cell>
        </row>
        <row r="4">
          <cell r="A4" t="str">
            <v>ALCASS</v>
          </cell>
          <cell r="B4" t="str">
            <v>ALC</v>
          </cell>
          <cell r="C4" t="str">
            <v>EPAL</v>
          </cell>
          <cell r="D4" t="str">
            <v>NO</v>
          </cell>
          <cell r="E4" t="str">
            <v>H 1.30</v>
          </cell>
          <cell r="G4" t="str">
            <v>NO</v>
          </cell>
          <cell r="H4" t="str">
            <v>-</v>
          </cell>
          <cell r="I4">
            <v>1</v>
          </cell>
          <cell r="J4" t="str">
            <v>CLASSICO</v>
          </cell>
          <cell r="K4" t="str">
            <v>-</v>
          </cell>
          <cell r="L4" t="str">
            <v>-</v>
          </cell>
          <cell r="M4" t="str">
            <v>-</v>
          </cell>
        </row>
        <row r="5">
          <cell r="A5" t="str">
            <v>ALEX 2000</v>
          </cell>
          <cell r="B5" t="str">
            <v>ALX</v>
          </cell>
          <cell r="C5" t="str">
            <v>FINTO/PERDERE</v>
          </cell>
          <cell r="D5" t="str">
            <v>NO</v>
          </cell>
          <cell r="E5" t="str">
            <v>-</v>
          </cell>
          <cell r="G5" t="str">
            <v>SI</v>
          </cell>
          <cell r="H5" t="str">
            <v>-</v>
          </cell>
          <cell r="I5">
            <v>1</v>
          </cell>
          <cell r="J5" t="str">
            <v>CLASSICO</v>
          </cell>
          <cell r="K5" t="str">
            <v>-</v>
          </cell>
          <cell r="L5" t="str">
            <v>SI</v>
          </cell>
          <cell r="M5" t="str">
            <v>-</v>
          </cell>
        </row>
        <row r="6">
          <cell r="A6" t="str">
            <v>ALFAGEL</v>
          </cell>
          <cell r="B6" t="str">
            <v>ALF</v>
          </cell>
          <cell r="C6" t="str">
            <v>FINTO</v>
          </cell>
          <cell r="D6" t="str">
            <v>SI</v>
          </cell>
          <cell r="E6" t="str">
            <v>H 1.45</v>
          </cell>
          <cell r="G6" t="str">
            <v>NO</v>
          </cell>
          <cell r="H6" t="str">
            <v>-</v>
          </cell>
          <cell r="I6">
            <v>1</v>
          </cell>
          <cell r="J6" t="str">
            <v>CLASSICO</v>
          </cell>
          <cell r="K6" t="str">
            <v>-</v>
          </cell>
          <cell r="L6" t="str">
            <v>-</v>
          </cell>
          <cell r="M6" t="str">
            <v>-</v>
          </cell>
        </row>
        <row r="7">
          <cell r="A7" t="str">
            <v>ATELIER_CLUSONE</v>
          </cell>
          <cell r="B7" t="str">
            <v>ATL</v>
          </cell>
          <cell r="C7" t="str">
            <v>PERDERE</v>
          </cell>
          <cell r="D7" t="str">
            <v>NO</v>
          </cell>
          <cell r="E7" t="str">
            <v>-</v>
          </cell>
          <cell r="G7" t="str">
            <v>NO</v>
          </cell>
          <cell r="H7" t="str">
            <v>-</v>
          </cell>
          <cell r="I7">
            <v>1</v>
          </cell>
          <cell r="J7" t="str">
            <v>CLASSICO</v>
          </cell>
          <cell r="K7" t="str">
            <v>-</v>
          </cell>
          <cell r="L7" t="str">
            <v>-</v>
          </cell>
          <cell r="M7" t="str">
            <v>-</v>
          </cell>
        </row>
        <row r="8">
          <cell r="A8" t="str">
            <v>BATTAGLIO</v>
          </cell>
          <cell r="B8" t="str">
            <v>BTT</v>
          </cell>
          <cell r="C8" t="str">
            <v>PERDERE</v>
          </cell>
          <cell r="D8" t="str">
            <v>NO</v>
          </cell>
          <cell r="E8" t="str">
            <v>-</v>
          </cell>
          <cell r="G8" t="str">
            <v>SI</v>
          </cell>
          <cell r="H8" t="str">
            <v>-</v>
          </cell>
          <cell r="I8">
            <v>1</v>
          </cell>
          <cell r="J8" t="str">
            <v>CLASSICO</v>
          </cell>
          <cell r="K8" t="str">
            <v>-</v>
          </cell>
          <cell r="L8" t="str">
            <v>-</v>
          </cell>
          <cell r="M8" t="str">
            <v>-</v>
          </cell>
        </row>
        <row r="9">
          <cell r="A9" t="str">
            <v>BERGEN</v>
          </cell>
          <cell r="B9" t="str">
            <v>BRG</v>
          </cell>
          <cell r="C9" t="str">
            <v>EPAL VERONA - FINTO MILANO</v>
          </cell>
          <cell r="D9" t="str">
            <v>NO</v>
          </cell>
          <cell r="E9" t="str">
            <v>-</v>
          </cell>
          <cell r="G9" t="str">
            <v>SI</v>
          </cell>
          <cell r="H9" t="str">
            <v>-</v>
          </cell>
          <cell r="I9">
            <v>1</v>
          </cell>
          <cell r="J9" t="str">
            <v>CLASSICO</v>
          </cell>
          <cell r="K9" t="str">
            <v>-</v>
          </cell>
          <cell r="L9" t="str">
            <v>SI SE DIVERSA</v>
          </cell>
          <cell r="M9" t="str">
            <v>-</v>
          </cell>
        </row>
        <row r="10">
          <cell r="A10" t="str">
            <v>MAXIM</v>
          </cell>
          <cell r="C10" t="str">
            <v>FINTO</v>
          </cell>
          <cell r="D10" t="str">
            <v>NO</v>
          </cell>
          <cell r="E10" t="str">
            <v>-</v>
          </cell>
          <cell r="G10" t="str">
            <v>SI</v>
          </cell>
          <cell r="H10" t="str">
            <v>-</v>
          </cell>
          <cell r="I10">
            <v>1</v>
          </cell>
          <cell r="J10" t="str">
            <v>CLASSICO</v>
          </cell>
          <cell r="K10" t="str">
            <v>-</v>
          </cell>
          <cell r="L10" t="str">
            <v>SI</v>
          </cell>
          <cell r="M10" t="str">
            <v>-</v>
          </cell>
        </row>
        <row r="11">
          <cell r="A11" t="str">
            <v>PHARMATEK</v>
          </cell>
          <cell r="C11" t="str">
            <v>FINTO</v>
          </cell>
          <cell r="D11" t="str">
            <v>NO</v>
          </cell>
          <cell r="E11" t="str">
            <v>-</v>
          </cell>
          <cell r="G11" t="str">
            <v>SI</v>
          </cell>
          <cell r="H11" t="str">
            <v>-</v>
          </cell>
          <cell r="I11">
            <v>1</v>
          </cell>
          <cell r="J11" t="str">
            <v>CLASSICO</v>
          </cell>
          <cell r="L11" t="str">
            <v>SI</v>
          </cell>
          <cell r="M11" t="str">
            <v>-</v>
          </cell>
        </row>
        <row r="12">
          <cell r="A12" t="str">
            <v>BIALETTI</v>
          </cell>
          <cell r="C12" t="str">
            <v>EPAL</v>
          </cell>
          <cell r="D12" t="str">
            <v>NO</v>
          </cell>
          <cell r="E12" t="str">
            <v>-</v>
          </cell>
          <cell r="G12" t="str">
            <v>MAX 2</v>
          </cell>
          <cell r="H12" t="str">
            <v>-</v>
          </cell>
          <cell r="I12">
            <v>1</v>
          </cell>
          <cell r="J12" t="str">
            <v>CLASSICO</v>
          </cell>
          <cell r="K12" t="str">
            <v>-</v>
          </cell>
          <cell r="L12" t="str">
            <v>-</v>
          </cell>
          <cell r="M12" t="str">
            <v>-</v>
          </cell>
        </row>
        <row r="13">
          <cell r="A13" t="str">
            <v>BOCCHIA CAFFE'</v>
          </cell>
          <cell r="C13" t="str">
            <v>FINTO</v>
          </cell>
          <cell r="D13" t="str">
            <v>SI</v>
          </cell>
          <cell r="E13" t="str">
            <v>-</v>
          </cell>
          <cell r="G13" t="str">
            <v>SI</v>
          </cell>
          <cell r="H13" t="str">
            <v>-</v>
          </cell>
          <cell r="I13">
            <v>1</v>
          </cell>
          <cell r="J13" t="str">
            <v>CLASSICO</v>
          </cell>
          <cell r="K13" t="str">
            <v>-</v>
          </cell>
          <cell r="L13" t="str">
            <v>SI SE DIVERSA</v>
          </cell>
          <cell r="M13" t="str">
            <v>-</v>
          </cell>
        </row>
        <row r="14">
          <cell r="A14" t="str">
            <v>BONADEI</v>
          </cell>
          <cell r="B14" t="str">
            <v>BND</v>
          </cell>
          <cell r="C14" t="str">
            <v>FINTO</v>
          </cell>
          <cell r="D14" t="str">
            <v>NO</v>
          </cell>
          <cell r="E14" t="str">
            <v>-</v>
          </cell>
          <cell r="G14" t="str">
            <v>SI</v>
          </cell>
          <cell r="H14" t="str">
            <v>-</v>
          </cell>
          <cell r="I14">
            <v>1</v>
          </cell>
          <cell r="J14" t="str">
            <v>CLASSICO</v>
          </cell>
          <cell r="K14" t="str">
            <v>-</v>
          </cell>
          <cell r="L14" t="str">
            <v>-</v>
          </cell>
          <cell r="M14" t="str">
            <v>-</v>
          </cell>
        </row>
        <row r="15">
          <cell r="A15" t="str">
            <v>BRUNO CHIARUTTINI</v>
          </cell>
          <cell r="B15" t="str">
            <v>BRC</v>
          </cell>
          <cell r="C15" t="str">
            <v>PERDERE</v>
          </cell>
          <cell r="D15" t="str">
            <v>NO</v>
          </cell>
          <cell r="E15" t="str">
            <v>-</v>
          </cell>
          <cell r="G15" t="str">
            <v>SI</v>
          </cell>
          <cell r="H15" t="str">
            <v>-</v>
          </cell>
          <cell r="I15">
            <v>1</v>
          </cell>
          <cell r="J15" t="str">
            <v>CLASSICO</v>
          </cell>
          <cell r="K15" t="str">
            <v>-</v>
          </cell>
          <cell r="L15" t="str">
            <v>-</v>
          </cell>
          <cell r="M15" t="str">
            <v>-</v>
          </cell>
        </row>
        <row r="16">
          <cell r="A16" t="str">
            <v>C.R.M.</v>
          </cell>
          <cell r="B16" t="str">
            <v>CRM</v>
          </cell>
          <cell r="C16" t="str">
            <v>FINTO</v>
          </cell>
          <cell r="D16" t="str">
            <v>NO</v>
          </cell>
          <cell r="E16" t="str">
            <v>-</v>
          </cell>
          <cell r="G16" t="str">
            <v>SI</v>
          </cell>
          <cell r="H16" t="str">
            <v>-</v>
          </cell>
          <cell r="I16">
            <v>1</v>
          </cell>
          <cell r="J16" t="str">
            <v>CLASSICO</v>
          </cell>
          <cell r="K16" t="str">
            <v>-</v>
          </cell>
          <cell r="L16" t="str">
            <v>-</v>
          </cell>
          <cell r="M16" t="str">
            <v>-</v>
          </cell>
        </row>
        <row r="17">
          <cell r="A17" t="str">
            <v>CAFFE' DEL DOGE</v>
          </cell>
          <cell r="C17" t="str">
            <v>EPAL</v>
          </cell>
          <cell r="D17" t="str">
            <v>NO</v>
          </cell>
          <cell r="E17" t="str">
            <v>-</v>
          </cell>
          <cell r="G17" t="str">
            <v>NO</v>
          </cell>
          <cell r="H17" t="str">
            <v>-</v>
          </cell>
          <cell r="I17">
            <v>1</v>
          </cell>
          <cell r="J17" t="str">
            <v>CLASSICO</v>
          </cell>
          <cell r="K17" t="str">
            <v>-</v>
          </cell>
          <cell r="L17" t="str">
            <v>SI SE DIVERSA</v>
          </cell>
          <cell r="M17" t="str">
            <v>-</v>
          </cell>
        </row>
        <row r="18">
          <cell r="A18" t="str">
            <v>CALZ.CAROL</v>
          </cell>
          <cell r="C18" t="str">
            <v>FINTO</v>
          </cell>
          <cell r="D18" t="str">
            <v>NO</v>
          </cell>
          <cell r="E18" t="str">
            <v>-</v>
          </cell>
          <cell r="G18" t="str">
            <v>SI</v>
          </cell>
          <cell r="H18" t="str">
            <v>-</v>
          </cell>
          <cell r="I18">
            <v>1</v>
          </cell>
          <cell r="J18" t="str">
            <v>CLASSICO</v>
          </cell>
          <cell r="K18" t="str">
            <v>-</v>
          </cell>
          <cell r="L18" t="str">
            <v>SI</v>
          </cell>
          <cell r="M18" t="str">
            <v>-</v>
          </cell>
        </row>
        <row r="19">
          <cell r="A19" t="str">
            <v>CALZ.GENNY</v>
          </cell>
          <cell r="B19" t="str">
            <v>GNN</v>
          </cell>
          <cell r="C19" t="str">
            <v>FINTO</v>
          </cell>
          <cell r="D19" t="str">
            <v>NO</v>
          </cell>
          <cell r="E19" t="str">
            <v>-</v>
          </cell>
          <cell r="G19" t="str">
            <v>NO</v>
          </cell>
          <cell r="H19" t="str">
            <v>-</v>
          </cell>
          <cell r="I19">
            <v>1</v>
          </cell>
          <cell r="J19" t="str">
            <v>CLASSICO</v>
          </cell>
          <cell r="K19" t="str">
            <v>-</v>
          </cell>
          <cell r="L19" t="str">
            <v>-</v>
          </cell>
        </row>
        <row r="20">
          <cell r="A20" t="str">
            <v>CALZ.ITALIANO</v>
          </cell>
          <cell r="C20" t="str">
            <v>FINTO</v>
          </cell>
          <cell r="D20" t="str">
            <v>NO</v>
          </cell>
          <cell r="E20" t="str">
            <v>-</v>
          </cell>
          <cell r="G20" t="str">
            <v>NO</v>
          </cell>
          <cell r="H20" t="str">
            <v>-</v>
          </cell>
          <cell r="I20">
            <v>1</v>
          </cell>
          <cell r="J20" t="str">
            <v>CLASSICO</v>
          </cell>
          <cell r="K20" t="str">
            <v>-</v>
          </cell>
          <cell r="L20" t="str">
            <v>-</v>
          </cell>
          <cell r="M20" t="str">
            <v>-</v>
          </cell>
        </row>
        <row r="21">
          <cell r="A21" t="str">
            <v>CALZ.PRIMATO</v>
          </cell>
          <cell r="C21" t="str">
            <v>FINTO</v>
          </cell>
          <cell r="D21" t="str">
            <v>NO</v>
          </cell>
          <cell r="E21" t="str">
            <v>-</v>
          </cell>
          <cell r="G21" t="str">
            <v>SI</v>
          </cell>
          <cell r="H21" t="str">
            <v>-</v>
          </cell>
          <cell r="I21">
            <v>1</v>
          </cell>
          <cell r="J21" t="str">
            <v>CLASSICO</v>
          </cell>
          <cell r="K21" t="str">
            <v>-</v>
          </cell>
          <cell r="L21" t="str">
            <v>SI</v>
          </cell>
          <cell r="M21" t="str">
            <v>-</v>
          </cell>
        </row>
        <row r="22">
          <cell r="A22" t="str">
            <v>CALZ.TONINELLI</v>
          </cell>
          <cell r="C22" t="str">
            <v>FINTO</v>
          </cell>
          <cell r="D22" t="str">
            <v>NO</v>
          </cell>
          <cell r="E22" t="str">
            <v>H 1.30</v>
          </cell>
          <cell r="G22" t="str">
            <v>SI</v>
          </cell>
          <cell r="H22" t="str">
            <v>-</v>
          </cell>
          <cell r="I22">
            <v>1</v>
          </cell>
          <cell r="J22" t="str">
            <v>CLASSICO</v>
          </cell>
          <cell r="K22" t="str">
            <v>-</v>
          </cell>
          <cell r="L22" t="str">
            <v>-</v>
          </cell>
          <cell r="M22" t="str">
            <v>-</v>
          </cell>
        </row>
        <row r="23">
          <cell r="A23" t="str">
            <v>CALZE_BENEDUCI</v>
          </cell>
        </row>
        <row r="24">
          <cell r="A24" t="str">
            <v>CALZE_TRACY</v>
          </cell>
          <cell r="B24" t="str">
            <v>TRC</v>
          </cell>
          <cell r="C24" t="str">
            <v>FINTO</v>
          </cell>
          <cell r="D24" t="str">
            <v>NO</v>
          </cell>
          <cell r="E24" t="str">
            <v>-</v>
          </cell>
          <cell r="G24" t="str">
            <v>SI</v>
          </cell>
          <cell r="H24" t="str">
            <v>-</v>
          </cell>
          <cell r="I24">
            <v>1</v>
          </cell>
          <cell r="J24" t="str">
            <v>CLASSICO</v>
          </cell>
          <cell r="K24" t="str">
            <v>-</v>
          </cell>
          <cell r="L24" t="str">
            <v>SI</v>
          </cell>
          <cell r="M24" t="str">
            <v>-</v>
          </cell>
        </row>
        <row r="25">
          <cell r="A25" t="str">
            <v>CALZIFICIO_BRAM</v>
          </cell>
          <cell r="C25" t="str">
            <v>FINTO</v>
          </cell>
          <cell r="D25" t="str">
            <v>NO</v>
          </cell>
          <cell r="E25" t="str">
            <v>-</v>
          </cell>
          <cell r="G25" t="str">
            <v>SI</v>
          </cell>
          <cell r="H25" t="str">
            <v>-</v>
          </cell>
          <cell r="I25">
            <v>1</v>
          </cell>
          <cell r="J25" t="str">
            <v>CLASSICO</v>
          </cell>
          <cell r="K25" t="str">
            <v>-</v>
          </cell>
          <cell r="L25" t="str">
            <v>SI</v>
          </cell>
          <cell r="M25" t="str">
            <v>-</v>
          </cell>
        </row>
        <row r="26">
          <cell r="A26" t="str">
            <v>CALZIFICIO_CAROL</v>
          </cell>
          <cell r="C26" t="str">
            <v>FINTO</v>
          </cell>
          <cell r="D26" t="str">
            <v>NO</v>
          </cell>
          <cell r="E26" t="str">
            <v>-</v>
          </cell>
          <cell r="G26" t="str">
            <v>SI</v>
          </cell>
          <cell r="H26" t="str">
            <v>-</v>
          </cell>
          <cell r="I26">
            <v>1</v>
          </cell>
          <cell r="J26" t="str">
            <v>CLASSICO</v>
          </cell>
          <cell r="K26" t="str">
            <v>-</v>
          </cell>
          <cell r="L26" t="str">
            <v>SI</v>
          </cell>
          <cell r="M26" t="str">
            <v>-</v>
          </cell>
        </row>
        <row r="27">
          <cell r="A27" t="str">
            <v>CALZIFICIO_EIRE</v>
          </cell>
          <cell r="B27" t="str">
            <v>EIR</v>
          </cell>
          <cell r="C27" t="str">
            <v>EPAL</v>
          </cell>
          <cell r="D27" t="str">
            <v>NO</v>
          </cell>
          <cell r="E27" t="str">
            <v>-</v>
          </cell>
          <cell r="G27" t="str">
            <v>SI</v>
          </cell>
          <cell r="H27" t="str">
            <v>-</v>
          </cell>
          <cell r="I27">
            <v>1</v>
          </cell>
          <cell r="J27" t="str">
            <v>CLASSICO</v>
          </cell>
          <cell r="K27" t="str">
            <v>-</v>
          </cell>
          <cell r="L27" t="str">
            <v>SI</v>
          </cell>
        </row>
        <row r="28">
          <cell r="A28" t="str">
            <v>CALZIFICIO_GIANFERRARI</v>
          </cell>
          <cell r="C28" t="str">
            <v>PERDERE</v>
          </cell>
          <cell r="D28" t="str">
            <v>NO</v>
          </cell>
          <cell r="E28" t="str">
            <v>-</v>
          </cell>
          <cell r="G28" t="str">
            <v>NO</v>
          </cell>
          <cell r="H28" t="str">
            <v>-</v>
          </cell>
          <cell r="I28">
            <v>1</v>
          </cell>
          <cell r="J28" t="str">
            <v>CLASSICO</v>
          </cell>
          <cell r="K28" t="str">
            <v>-</v>
          </cell>
          <cell r="L28" t="str">
            <v>-</v>
          </cell>
          <cell r="M28" t="str">
            <v>-</v>
          </cell>
        </row>
        <row r="29">
          <cell r="A29" t="str">
            <v>CALZIFICIO_MAINA</v>
          </cell>
          <cell r="C29" t="str">
            <v>PERDERE</v>
          </cell>
          <cell r="D29" t="str">
            <v>NO</v>
          </cell>
          <cell r="E29" t="str">
            <v>-</v>
          </cell>
          <cell r="G29" t="str">
            <v>SI</v>
          </cell>
          <cell r="H29" t="str">
            <v>-</v>
          </cell>
          <cell r="I29">
            <v>1</v>
          </cell>
          <cell r="J29" t="str">
            <v>CLASSICO</v>
          </cell>
          <cell r="K29" t="str">
            <v>-</v>
          </cell>
          <cell r="L29" t="str">
            <v>SI</v>
          </cell>
          <cell r="M29" t="str">
            <v>-</v>
          </cell>
        </row>
        <row r="30">
          <cell r="A30" t="str">
            <v>CESARE_RIZZINI</v>
          </cell>
          <cell r="B30" t="str">
            <v>RIZ</v>
          </cell>
          <cell r="C30" t="str">
            <v>PERDERE</v>
          </cell>
          <cell r="D30" t="str">
            <v>NO</v>
          </cell>
          <cell r="E30" t="str">
            <v>-</v>
          </cell>
          <cell r="G30" t="str">
            <v>NO</v>
          </cell>
          <cell r="H30" t="str">
            <v>-</v>
          </cell>
          <cell r="I30">
            <v>1</v>
          </cell>
          <cell r="J30" t="str">
            <v>CLASSICO</v>
          </cell>
          <cell r="K30" t="str">
            <v>-</v>
          </cell>
          <cell r="L30" t="str">
            <v>-</v>
          </cell>
          <cell r="M30" t="str">
            <v>-</v>
          </cell>
        </row>
        <row r="31">
          <cell r="A31" t="str">
            <v>CHS</v>
          </cell>
          <cell r="B31" t="str">
            <v>CHS</v>
          </cell>
          <cell r="C31" t="str">
            <v>PERDERE</v>
          </cell>
          <cell r="D31" t="str">
            <v>NO</v>
          </cell>
          <cell r="E31" t="str">
            <v>-</v>
          </cell>
          <cell r="G31" t="str">
            <v>SI</v>
          </cell>
          <cell r="H31" t="str">
            <v>-</v>
          </cell>
          <cell r="I31">
            <v>1</v>
          </cell>
          <cell r="J31" t="str">
            <v>CLASSICO</v>
          </cell>
          <cell r="K31" t="str">
            <v>-</v>
          </cell>
          <cell r="L31" t="str">
            <v>-</v>
          </cell>
          <cell r="M31" t="str">
            <v>-</v>
          </cell>
        </row>
        <row r="32">
          <cell r="A32" t="str">
            <v>CINTURIFICIO_BRESCIANO</v>
          </cell>
          <cell r="B32" t="str">
            <v>CBS</v>
          </cell>
          <cell r="C32" t="str">
            <v>PERDERE</v>
          </cell>
          <cell r="D32" t="str">
            <v>NO</v>
          </cell>
          <cell r="E32" t="str">
            <v>-</v>
          </cell>
          <cell r="G32" t="str">
            <v>NO</v>
          </cell>
          <cell r="H32" t="str">
            <v>-</v>
          </cell>
          <cell r="I32">
            <v>1</v>
          </cell>
          <cell r="J32" t="str">
            <v>CLASSICO</v>
          </cell>
          <cell r="K32" t="str">
            <v>-</v>
          </cell>
          <cell r="L32" t="str">
            <v>-</v>
          </cell>
          <cell r="M32" t="str">
            <v>-</v>
          </cell>
        </row>
        <row r="33">
          <cell r="A33" t="str">
            <v>COLDFISH</v>
          </cell>
          <cell r="C33" t="str">
            <v>EPAL</v>
          </cell>
          <cell r="D33" t="str">
            <v>NO</v>
          </cell>
          <cell r="E33" t="str">
            <v>-</v>
          </cell>
          <cell r="G33" t="str">
            <v>NO</v>
          </cell>
          <cell r="H33" t="str">
            <v>-</v>
          </cell>
          <cell r="I33">
            <v>1</v>
          </cell>
          <cell r="J33" t="str">
            <v>CLASSICO</v>
          </cell>
          <cell r="K33" t="str">
            <v>-</v>
          </cell>
          <cell r="L33" t="str">
            <v>-</v>
          </cell>
          <cell r="M33" t="str">
            <v>-</v>
          </cell>
        </row>
        <row r="34">
          <cell r="A34" t="str">
            <v>COOP_CARTAI_MODENESE</v>
          </cell>
          <cell r="B34" t="str">
            <v>CCM</v>
          </cell>
          <cell r="C34" t="str">
            <v>FINTO</v>
          </cell>
          <cell r="D34" t="str">
            <v>NO</v>
          </cell>
          <cell r="E34" t="str">
            <v>-</v>
          </cell>
          <cell r="G34" t="str">
            <v>NO</v>
          </cell>
          <cell r="H34" t="str">
            <v>-</v>
          </cell>
          <cell r="I34">
            <v>1</v>
          </cell>
          <cell r="J34" t="str">
            <v>CLASSICO</v>
          </cell>
          <cell r="K34" t="str">
            <v>-</v>
          </cell>
          <cell r="L34" t="str">
            <v>-</v>
          </cell>
          <cell r="M34" t="str">
            <v>-</v>
          </cell>
        </row>
        <row r="35">
          <cell r="A35" t="str">
            <v>COOP.VITIVINICOLA</v>
          </cell>
          <cell r="B35" t="str">
            <v>VIT</v>
          </cell>
          <cell r="C35" t="str">
            <v>EPAL</v>
          </cell>
          <cell r="D35" t="str">
            <v>NO</v>
          </cell>
          <cell r="E35" t="str">
            <v>-</v>
          </cell>
          <cell r="G35" t="str">
            <v>NO</v>
          </cell>
          <cell r="H35" t="str">
            <v>-</v>
          </cell>
          <cell r="I35">
            <v>1</v>
          </cell>
          <cell r="J35" t="str">
            <v>CLASSICO</v>
          </cell>
          <cell r="K35" t="str">
            <v>-</v>
          </cell>
          <cell r="L35" t="str">
            <v>-</v>
          </cell>
          <cell r="M35" t="str">
            <v>-</v>
          </cell>
        </row>
        <row r="36">
          <cell r="A36" t="str">
            <v>COSMAI_CAFFE'</v>
          </cell>
          <cell r="B36" t="str">
            <v>CSM</v>
          </cell>
          <cell r="C36" t="str">
            <v>FINTO</v>
          </cell>
          <cell r="D36" t="str">
            <v>NO</v>
          </cell>
          <cell r="E36" t="str">
            <v>-</v>
          </cell>
          <cell r="G36" t="str">
            <v>SI</v>
          </cell>
          <cell r="H36" t="str">
            <v>-</v>
          </cell>
          <cell r="I36">
            <v>1</v>
          </cell>
          <cell r="J36" t="str">
            <v>CLASSICO</v>
          </cell>
          <cell r="K36" t="str">
            <v>-</v>
          </cell>
          <cell r="L36" t="str">
            <v>-</v>
          </cell>
          <cell r="M36" t="str">
            <v>-</v>
          </cell>
        </row>
        <row r="37">
          <cell r="A37" t="str">
            <v>CRAVATTIFICIO_CONTI</v>
          </cell>
          <cell r="C37" t="str">
            <v>PERDERE</v>
          </cell>
          <cell r="D37" t="str">
            <v>NO</v>
          </cell>
          <cell r="E37" t="str">
            <v>-</v>
          </cell>
          <cell r="G37" t="str">
            <v>NO</v>
          </cell>
          <cell r="H37" t="str">
            <v>-</v>
          </cell>
          <cell r="I37">
            <v>1</v>
          </cell>
          <cell r="J37" t="str">
            <v>CLASSICO</v>
          </cell>
          <cell r="K37" t="str">
            <v>-</v>
          </cell>
          <cell r="L37" t="str">
            <v>-</v>
          </cell>
          <cell r="M37" t="str">
            <v>-</v>
          </cell>
        </row>
        <row r="38">
          <cell r="A38" t="str">
            <v>D_AND_G</v>
          </cell>
          <cell r="B38" t="str">
            <v>DEG</v>
          </cell>
          <cell r="C38" t="str">
            <v>PERDERE</v>
          </cell>
          <cell r="D38" t="str">
            <v>NO</v>
          </cell>
          <cell r="E38" t="str">
            <v>-</v>
          </cell>
          <cell r="G38" t="str">
            <v>SI</v>
          </cell>
          <cell r="H38" t="str">
            <v>-</v>
          </cell>
          <cell r="I38">
            <v>1</v>
          </cell>
          <cell r="J38" t="str">
            <v>CLASSICO</v>
          </cell>
          <cell r="K38" t="str">
            <v>-</v>
          </cell>
          <cell r="L38" t="str">
            <v>-</v>
          </cell>
          <cell r="M38" t="str">
            <v>-</v>
          </cell>
        </row>
        <row r="39">
          <cell r="A39" t="str">
            <v>DIAMANTEA</v>
          </cell>
          <cell r="C39" t="str">
            <v>PERDERE</v>
          </cell>
          <cell r="D39" t="str">
            <v>NO</v>
          </cell>
          <cell r="E39" t="str">
            <v>-</v>
          </cell>
          <cell r="G39" t="str">
            <v>SI</v>
          </cell>
          <cell r="H39" t="str">
            <v>-</v>
          </cell>
          <cell r="I39">
            <v>1</v>
          </cell>
          <cell r="J39" t="str">
            <v>CLASSICO</v>
          </cell>
          <cell r="K39" t="str">
            <v>-</v>
          </cell>
          <cell r="L39" t="str">
            <v>-</v>
          </cell>
          <cell r="M39" t="str">
            <v>-</v>
          </cell>
        </row>
        <row r="40">
          <cell r="A40" t="str">
            <v>DIEMME GELATI</v>
          </cell>
          <cell r="C40" t="str">
            <v>EPAL</v>
          </cell>
          <cell r="D40" t="str">
            <v>SI</v>
          </cell>
          <cell r="E40" t="str">
            <v>-</v>
          </cell>
          <cell r="G40" t="str">
            <v>NO</v>
          </cell>
          <cell r="H40" t="str">
            <v>-</v>
          </cell>
          <cell r="I40">
            <v>4</v>
          </cell>
          <cell r="J40" t="str">
            <v>2 CARTELLI A3</v>
          </cell>
          <cell r="K40" t="str">
            <v>-</v>
          </cell>
          <cell r="L40" t="str">
            <v>-</v>
          </cell>
          <cell r="M40" t="str">
            <v>-</v>
          </cell>
        </row>
        <row r="41">
          <cell r="A41" t="str">
            <v>DORE DORE</v>
          </cell>
          <cell r="B41" t="str">
            <v>DD</v>
          </cell>
          <cell r="C41" t="str">
            <v>FINTO</v>
          </cell>
          <cell r="D41" t="str">
            <v>NO</v>
          </cell>
          <cell r="E41" t="str">
            <v>-</v>
          </cell>
          <cell r="G41" t="str">
            <v>SI</v>
          </cell>
          <cell r="H41" t="str">
            <v>-</v>
          </cell>
          <cell r="I41">
            <v>1</v>
          </cell>
          <cell r="J41" t="str">
            <v>CLASSICO</v>
          </cell>
          <cell r="K41" t="str">
            <v>-</v>
          </cell>
          <cell r="L41" t="str">
            <v>-</v>
          </cell>
          <cell r="M41" t="str">
            <v>-</v>
          </cell>
        </row>
        <row r="42">
          <cell r="A42" t="str">
            <v>DORINGEL</v>
          </cell>
          <cell r="C42" t="str">
            <v>EPAL</v>
          </cell>
          <cell r="D42" t="str">
            <v>NO</v>
          </cell>
          <cell r="E42" t="str">
            <v>H 1.30</v>
          </cell>
          <cell r="G42" t="str">
            <v>NO</v>
          </cell>
          <cell r="H42" t="str">
            <v>-</v>
          </cell>
          <cell r="I42">
            <v>4</v>
          </cell>
          <cell r="J42" t="str">
            <v>2 CARTELLI A3</v>
          </cell>
          <cell r="K42" t="str">
            <v>-</v>
          </cell>
          <cell r="L42" t="str">
            <v>-</v>
          </cell>
          <cell r="M42" t="str">
            <v>-</v>
          </cell>
        </row>
        <row r="43">
          <cell r="A43" t="str">
            <v>DUE GALLI</v>
          </cell>
          <cell r="C43" t="str">
            <v>PERDERE</v>
          </cell>
          <cell r="D43" t="str">
            <v>NO</v>
          </cell>
          <cell r="E43" t="str">
            <v>-</v>
          </cell>
          <cell r="G43" t="str">
            <v>NO</v>
          </cell>
          <cell r="H43" t="str">
            <v>-</v>
          </cell>
          <cell r="I43">
            <v>1</v>
          </cell>
          <cell r="J43" t="str">
            <v>CLASSICO</v>
          </cell>
          <cell r="K43" t="str">
            <v>-</v>
          </cell>
          <cell r="L43" t="str">
            <v>-</v>
          </cell>
          <cell r="M43" t="str">
            <v>-</v>
          </cell>
        </row>
        <row r="44">
          <cell r="A44" t="str">
            <v>ECO BIO ALIMENTARE</v>
          </cell>
          <cell r="C44" t="str">
            <v>FINTO</v>
          </cell>
          <cell r="D44" t="str">
            <v>NO</v>
          </cell>
          <cell r="E44" t="str">
            <v>-</v>
          </cell>
          <cell r="G44" t="str">
            <v>NO</v>
          </cell>
          <cell r="H44" t="str">
            <v>-</v>
          </cell>
          <cell r="I44">
            <v>1</v>
          </cell>
          <cell r="J44" t="str">
            <v>CLASSICO</v>
          </cell>
          <cell r="K44" t="str">
            <v>-</v>
          </cell>
          <cell r="L44" t="str">
            <v>-</v>
          </cell>
          <cell r="M44" t="str">
            <v>-</v>
          </cell>
        </row>
        <row r="45">
          <cell r="A45" t="str">
            <v>EDO SPA</v>
          </cell>
          <cell r="B45" t="str">
            <v>EDO</v>
          </cell>
          <cell r="C45" t="str">
            <v>EPAL</v>
          </cell>
          <cell r="D45" t="str">
            <v>NO</v>
          </cell>
          <cell r="E45" t="str">
            <v>H 1.45</v>
          </cell>
          <cell r="G45" t="str">
            <v>NO</v>
          </cell>
          <cell r="H45" t="str">
            <v>-</v>
          </cell>
          <cell r="I45">
            <v>4</v>
          </cell>
          <cell r="J45" t="str">
            <v xml:space="preserve"> 2 CARTELLI A3</v>
          </cell>
          <cell r="K45" t="str">
            <v>-</v>
          </cell>
          <cell r="L45" t="str">
            <v>-</v>
          </cell>
          <cell r="M45" t="str">
            <v>-</v>
          </cell>
        </row>
        <row r="46">
          <cell r="A46" t="str">
            <v>EL FORNER</v>
          </cell>
          <cell r="C46" t="str">
            <v>PERDERE</v>
          </cell>
          <cell r="D46" t="str">
            <v>NO</v>
          </cell>
          <cell r="E46" t="str">
            <v>-</v>
          </cell>
          <cell r="G46" t="str">
            <v>NO</v>
          </cell>
          <cell r="H46" t="str">
            <v>-</v>
          </cell>
          <cell r="I46">
            <v>1</v>
          </cell>
          <cell r="J46" t="str">
            <v>CLASSICO</v>
          </cell>
          <cell r="K46" t="str">
            <v>-</v>
          </cell>
          <cell r="L46" t="str">
            <v>-</v>
          </cell>
          <cell r="M46" t="str">
            <v>-</v>
          </cell>
        </row>
        <row r="47">
          <cell r="A47" t="str">
            <v>EP</v>
          </cell>
          <cell r="C47" t="str">
            <v>EPAL</v>
          </cell>
          <cell r="D47" t="str">
            <v>NO</v>
          </cell>
          <cell r="E47" t="str">
            <v>-</v>
          </cell>
          <cell r="G47" t="str">
            <v>NO</v>
          </cell>
          <cell r="H47" t="str">
            <v>-</v>
          </cell>
          <cell r="I47">
            <v>1</v>
          </cell>
          <cell r="J47" t="str">
            <v>CLASSICO</v>
          </cell>
          <cell r="K47" t="str">
            <v>-</v>
          </cell>
          <cell r="L47" t="str">
            <v>-</v>
          </cell>
          <cell r="M47" t="str">
            <v>mettere data inizio incollatura nel lotto su etichette e cartelli</v>
          </cell>
        </row>
        <row r="48">
          <cell r="A48" t="str">
            <v>ERCOS</v>
          </cell>
        </row>
        <row r="49">
          <cell r="A49" t="str">
            <v>ESSEGEL</v>
          </cell>
          <cell r="B49" t="str">
            <v>ESS</v>
          </cell>
          <cell r="C49" t="str">
            <v>EPAL</v>
          </cell>
          <cell r="D49" t="str">
            <v>NO</v>
          </cell>
          <cell r="E49" t="str">
            <v>H 1.45</v>
          </cell>
          <cell r="G49" t="str">
            <v>NO</v>
          </cell>
          <cell r="H49" t="str">
            <v>-</v>
          </cell>
          <cell r="I49">
            <v>4</v>
          </cell>
          <cell r="J49" t="str">
            <v xml:space="preserve"> 2 CARTELLI A3</v>
          </cell>
          <cell r="K49" t="str">
            <v>-</v>
          </cell>
          <cell r="L49" t="str">
            <v>-</v>
          </cell>
          <cell r="M49" t="str">
            <v>-</v>
          </cell>
        </row>
        <row r="50">
          <cell r="A50" t="str">
            <v>F.LLI BARBIERI</v>
          </cell>
          <cell r="C50" t="str">
            <v>FINTO</v>
          </cell>
          <cell r="D50" t="str">
            <v>NO</v>
          </cell>
          <cell r="E50" t="str">
            <v>-</v>
          </cell>
          <cell r="G50" t="str">
            <v>NO</v>
          </cell>
          <cell r="H50" t="str">
            <v>-</v>
          </cell>
          <cell r="I50">
            <v>1</v>
          </cell>
          <cell r="J50" t="str">
            <v>CLASSICO</v>
          </cell>
          <cell r="K50" t="str">
            <v>-</v>
          </cell>
          <cell r="L50" t="str">
            <v>SI</v>
          </cell>
          <cell r="M50" t="str">
            <v>-</v>
          </cell>
        </row>
        <row r="51">
          <cell r="A51" t="str">
            <v>F.LLI PASQUALINI</v>
          </cell>
          <cell r="C51" t="str">
            <v>FINTO</v>
          </cell>
          <cell r="D51" t="str">
            <v>NO</v>
          </cell>
          <cell r="E51" t="str">
            <v>-</v>
          </cell>
          <cell r="G51" t="str">
            <v>SI</v>
          </cell>
          <cell r="H51" t="str">
            <v>-</v>
          </cell>
          <cell r="I51">
            <v>1</v>
          </cell>
          <cell r="J51" t="str">
            <v>CLASSICO</v>
          </cell>
          <cell r="K51" t="str">
            <v>-</v>
          </cell>
          <cell r="L51" t="str">
            <v>-</v>
          </cell>
          <cell r="M51" t="str">
            <v>-</v>
          </cell>
        </row>
        <row r="52">
          <cell r="A52" t="str">
            <v>FELDI</v>
          </cell>
          <cell r="C52" t="str">
            <v>FINTO</v>
          </cell>
          <cell r="D52" t="str">
            <v>NO</v>
          </cell>
          <cell r="E52" t="str">
            <v>-</v>
          </cell>
          <cell r="G52" t="str">
            <v>NO</v>
          </cell>
          <cell r="H52" t="str">
            <v>-</v>
          </cell>
          <cell r="I52">
            <v>1</v>
          </cell>
          <cell r="J52" t="str">
            <v>CLASSICO</v>
          </cell>
          <cell r="K52" t="str">
            <v>-</v>
          </cell>
          <cell r="L52" t="str">
            <v>-</v>
          </cell>
          <cell r="M52" t="str">
            <v>-</v>
          </cell>
        </row>
        <row r="53">
          <cell r="A53" t="str">
            <v>FRHOME</v>
          </cell>
        </row>
        <row r="54">
          <cell r="A54" t="str">
            <v>GALLO</v>
          </cell>
          <cell r="B54" t="str">
            <v>GLL</v>
          </cell>
          <cell r="C54" t="str">
            <v>FINTO/PERDERE</v>
          </cell>
          <cell r="D54" t="str">
            <v>NO</v>
          </cell>
          <cell r="E54" t="str">
            <v>-</v>
          </cell>
          <cell r="G54" t="str">
            <v>SI</v>
          </cell>
          <cell r="H54" t="str">
            <v>-</v>
          </cell>
          <cell r="I54">
            <v>1</v>
          </cell>
          <cell r="J54" t="str">
            <v>CLASSICO</v>
          </cell>
          <cell r="K54" t="str">
            <v>-</v>
          </cell>
          <cell r="L54" t="str">
            <v>-</v>
          </cell>
          <cell r="M54" t="str">
            <v>-</v>
          </cell>
        </row>
        <row r="55">
          <cell r="A55" t="str">
            <v>GANDOLA</v>
          </cell>
          <cell r="B55" t="str">
            <v>GND</v>
          </cell>
          <cell r="C55" t="str">
            <v>EPAL</v>
          </cell>
          <cell r="D55" t="str">
            <v>SI</v>
          </cell>
          <cell r="E55" t="str">
            <v>-</v>
          </cell>
          <cell r="G55" t="str">
            <v>NO</v>
          </cell>
          <cell r="H55" t="str">
            <v>-</v>
          </cell>
          <cell r="I55">
            <v>1</v>
          </cell>
          <cell r="J55" t="str">
            <v>CLASSICO</v>
          </cell>
          <cell r="K55" t="str">
            <v>-</v>
          </cell>
          <cell r="L55" t="str">
            <v>-</v>
          </cell>
          <cell r="M55" t="str">
            <v>-</v>
          </cell>
        </row>
        <row r="56">
          <cell r="A56" t="str">
            <v>GANDOLA BISCOTTI</v>
          </cell>
          <cell r="B56" t="str">
            <v>GNB</v>
          </cell>
          <cell r="C56" t="str">
            <v>EPAL</v>
          </cell>
          <cell r="D56" t="str">
            <v>SI</v>
          </cell>
          <cell r="E56" t="str">
            <v>-</v>
          </cell>
          <cell r="G56" t="str">
            <v>NO</v>
          </cell>
          <cell r="H56" t="str">
            <v>-</v>
          </cell>
          <cell r="I56">
            <v>1</v>
          </cell>
          <cell r="J56" t="str">
            <v>CLASSICO</v>
          </cell>
          <cell r="K56" t="str">
            <v>-</v>
          </cell>
          <cell r="L56" t="str">
            <v>SI</v>
          </cell>
          <cell r="M56" t="str">
            <v>-</v>
          </cell>
        </row>
        <row r="57">
          <cell r="A57" t="str">
            <v>GEL CREAM</v>
          </cell>
          <cell r="C57" t="str">
            <v>EPAL</v>
          </cell>
          <cell r="D57" t="str">
            <v>NO</v>
          </cell>
          <cell r="E57" t="str">
            <v>H 1.45</v>
          </cell>
          <cell r="G57" t="str">
            <v>NO</v>
          </cell>
          <cell r="H57" t="str">
            <v>-</v>
          </cell>
          <cell r="I57">
            <v>4</v>
          </cell>
          <cell r="J57" t="str">
            <v xml:space="preserve"> 2 CARTELLI A3</v>
          </cell>
          <cell r="K57" t="str">
            <v>-</v>
          </cell>
          <cell r="L57" t="str">
            <v>-</v>
          </cell>
          <cell r="M57" t="str">
            <v>-</v>
          </cell>
        </row>
        <row r="58">
          <cell r="A58" t="str">
            <v>GEM</v>
          </cell>
          <cell r="C58" t="str">
            <v>FINTO/PERDERE</v>
          </cell>
          <cell r="D58" t="str">
            <v>NO</v>
          </cell>
          <cell r="E58" t="str">
            <v>-</v>
          </cell>
          <cell r="G58" t="str">
            <v>SI</v>
          </cell>
          <cell r="H58" t="str">
            <v>-</v>
          </cell>
          <cell r="I58">
            <v>1</v>
          </cell>
          <cell r="J58" t="str">
            <v>CLASSICO</v>
          </cell>
          <cell r="K58" t="str">
            <v>-</v>
          </cell>
          <cell r="L58" t="str">
            <v>-</v>
          </cell>
          <cell r="M58" t="str">
            <v>-</v>
          </cell>
        </row>
        <row r="59">
          <cell r="A59" t="str">
            <v>GHIGI</v>
          </cell>
          <cell r="C59" t="str">
            <v>EPAL</v>
          </cell>
          <cell r="D59" t="str">
            <v>SI</v>
          </cell>
          <cell r="E59" t="str">
            <v>H 1.50</v>
          </cell>
          <cell r="G59" t="str">
            <v>NO</v>
          </cell>
          <cell r="H59" t="str">
            <v>-</v>
          </cell>
          <cell r="I59">
            <v>1</v>
          </cell>
          <cell r="J59" t="str">
            <v>CLASSICO</v>
          </cell>
          <cell r="K59" t="str">
            <v>-</v>
          </cell>
          <cell r="L59" t="str">
            <v>-</v>
          </cell>
          <cell r="M59" t="str">
            <v>-</v>
          </cell>
        </row>
        <row r="60">
          <cell r="A60" t="str">
            <v>GHIRARDINI</v>
          </cell>
          <cell r="C60" t="str">
            <v>PERDERE</v>
          </cell>
          <cell r="D60" t="str">
            <v>-</v>
          </cell>
          <cell r="E60" t="str">
            <v>-</v>
          </cell>
          <cell r="G60" t="str">
            <v>SI</v>
          </cell>
          <cell r="H60" t="str">
            <v>-</v>
          </cell>
          <cell r="I60">
            <v>1</v>
          </cell>
          <cell r="J60" t="str">
            <v>CLASSICO</v>
          </cell>
          <cell r="K60" t="str">
            <v>-</v>
          </cell>
          <cell r="L60" t="str">
            <v>-</v>
          </cell>
          <cell r="M60" t="str">
            <v>-</v>
          </cell>
        </row>
        <row r="61">
          <cell r="A61" t="str">
            <v>GIEFFE PLAST</v>
          </cell>
          <cell r="C61" t="str">
            <v>FINTO</v>
          </cell>
          <cell r="D61" t="str">
            <v>-</v>
          </cell>
          <cell r="E61" t="str">
            <v>-</v>
          </cell>
          <cell r="G61" t="str">
            <v>NO</v>
          </cell>
          <cell r="H61" t="str">
            <v>-</v>
          </cell>
          <cell r="I61">
            <v>1</v>
          </cell>
          <cell r="J61" t="str">
            <v>CLASSICO</v>
          </cell>
          <cell r="K61" t="str">
            <v>-</v>
          </cell>
          <cell r="L61" t="str">
            <v>-</v>
          </cell>
          <cell r="M61" t="str">
            <v>-</v>
          </cell>
        </row>
        <row r="62">
          <cell r="A62" t="str">
            <v>GIOVANNI TRADIGO</v>
          </cell>
          <cell r="B62" t="str">
            <v>TRD</v>
          </cell>
          <cell r="C62" t="str">
            <v>FINTO</v>
          </cell>
          <cell r="D62" t="str">
            <v>NO</v>
          </cell>
          <cell r="E62" t="str">
            <v>-</v>
          </cell>
          <cell r="G62" t="str">
            <v>SI</v>
          </cell>
          <cell r="H62" t="str">
            <v>NO</v>
          </cell>
          <cell r="I62">
            <v>1</v>
          </cell>
          <cell r="J62" t="str">
            <v>CLASSICO</v>
          </cell>
          <cell r="K62" t="str">
            <v>-</v>
          </cell>
          <cell r="L62" t="str">
            <v>SI SE DIVERSA</v>
          </cell>
          <cell r="M62" t="str">
            <v>-</v>
          </cell>
        </row>
        <row r="63">
          <cell r="A63" t="str">
            <v>GIRARDI</v>
          </cell>
          <cell r="C63" t="str">
            <v>FINTO/PERDERE</v>
          </cell>
          <cell r="D63" t="str">
            <v>NO</v>
          </cell>
          <cell r="E63" t="str">
            <v>-</v>
          </cell>
          <cell r="G63" t="str">
            <v>NO</v>
          </cell>
          <cell r="H63" t="str">
            <v>-</v>
          </cell>
          <cell r="I63">
            <v>1</v>
          </cell>
          <cell r="J63" t="str">
            <v>CLASSICO</v>
          </cell>
          <cell r="K63" t="str">
            <v>-</v>
          </cell>
          <cell r="L63" t="str">
            <v>-</v>
          </cell>
          <cell r="M63" t="str">
            <v>-</v>
          </cell>
        </row>
        <row r="64">
          <cell r="A64" t="str">
            <v>GIZETA</v>
          </cell>
          <cell r="C64" t="str">
            <v>EPAL</v>
          </cell>
          <cell r="D64" t="str">
            <v>-</v>
          </cell>
          <cell r="E64" t="str">
            <v>-</v>
          </cell>
          <cell r="G64" t="str">
            <v>NO</v>
          </cell>
          <cell r="H64" t="str">
            <v>-</v>
          </cell>
          <cell r="I64">
            <v>1</v>
          </cell>
          <cell r="J64" t="str">
            <v>CLASSICO</v>
          </cell>
          <cell r="K64" t="str">
            <v>-</v>
          </cell>
          <cell r="L64" t="str">
            <v>-</v>
          </cell>
          <cell r="M64" t="str">
            <v>-</v>
          </cell>
        </row>
        <row r="65">
          <cell r="A65" t="str">
            <v>GOLDEN LADY</v>
          </cell>
          <cell r="C65" t="str">
            <v>FINTO</v>
          </cell>
          <cell r="D65" t="str">
            <v>-</v>
          </cell>
          <cell r="E65" t="str">
            <v>-</v>
          </cell>
          <cell r="G65" t="str">
            <v>SI</v>
          </cell>
          <cell r="H65" t="str">
            <v>-</v>
          </cell>
          <cell r="I65">
            <v>1</v>
          </cell>
          <cell r="J65" t="str">
            <v>CLASSICO</v>
          </cell>
          <cell r="K65" t="str">
            <v>-</v>
          </cell>
          <cell r="L65" t="str">
            <v>SI</v>
          </cell>
          <cell r="M65" t="str">
            <v>-</v>
          </cell>
        </row>
        <row r="66">
          <cell r="A66" t="str">
            <v>ILARY</v>
          </cell>
          <cell r="C66" t="str">
            <v>EPAL</v>
          </cell>
          <cell r="D66" t="str">
            <v>-</v>
          </cell>
          <cell r="E66" t="str">
            <v>-</v>
          </cell>
          <cell r="G66" t="str">
            <v>SI</v>
          </cell>
          <cell r="H66" t="str">
            <v>-</v>
          </cell>
          <cell r="I66">
            <v>1</v>
          </cell>
          <cell r="J66" t="str">
            <v>CLASSICO</v>
          </cell>
          <cell r="K66" t="str">
            <v>-</v>
          </cell>
          <cell r="L66" t="str">
            <v>SI</v>
          </cell>
          <cell r="M66" t="str">
            <v>-</v>
          </cell>
        </row>
        <row r="67">
          <cell r="A67" t="str">
            <v>IMBALLAGGI DUE ELLE</v>
          </cell>
          <cell r="C67" t="str">
            <v>FINTO/PERDERE</v>
          </cell>
          <cell r="D67" t="str">
            <v>-</v>
          </cell>
          <cell r="E67" t="str">
            <v>-</v>
          </cell>
          <cell r="G67" t="str">
            <v>NO</v>
          </cell>
          <cell r="H67" t="str">
            <v>-</v>
          </cell>
          <cell r="I67">
            <v>1</v>
          </cell>
          <cell r="J67" t="str">
            <v>CLASSICO</v>
          </cell>
          <cell r="K67" t="str">
            <v>-</v>
          </cell>
          <cell r="L67" t="str">
            <v>-</v>
          </cell>
          <cell r="M67" t="str">
            <v>-</v>
          </cell>
        </row>
        <row r="68">
          <cell r="A68" t="str">
            <v>INDUSTRIE RIUNITE CAFFE'</v>
          </cell>
          <cell r="C68" t="str">
            <v>FINTO/PERDERE</v>
          </cell>
          <cell r="D68" t="str">
            <v>-</v>
          </cell>
          <cell r="E68" t="str">
            <v>-</v>
          </cell>
          <cell r="G68" t="str">
            <v>SI</v>
          </cell>
          <cell r="H68" t="str">
            <v>-</v>
          </cell>
          <cell r="I68">
            <v>1</v>
          </cell>
          <cell r="J68" t="str">
            <v>CLASSICO</v>
          </cell>
          <cell r="K68" t="str">
            <v>-</v>
          </cell>
          <cell r="L68" t="str">
            <v>-</v>
          </cell>
          <cell r="M68" t="str">
            <v>-</v>
          </cell>
        </row>
        <row r="69">
          <cell r="A69" t="str">
            <v>ISA</v>
          </cell>
          <cell r="C69" t="str">
            <v>FINTO</v>
          </cell>
          <cell r="D69" t="str">
            <v>-</v>
          </cell>
          <cell r="E69" t="str">
            <v>-</v>
          </cell>
          <cell r="G69" t="str">
            <v>SI</v>
          </cell>
          <cell r="H69" t="str">
            <v>-</v>
          </cell>
          <cell r="I69">
            <v>1</v>
          </cell>
          <cell r="J69" t="str">
            <v>CLASSICO</v>
          </cell>
          <cell r="K69" t="str">
            <v>-</v>
          </cell>
          <cell r="L69" t="str">
            <v>-</v>
          </cell>
          <cell r="M69" t="str">
            <v>-</v>
          </cell>
        </row>
        <row r="70">
          <cell r="A70" t="str">
            <v>JBS TEXTILE</v>
          </cell>
          <cell r="B70" t="str">
            <v>JBS</v>
          </cell>
          <cell r="C70" t="str">
            <v>FINTO</v>
          </cell>
          <cell r="D70" t="str">
            <v>-</v>
          </cell>
          <cell r="E70" t="str">
            <v>-</v>
          </cell>
          <cell r="G70" t="str">
            <v>SI</v>
          </cell>
          <cell r="H70" t="str">
            <v>-</v>
          </cell>
          <cell r="I70">
            <v>1</v>
          </cell>
          <cell r="J70" t="str">
            <v>CLASSICO</v>
          </cell>
          <cell r="K70" t="str">
            <v>-</v>
          </cell>
          <cell r="L70" t="str">
            <v>SI</v>
          </cell>
          <cell r="M70" t="str">
            <v>-</v>
          </cell>
        </row>
        <row r="71">
          <cell r="A71" t="str">
            <v>KONUS</v>
          </cell>
          <cell r="C71" t="str">
            <v>PERDERE</v>
          </cell>
          <cell r="D71" t="str">
            <v>-</v>
          </cell>
          <cell r="E71" t="str">
            <v>-</v>
          </cell>
          <cell r="G71" t="str">
            <v>SI</v>
          </cell>
          <cell r="H71" t="str">
            <v>-</v>
          </cell>
          <cell r="I71">
            <v>1</v>
          </cell>
          <cell r="J71" t="str">
            <v>CLASSICO</v>
          </cell>
          <cell r="K71" t="str">
            <v>-</v>
          </cell>
          <cell r="L71" t="str">
            <v>-</v>
          </cell>
          <cell r="M71" t="str">
            <v>-</v>
          </cell>
        </row>
        <row r="72">
          <cell r="A72" t="str">
            <v>LA BOMBA</v>
          </cell>
          <cell r="C72" t="str">
            <v>FINTO</v>
          </cell>
          <cell r="D72" t="str">
            <v>-</v>
          </cell>
          <cell r="E72" t="str">
            <v>H 1.45</v>
          </cell>
          <cell r="G72" t="str">
            <v>NO</v>
          </cell>
          <cell r="H72" t="str">
            <v>-</v>
          </cell>
          <cell r="I72">
            <v>4</v>
          </cell>
          <cell r="J72" t="str">
            <v xml:space="preserve"> 2 CARTELLI A3</v>
          </cell>
          <cell r="K72" t="str">
            <v>-</v>
          </cell>
          <cell r="L72" t="str">
            <v>-</v>
          </cell>
          <cell r="M72" t="str">
            <v>-</v>
          </cell>
        </row>
        <row r="73">
          <cell r="A73" t="str">
            <v>LA CAPSULERIA</v>
          </cell>
          <cell r="C73" t="str">
            <v>FINTO</v>
          </cell>
          <cell r="D73" t="str">
            <v>-</v>
          </cell>
          <cell r="E73" t="str">
            <v>-</v>
          </cell>
          <cell r="G73" t="str">
            <v>NO</v>
          </cell>
          <cell r="H73" t="str">
            <v>-</v>
          </cell>
          <cell r="I73">
            <v>1</v>
          </cell>
          <cell r="J73" t="str">
            <v>CLASSICO</v>
          </cell>
          <cell r="K73" t="str">
            <v>-</v>
          </cell>
          <cell r="L73" t="str">
            <v>-</v>
          </cell>
          <cell r="M73" t="str">
            <v>-</v>
          </cell>
        </row>
        <row r="74">
          <cell r="A74" t="str">
            <v>LA POPSI</v>
          </cell>
          <cell r="C74" t="str">
            <v>EPAL</v>
          </cell>
          <cell r="D74" t="str">
            <v>-</v>
          </cell>
          <cell r="E74" t="str">
            <v>H 1.45</v>
          </cell>
          <cell r="G74" t="str">
            <v>NO</v>
          </cell>
          <cell r="H74" t="str">
            <v>-</v>
          </cell>
          <cell r="I74">
            <v>4</v>
          </cell>
          <cell r="J74" t="str">
            <v xml:space="preserve"> 2 CARTELLI A3</v>
          </cell>
          <cell r="K74" t="str">
            <v>-</v>
          </cell>
          <cell r="L74" t="str">
            <v>-</v>
          </cell>
          <cell r="M74" t="str">
            <v>-</v>
          </cell>
        </row>
        <row r="75">
          <cell r="A75" t="str">
            <v>LANE MONDIAL</v>
          </cell>
          <cell r="C75" t="str">
            <v>FINTO/PERDERE</v>
          </cell>
          <cell r="D75" t="str">
            <v>SI</v>
          </cell>
          <cell r="E75" t="str">
            <v>-</v>
          </cell>
          <cell r="G75" t="str">
            <v>FONDI + COPERCHI</v>
          </cell>
          <cell r="H75" t="str">
            <v>-</v>
          </cell>
          <cell r="I75">
            <v>1</v>
          </cell>
          <cell r="J75" t="str">
            <v>CLASSICO</v>
          </cell>
          <cell r="K75" t="str">
            <v>-</v>
          </cell>
          <cell r="L75" t="str">
            <v>-</v>
          </cell>
          <cell r="M75" t="str">
            <v>-</v>
          </cell>
        </row>
        <row r="76">
          <cell r="A76" t="str">
            <v>LATTERIA MERANO</v>
          </cell>
          <cell r="C76" t="str">
            <v>EPAL</v>
          </cell>
          <cell r="D76" t="str">
            <v>-</v>
          </cell>
          <cell r="E76" t="str">
            <v>H 1.45</v>
          </cell>
          <cell r="G76" t="str">
            <v>NO</v>
          </cell>
          <cell r="H76" t="str">
            <v>-</v>
          </cell>
          <cell r="I76">
            <v>4</v>
          </cell>
          <cell r="J76" t="str">
            <v xml:space="preserve"> 2 CARTELLI A3</v>
          </cell>
          <cell r="K76" t="str">
            <v>-</v>
          </cell>
          <cell r="L76" t="str">
            <v>-</v>
          </cell>
          <cell r="M76" t="str">
            <v>-</v>
          </cell>
        </row>
        <row r="77">
          <cell r="A77" t="str">
            <v>LINEA VERDE</v>
          </cell>
          <cell r="C77" t="str">
            <v>EPAL</v>
          </cell>
          <cell r="D77" t="str">
            <v>-</v>
          </cell>
          <cell r="E77" t="str">
            <v>H 1.30</v>
          </cell>
          <cell r="G77" t="str">
            <v>NO</v>
          </cell>
          <cell r="H77" t="str">
            <v>-</v>
          </cell>
          <cell r="I77">
            <v>1</v>
          </cell>
          <cell r="J77" t="str">
            <v>2 CON CODICE A BARRE</v>
          </cell>
          <cell r="K77" t="str">
            <v>-</v>
          </cell>
          <cell r="L77" t="str">
            <v>-</v>
          </cell>
          <cell r="M77" t="str">
            <v>CODICE A BARRE SIA ETICHETTE CHE CARTELLO</v>
          </cell>
        </row>
        <row r="78">
          <cell r="A78" t="str">
            <v>LUCAFFE'</v>
          </cell>
          <cell r="C78" t="str">
            <v>EPAL</v>
          </cell>
          <cell r="D78" t="str">
            <v>-</v>
          </cell>
          <cell r="E78" t="str">
            <v>-</v>
          </cell>
          <cell r="G78" t="str">
            <v>MAX 2</v>
          </cell>
          <cell r="H78" t="str">
            <v>-</v>
          </cell>
          <cell r="I78">
            <v>1</v>
          </cell>
          <cell r="J78" t="str">
            <v>CLASSICO</v>
          </cell>
          <cell r="K78" t="str">
            <v>-</v>
          </cell>
          <cell r="L78" t="str">
            <v>-</v>
          </cell>
          <cell r="M78" t="str">
            <v>-</v>
          </cell>
        </row>
        <row r="79">
          <cell r="A79" t="str">
            <v>MAGAZZINI DEL CAFFE'</v>
          </cell>
          <cell r="C79" t="str">
            <v>EPAL</v>
          </cell>
          <cell r="D79" t="str">
            <v>-</v>
          </cell>
          <cell r="E79" t="str">
            <v>H 1.50</v>
          </cell>
          <cell r="G79" t="str">
            <v>MAX 2</v>
          </cell>
          <cell r="H79" t="str">
            <v>-</v>
          </cell>
          <cell r="I79">
            <v>1</v>
          </cell>
          <cell r="J79" t="str">
            <v>CLASSICO</v>
          </cell>
          <cell r="K79" t="str">
            <v>-</v>
          </cell>
          <cell r="L79" t="str">
            <v>-</v>
          </cell>
          <cell r="M79" t="str">
            <v>-</v>
          </cell>
        </row>
        <row r="80">
          <cell r="A80" t="str">
            <v>MANIFATTURA CIZETA</v>
          </cell>
          <cell r="C80" t="str">
            <v>PERDERE</v>
          </cell>
          <cell r="D80" t="str">
            <v>-</v>
          </cell>
          <cell r="E80" t="str">
            <v>-</v>
          </cell>
          <cell r="G80" t="str">
            <v>SI</v>
          </cell>
          <cell r="H80" t="str">
            <v>-</v>
          </cell>
          <cell r="I80">
            <v>1</v>
          </cell>
          <cell r="J80" t="str">
            <v>CLASSICO</v>
          </cell>
          <cell r="K80" t="str">
            <v>-</v>
          </cell>
          <cell r="L80" t="str">
            <v>-</v>
          </cell>
          <cell r="M80" t="str">
            <v>-</v>
          </cell>
        </row>
        <row r="81">
          <cell r="A81" t="str">
            <v>MARIFLOS</v>
          </cell>
          <cell r="C81" t="str">
            <v>PERDERE</v>
          </cell>
          <cell r="D81" t="str">
            <v>-</v>
          </cell>
          <cell r="E81" t="str">
            <v>-</v>
          </cell>
          <cell r="F81" t="str">
            <v>Lunedì, Mercoledì, Giovedì</v>
          </cell>
          <cell r="G81" t="str">
            <v>NO</v>
          </cell>
          <cell r="H81" t="str">
            <v>-</v>
          </cell>
          <cell r="I81">
            <v>1</v>
          </cell>
          <cell r="J81" t="str">
            <v>CLASSICO</v>
          </cell>
          <cell r="K81" t="str">
            <v>-</v>
          </cell>
          <cell r="L81" t="str">
            <v>SI</v>
          </cell>
          <cell r="M81" t="str">
            <v>-</v>
          </cell>
        </row>
        <row r="82">
          <cell r="A82" t="str">
            <v>MOOD</v>
          </cell>
          <cell r="C82" t="str">
            <v>FINTO/PERDERE</v>
          </cell>
          <cell r="D82" t="str">
            <v>-</v>
          </cell>
          <cell r="E82" t="str">
            <v>H 1.20</v>
          </cell>
          <cell r="G82" t="str">
            <v>NO</v>
          </cell>
          <cell r="H82" t="str">
            <v>NO</v>
          </cell>
          <cell r="I82">
            <v>1</v>
          </cell>
          <cell r="J82" t="str">
            <v>CLASSICO</v>
          </cell>
          <cell r="K82" t="str">
            <v>-</v>
          </cell>
          <cell r="L82" t="str">
            <v>-</v>
          </cell>
          <cell r="M82" t="str">
            <v>NON "ARTI GRAFICHE" SU ETICHETTE E CARTELLI</v>
          </cell>
        </row>
        <row r="83">
          <cell r="A83" t="str">
            <v>MORETTO</v>
          </cell>
          <cell r="C83" t="str">
            <v>EPAL</v>
          </cell>
          <cell r="D83" t="str">
            <v>-</v>
          </cell>
          <cell r="E83" t="str">
            <v>H 1.10</v>
          </cell>
          <cell r="G83" t="str">
            <v>NO</v>
          </cell>
          <cell r="H83" t="str">
            <v>-</v>
          </cell>
          <cell r="I83">
            <v>1</v>
          </cell>
          <cell r="J83" t="str">
            <v>CLASSICO</v>
          </cell>
          <cell r="K83" t="str">
            <v>-</v>
          </cell>
          <cell r="L83" t="str">
            <v>-</v>
          </cell>
          <cell r="M83" t="str">
            <v>-</v>
          </cell>
        </row>
        <row r="84">
          <cell r="A84" t="str">
            <v>MPS</v>
          </cell>
          <cell r="C84" t="str">
            <v>EPAL per consegna Eire</v>
          </cell>
          <cell r="D84" t="str">
            <v>-</v>
          </cell>
          <cell r="E84" t="str">
            <v>-</v>
          </cell>
          <cell r="G84" t="str">
            <v>NO</v>
          </cell>
          <cell r="H84" t="str">
            <v>-</v>
          </cell>
          <cell r="I84">
            <v>1</v>
          </cell>
          <cell r="J84" t="str">
            <v>CLASSICO</v>
          </cell>
          <cell r="K84" t="str">
            <v>-</v>
          </cell>
          <cell r="L84" t="str">
            <v>SI SE DIVERSA</v>
          </cell>
          <cell r="M84" t="str">
            <v>-</v>
          </cell>
        </row>
        <row r="85">
          <cell r="A85" t="str">
            <v>NECOS</v>
          </cell>
          <cell r="C85" t="str">
            <v>FINTO</v>
          </cell>
          <cell r="D85" t="str">
            <v>-</v>
          </cell>
          <cell r="E85" t="str">
            <v>-</v>
          </cell>
          <cell r="G85" t="str">
            <v>MAX 2</v>
          </cell>
          <cell r="H85" t="str">
            <v>-</v>
          </cell>
          <cell r="I85">
            <v>1</v>
          </cell>
          <cell r="J85" t="str">
            <v>CLASSICO</v>
          </cell>
          <cell r="K85" t="str">
            <v>-</v>
          </cell>
          <cell r="L85" t="str">
            <v>-</v>
          </cell>
          <cell r="M85" t="str">
            <v>-</v>
          </cell>
        </row>
        <row r="86">
          <cell r="A86" t="str">
            <v>NERO NOBILE</v>
          </cell>
          <cell r="B86" t="str">
            <v>NN</v>
          </cell>
          <cell r="C86" t="str">
            <v>EPAL</v>
          </cell>
          <cell r="D86" t="str">
            <v>SI</v>
          </cell>
          <cell r="E86" t="str">
            <v>H 1.30</v>
          </cell>
          <cell r="G86" t="str">
            <v>MAX 2</v>
          </cell>
          <cell r="H86" t="str">
            <v>SI</v>
          </cell>
          <cell r="I86">
            <v>2</v>
          </cell>
          <cell r="J86" t="str">
            <v>GIALLO X1</v>
          </cell>
          <cell r="K86" t="str">
            <v>SI X2</v>
          </cell>
          <cell r="L86" t="str">
            <v>SI IN A3</v>
          </cell>
        </row>
        <row r="87">
          <cell r="A87" t="str">
            <v>NUOVA VIRGILIANA</v>
          </cell>
          <cell r="C87" t="str">
            <v>EPAL</v>
          </cell>
          <cell r="D87" t="str">
            <v>-</v>
          </cell>
          <cell r="E87" t="str">
            <v>-</v>
          </cell>
          <cell r="G87" t="str">
            <v>NO</v>
          </cell>
          <cell r="H87" t="str">
            <v>-</v>
          </cell>
          <cell r="I87">
            <v>1</v>
          </cell>
          <cell r="J87" t="str">
            <v>CLASSICO</v>
          </cell>
          <cell r="K87" t="str">
            <v>-</v>
          </cell>
          <cell r="L87" t="str">
            <v>-</v>
          </cell>
          <cell r="M87" t="str">
            <v>-</v>
          </cell>
        </row>
        <row r="88">
          <cell r="A88" t="str">
            <v>OFFEL</v>
          </cell>
          <cell r="B88" t="str">
            <v>OFF</v>
          </cell>
          <cell r="C88" t="str">
            <v>FINTO</v>
          </cell>
          <cell r="D88" t="str">
            <v>-</v>
          </cell>
          <cell r="E88" t="str">
            <v>-</v>
          </cell>
          <cell r="G88" t="str">
            <v>NO</v>
          </cell>
          <cell r="H88" t="str">
            <v>-</v>
          </cell>
          <cell r="I88">
            <v>1</v>
          </cell>
          <cell r="J88" t="str">
            <v>CLASSICO</v>
          </cell>
          <cell r="K88" t="str">
            <v>-</v>
          </cell>
          <cell r="L88" t="str">
            <v>SI</v>
          </cell>
          <cell r="M88" t="str">
            <v>-</v>
          </cell>
        </row>
        <row r="89">
          <cell r="A89" t="str">
            <v>OFFICINA DELL'INTIMO</v>
          </cell>
          <cell r="B89" t="str">
            <v>LAB</v>
          </cell>
        </row>
        <row r="90">
          <cell r="A90" t="str">
            <v>OL PASTISSER</v>
          </cell>
          <cell r="C90" t="str">
            <v>PERDERE</v>
          </cell>
          <cell r="D90" t="str">
            <v>NO</v>
          </cell>
          <cell r="E90" t="str">
            <v>-</v>
          </cell>
          <cell r="G90" t="str">
            <v>NO</v>
          </cell>
          <cell r="H90" t="str">
            <v>-</v>
          </cell>
          <cell r="I90">
            <v>1</v>
          </cell>
          <cell r="J90" t="str">
            <v>CLASSICO</v>
          </cell>
          <cell r="K90" t="str">
            <v>-</v>
          </cell>
          <cell r="L90" t="str">
            <v>-</v>
          </cell>
          <cell r="M90" t="str">
            <v>-</v>
          </cell>
        </row>
        <row r="91">
          <cell r="A91" t="str">
            <v>ORSINI</v>
          </cell>
          <cell r="B91" t="str">
            <v>BTT</v>
          </cell>
          <cell r="C91" t="str">
            <v>PERDERE</v>
          </cell>
          <cell r="D91" t="str">
            <v>-</v>
          </cell>
          <cell r="E91" t="str">
            <v>-</v>
          </cell>
          <cell r="G91" t="str">
            <v>SI</v>
          </cell>
          <cell r="H91" t="str">
            <v>-</v>
          </cell>
          <cell r="I91">
            <v>1</v>
          </cell>
          <cell r="J91" t="str">
            <v>CLASSICO</v>
          </cell>
          <cell r="K91" t="str">
            <v>-</v>
          </cell>
          <cell r="L91" t="str">
            <v>SI SE DIVERSA</v>
          </cell>
          <cell r="M91" t="str">
            <v>-</v>
          </cell>
        </row>
        <row r="92">
          <cell r="A92" t="str">
            <v>PALAZZANI</v>
          </cell>
          <cell r="C92" t="str">
            <v>PERDERE</v>
          </cell>
          <cell r="D92" t="str">
            <v>-</v>
          </cell>
          <cell r="E92" t="str">
            <v>-</v>
          </cell>
          <cell r="G92" t="str">
            <v>NO</v>
          </cell>
          <cell r="H92" t="str">
            <v>-</v>
          </cell>
          <cell r="I92">
            <v>1</v>
          </cell>
          <cell r="J92" t="str">
            <v>CLASSICO</v>
          </cell>
          <cell r="K92" t="str">
            <v>-</v>
          </cell>
          <cell r="L92" t="str">
            <v>-</v>
          </cell>
          <cell r="M92" t="str">
            <v>-</v>
          </cell>
        </row>
        <row r="93">
          <cell r="A93" t="str">
            <v>PAMALL</v>
          </cell>
          <cell r="C93" t="str">
            <v>EPAL</v>
          </cell>
          <cell r="D93" t="str">
            <v>-</v>
          </cell>
          <cell r="E93" t="str">
            <v>H 1.50</v>
          </cell>
          <cell r="G93" t="str">
            <v>SI</v>
          </cell>
          <cell r="H93" t="str">
            <v>-</v>
          </cell>
          <cell r="I93">
            <v>1</v>
          </cell>
          <cell r="J93" t="str">
            <v>CLASSICO</v>
          </cell>
          <cell r="K93" t="str">
            <v>-</v>
          </cell>
          <cell r="L93" t="str">
            <v>SI SE DIVERSA</v>
          </cell>
          <cell r="M93" t="str">
            <v>-</v>
          </cell>
        </row>
        <row r="94">
          <cell r="A94" t="str">
            <v>PANTYTEX</v>
          </cell>
          <cell r="B94" t="str">
            <v>PNT</v>
          </cell>
          <cell r="C94" t="str">
            <v>FINTO</v>
          </cell>
          <cell r="D94" t="str">
            <v>NO</v>
          </cell>
          <cell r="E94" t="str">
            <v>-</v>
          </cell>
          <cell r="G94" t="str">
            <v>SI</v>
          </cell>
          <cell r="H94" t="str">
            <v>-</v>
          </cell>
          <cell r="I94">
            <v>1</v>
          </cell>
          <cell r="J94" t="str">
            <v>CLASSICO</v>
          </cell>
          <cell r="K94" t="str">
            <v>-</v>
          </cell>
          <cell r="L94" t="str">
            <v>-</v>
          </cell>
          <cell r="M94" t="str">
            <v>-</v>
          </cell>
        </row>
        <row r="95">
          <cell r="A95" t="str">
            <v>PASQUALINI</v>
          </cell>
          <cell r="C95" t="str">
            <v>FINTO</v>
          </cell>
          <cell r="D95" t="str">
            <v>NO</v>
          </cell>
          <cell r="E95" t="str">
            <v>-</v>
          </cell>
          <cell r="G95" t="str">
            <v>SI</v>
          </cell>
          <cell r="H95" t="str">
            <v>-</v>
          </cell>
          <cell r="I95">
            <v>1</v>
          </cell>
          <cell r="J95" t="str">
            <v>CLASSICO</v>
          </cell>
          <cell r="K95" t="str">
            <v>-</v>
          </cell>
          <cell r="L95" t="str">
            <v>-</v>
          </cell>
          <cell r="M95" t="str">
            <v>-</v>
          </cell>
        </row>
        <row r="96">
          <cell r="A96" t="str">
            <v>PASTA LENSI</v>
          </cell>
          <cell r="B96" t="str">
            <v>PLS</v>
          </cell>
          <cell r="C96" t="str">
            <v>EPAL</v>
          </cell>
          <cell r="D96" t="str">
            <v>SI</v>
          </cell>
          <cell r="E96" t="str">
            <v>H 1.30</v>
          </cell>
          <cell r="G96" t="str">
            <v>NO</v>
          </cell>
          <cell r="H96" t="str">
            <v>-</v>
          </cell>
          <cell r="I96">
            <v>1</v>
          </cell>
          <cell r="J96" t="str">
            <v xml:space="preserve"> 2 CARTELLI A3</v>
          </cell>
          <cell r="K96" t="str">
            <v>-</v>
          </cell>
          <cell r="L96" t="str">
            <v>-</v>
          </cell>
          <cell r="M96" t="str">
            <v>-</v>
          </cell>
        </row>
        <row r="97">
          <cell r="A97" t="str">
            <v>PASTIFICIO GAETARELLI</v>
          </cell>
          <cell r="B97" t="str">
            <v>GTT</v>
          </cell>
          <cell r="C97" t="str">
            <v>EPAL CON SCRITTE</v>
          </cell>
          <cell r="D97" t="str">
            <v>-</v>
          </cell>
          <cell r="E97" t="str">
            <v>-</v>
          </cell>
          <cell r="G97" t="str">
            <v>NO</v>
          </cell>
          <cell r="H97" t="str">
            <v>-</v>
          </cell>
          <cell r="I97">
            <v>1</v>
          </cell>
          <cell r="J97" t="str">
            <v>CLASSICO</v>
          </cell>
          <cell r="K97" t="str">
            <v>-</v>
          </cell>
          <cell r="L97" t="str">
            <v>-</v>
          </cell>
          <cell r="M97" t="str">
            <v>-</v>
          </cell>
        </row>
        <row r="98">
          <cell r="A98" t="str">
            <v>PELLETTERIA DUE ELLE</v>
          </cell>
          <cell r="C98" t="str">
            <v>PERDERE</v>
          </cell>
          <cell r="D98" t="str">
            <v>-</v>
          </cell>
          <cell r="E98" t="str">
            <v>-</v>
          </cell>
          <cell r="G98" t="str">
            <v>NO</v>
          </cell>
          <cell r="H98" t="str">
            <v>-</v>
          </cell>
          <cell r="I98">
            <v>1</v>
          </cell>
          <cell r="J98" t="str">
            <v>CLASSICO</v>
          </cell>
          <cell r="K98" t="str">
            <v>-</v>
          </cell>
          <cell r="L98" t="str">
            <v>-</v>
          </cell>
          <cell r="M98" t="str">
            <v>-</v>
          </cell>
        </row>
        <row r="99">
          <cell r="A99" t="str">
            <v>PLASTIC CENTER</v>
          </cell>
          <cell r="B99" t="str">
            <v>PLC</v>
          </cell>
          <cell r="C99" t="str">
            <v>FINTO</v>
          </cell>
          <cell r="D99" t="str">
            <v>-</v>
          </cell>
          <cell r="E99" t="str">
            <v>-</v>
          </cell>
          <cell r="G99" t="str">
            <v>NO</v>
          </cell>
          <cell r="H99" t="str">
            <v>-</v>
          </cell>
          <cell r="I99">
            <v>1</v>
          </cell>
          <cell r="J99" t="str">
            <v>CLASSICO</v>
          </cell>
          <cell r="K99" t="str">
            <v>-</v>
          </cell>
          <cell r="L99" t="str">
            <v>SI</v>
          </cell>
          <cell r="M99" t="str">
            <v>-</v>
          </cell>
        </row>
        <row r="100">
          <cell r="A100" t="str">
            <v>POLO GELATI</v>
          </cell>
          <cell r="C100" t="str">
            <v>EPAL</v>
          </cell>
          <cell r="D100" t="str">
            <v>-</v>
          </cell>
          <cell r="E100" t="str">
            <v>H 1.45</v>
          </cell>
          <cell r="G100" t="str">
            <v>NO</v>
          </cell>
          <cell r="H100" t="str">
            <v>-</v>
          </cell>
          <cell r="I100">
            <v>4</v>
          </cell>
          <cell r="J100" t="str">
            <v xml:space="preserve"> 2 CARTELLI A3</v>
          </cell>
          <cell r="K100" t="str">
            <v>-</v>
          </cell>
          <cell r="L100" t="str">
            <v>-</v>
          </cell>
          <cell r="M100" t="str">
            <v>-</v>
          </cell>
        </row>
        <row r="101">
          <cell r="A101" t="str">
            <v>PRESSOGNO</v>
          </cell>
          <cell r="C101" t="str">
            <v>EPAL</v>
          </cell>
          <cell r="D101" t="str">
            <v>-</v>
          </cell>
          <cell r="E101" t="str">
            <v>H 1.50</v>
          </cell>
          <cell r="G101" t="str">
            <v>MAX 2</v>
          </cell>
          <cell r="H101" t="str">
            <v>-</v>
          </cell>
          <cell r="I101">
            <v>1</v>
          </cell>
          <cell r="J101" t="str">
            <v>CLASSICO</v>
          </cell>
          <cell r="K101" t="str">
            <v>-</v>
          </cell>
          <cell r="L101" t="str">
            <v>SI</v>
          </cell>
          <cell r="M101" t="str">
            <v>-</v>
          </cell>
        </row>
        <row r="102">
          <cell r="A102" t="str">
            <v>PRIVATE BRANDS</v>
          </cell>
        </row>
        <row r="103">
          <cell r="A103" t="str">
            <v>PRONTOFOODS</v>
          </cell>
          <cell r="B103" t="str">
            <v>PRF</v>
          </cell>
          <cell r="C103" t="str">
            <v>EPAL</v>
          </cell>
          <cell r="D103" t="str">
            <v>SI</v>
          </cell>
          <cell r="E103" t="str">
            <v>H 1.30</v>
          </cell>
          <cell r="G103" t="str">
            <v>NO</v>
          </cell>
          <cell r="H103" t="str">
            <v>-</v>
          </cell>
          <cell r="I103">
            <v>2</v>
          </cell>
          <cell r="J103" t="str">
            <v>CLASSICO</v>
          </cell>
          <cell r="K103" t="str">
            <v>-</v>
          </cell>
          <cell r="L103" t="str">
            <v>-</v>
          </cell>
          <cell r="M103" t="str">
            <v>-</v>
          </cell>
        </row>
        <row r="104">
          <cell r="A104" t="str">
            <v>QUARANTA</v>
          </cell>
          <cell r="B104" t="str">
            <v>QRT</v>
          </cell>
          <cell r="C104" t="str">
            <v>EPAL CON SCRITTE</v>
          </cell>
          <cell r="D104" t="str">
            <v>SI</v>
          </cell>
          <cell r="E104" t="str">
            <v>H 1.50</v>
          </cell>
          <cell r="F104" t="str">
            <v>Solo al mattino</v>
          </cell>
          <cell r="G104" t="str">
            <v>MAX 2</v>
          </cell>
          <cell r="H104" t="str">
            <v>SI</v>
          </cell>
          <cell r="I104">
            <v>1</v>
          </cell>
          <cell r="J104" t="str">
            <v>CODICE A BARRE</v>
          </cell>
          <cell r="K104" t="str">
            <v>-</v>
          </cell>
          <cell r="L104" t="str">
            <v>-</v>
          </cell>
          <cell r="M104" t="str">
            <v>-</v>
          </cell>
        </row>
        <row r="105">
          <cell r="A105" t="str">
            <v>R.C.M.</v>
          </cell>
          <cell r="B105" t="str">
            <v>RCM</v>
          </cell>
          <cell r="C105" t="str">
            <v>FINTO</v>
          </cell>
          <cell r="D105" t="str">
            <v>-</v>
          </cell>
          <cell r="E105" t="str">
            <v>-</v>
          </cell>
          <cell r="G105" t="str">
            <v>SI</v>
          </cell>
          <cell r="H105" t="str">
            <v>-</v>
          </cell>
          <cell r="I105">
            <v>1</v>
          </cell>
          <cell r="J105" t="str">
            <v>CLASSICO</v>
          </cell>
          <cell r="K105" t="str">
            <v>-</v>
          </cell>
          <cell r="L105" t="str">
            <v>-</v>
          </cell>
          <cell r="M105" t="str">
            <v>-</v>
          </cell>
        </row>
        <row r="106">
          <cell r="A106" t="str">
            <v>REVENGE</v>
          </cell>
          <cell r="B106" t="str">
            <v>RVG</v>
          </cell>
          <cell r="C106" t="str">
            <v>FINTO</v>
          </cell>
          <cell r="D106" t="str">
            <v>-</v>
          </cell>
          <cell r="E106" t="str">
            <v>-</v>
          </cell>
          <cell r="G106" t="str">
            <v>SI</v>
          </cell>
          <cell r="H106" t="str">
            <v>-</v>
          </cell>
          <cell r="I106">
            <v>1</v>
          </cell>
          <cell r="J106" t="str">
            <v>CLASSICO</v>
          </cell>
          <cell r="K106" t="str">
            <v>-</v>
          </cell>
          <cell r="L106" t="str">
            <v>-</v>
          </cell>
          <cell r="M106" t="str">
            <v>-</v>
          </cell>
        </row>
        <row r="107">
          <cell r="A107" t="str">
            <v>RUBINETTERIE FORTIS</v>
          </cell>
          <cell r="B107" t="str">
            <v>FRT</v>
          </cell>
          <cell r="C107" t="str">
            <v>FINTO</v>
          </cell>
          <cell r="D107" t="str">
            <v>NO</v>
          </cell>
          <cell r="E107" t="str">
            <v>H 1.70</v>
          </cell>
          <cell r="G107" t="str">
            <v>SI</v>
          </cell>
          <cell r="H107" t="str">
            <v>-</v>
          </cell>
          <cell r="I107">
            <v>1</v>
          </cell>
          <cell r="J107" t="str">
            <v>CLASSICO</v>
          </cell>
          <cell r="K107" t="str">
            <v>-</v>
          </cell>
          <cell r="L107" t="str">
            <v>SI</v>
          </cell>
        </row>
        <row r="108">
          <cell r="A108" t="str">
            <v>RYWAN</v>
          </cell>
          <cell r="B108" t="str">
            <v>RYW</v>
          </cell>
          <cell r="C108" t="str">
            <v>FINTO</v>
          </cell>
          <cell r="D108" t="str">
            <v>NO</v>
          </cell>
          <cell r="E108" t="str">
            <v>-</v>
          </cell>
          <cell r="G108" t="str">
            <v>SI</v>
          </cell>
          <cell r="H108" t="str">
            <v>-</v>
          </cell>
          <cell r="I108">
            <v>1</v>
          </cell>
          <cell r="J108" t="str">
            <v>CLASSICO</v>
          </cell>
          <cell r="K108" t="str">
            <v>-</v>
          </cell>
          <cell r="L108" t="str">
            <v>SI SE DIVERSA</v>
          </cell>
          <cell r="M108" t="str">
            <v>-</v>
          </cell>
        </row>
        <row r="109">
          <cell r="A109" t="str">
            <v>SACMA</v>
          </cell>
          <cell r="B109" t="str">
            <v>SCM</v>
          </cell>
          <cell r="C109" t="str">
            <v>FINTO</v>
          </cell>
          <cell r="D109" t="str">
            <v>NO</v>
          </cell>
          <cell r="E109" t="str">
            <v>-</v>
          </cell>
          <cell r="G109" t="str">
            <v>-</v>
          </cell>
          <cell r="H109" t="str">
            <v>-</v>
          </cell>
          <cell r="I109">
            <v>1</v>
          </cell>
          <cell r="J109" t="str">
            <v>CLASSICO</v>
          </cell>
          <cell r="K109" t="str">
            <v>-</v>
          </cell>
          <cell r="L109" t="str">
            <v>-</v>
          </cell>
          <cell r="M109" t="str">
            <v>-</v>
          </cell>
        </row>
        <row r="110">
          <cell r="A110" t="str">
            <v>SARL CORGEL</v>
          </cell>
          <cell r="C110" t="str">
            <v>EPAL</v>
          </cell>
          <cell r="D110" t="str">
            <v>NO</v>
          </cell>
          <cell r="E110" t="str">
            <v>H 1.45</v>
          </cell>
          <cell r="G110" t="str">
            <v>NO</v>
          </cell>
          <cell r="H110" t="str">
            <v>-</v>
          </cell>
          <cell r="I110">
            <v>4</v>
          </cell>
          <cell r="J110" t="str">
            <v>2 CARTELLI A3</v>
          </cell>
          <cell r="K110" t="str">
            <v>-</v>
          </cell>
          <cell r="L110" t="str">
            <v>-</v>
          </cell>
          <cell r="M110" t="str">
            <v>-</v>
          </cell>
        </row>
        <row r="111">
          <cell r="A111" t="str">
            <v>SEEDAVGREEN</v>
          </cell>
          <cell r="C111" t="str">
            <v>PERDERE</v>
          </cell>
          <cell r="D111" t="str">
            <v>NO</v>
          </cell>
          <cell r="E111" t="str">
            <v>-</v>
          </cell>
          <cell r="G111" t="str">
            <v>NO</v>
          </cell>
          <cell r="H111" t="str">
            <v>-</v>
          </cell>
          <cell r="I111">
            <v>1</v>
          </cell>
          <cell r="J111" t="str">
            <v>CLASSICO</v>
          </cell>
          <cell r="K111" t="str">
            <v>-</v>
          </cell>
          <cell r="L111" t="str">
            <v>-</v>
          </cell>
          <cell r="M111" t="str">
            <v>-</v>
          </cell>
        </row>
        <row r="112">
          <cell r="A112" t="str">
            <v>STA.TO</v>
          </cell>
          <cell r="C112" t="str">
            <v>FINTO</v>
          </cell>
          <cell r="D112" t="str">
            <v>NO</v>
          </cell>
          <cell r="E112" t="str">
            <v>-</v>
          </cell>
          <cell r="G112" t="str">
            <v>NO</v>
          </cell>
          <cell r="H112" t="str">
            <v>-</v>
          </cell>
          <cell r="I112">
            <v>1</v>
          </cell>
          <cell r="J112" t="str">
            <v>CLASSICO</v>
          </cell>
          <cell r="K112" t="str">
            <v>-</v>
          </cell>
          <cell r="L112" t="str">
            <v>-</v>
          </cell>
          <cell r="M112" t="str">
            <v>-</v>
          </cell>
        </row>
        <row r="113">
          <cell r="A113" t="str">
            <v>STARTINGLIN</v>
          </cell>
          <cell r="C113" t="str">
            <v>EPAL</v>
          </cell>
          <cell r="D113" t="str">
            <v>NO</v>
          </cell>
          <cell r="E113" t="str">
            <v>H 1.50</v>
          </cell>
          <cell r="G113" t="str">
            <v>NO</v>
          </cell>
          <cell r="H113" t="str">
            <v>-</v>
          </cell>
          <cell r="I113">
            <v>1</v>
          </cell>
          <cell r="J113" t="str">
            <v>CLASSICO</v>
          </cell>
          <cell r="K113" t="str">
            <v>-</v>
          </cell>
          <cell r="L113" t="str">
            <v>-</v>
          </cell>
          <cell r="M113" t="str">
            <v>-</v>
          </cell>
        </row>
        <row r="114">
          <cell r="A114" t="str">
            <v>STRINGART</v>
          </cell>
          <cell r="C114" t="str">
            <v>FINTO</v>
          </cell>
          <cell r="D114" t="str">
            <v>NO</v>
          </cell>
          <cell r="E114" t="str">
            <v>H 1.70</v>
          </cell>
          <cell r="G114" t="str">
            <v>NO</v>
          </cell>
          <cell r="H114" t="str">
            <v>-</v>
          </cell>
          <cell r="I114">
            <v>1</v>
          </cell>
          <cell r="J114" t="str">
            <v>CLASSICO</v>
          </cell>
          <cell r="K114" t="str">
            <v>-</v>
          </cell>
          <cell r="L114" t="str">
            <v>-</v>
          </cell>
          <cell r="M114" t="str">
            <v>-</v>
          </cell>
        </row>
        <row r="115">
          <cell r="A115" t="str">
            <v>TALUX</v>
          </cell>
          <cell r="C115" t="str">
            <v>FINTO/PERDERE</v>
          </cell>
          <cell r="D115" t="str">
            <v>NO</v>
          </cell>
          <cell r="E115" t="str">
            <v>-</v>
          </cell>
          <cell r="G115" t="str">
            <v>SI</v>
          </cell>
          <cell r="H115" t="str">
            <v>-</v>
          </cell>
          <cell r="I115">
            <v>1</v>
          </cell>
          <cell r="J115" t="str">
            <v>CLASSICO</v>
          </cell>
          <cell r="K115" t="str">
            <v>-</v>
          </cell>
          <cell r="L115" t="str">
            <v>SI</v>
          </cell>
          <cell r="M115" t="str">
            <v>-</v>
          </cell>
        </row>
        <row r="116">
          <cell r="A116" t="str">
            <v>TODO</v>
          </cell>
        </row>
        <row r="117">
          <cell r="A117" t="str">
            <v>TONITTO</v>
          </cell>
          <cell r="C117" t="str">
            <v>EPAL</v>
          </cell>
          <cell r="D117" t="str">
            <v>NO</v>
          </cell>
          <cell r="E117" t="str">
            <v>H 1.45</v>
          </cell>
          <cell r="G117" t="str">
            <v>NO</v>
          </cell>
          <cell r="H117" t="str">
            <v>-</v>
          </cell>
          <cell r="I117">
            <v>4</v>
          </cell>
          <cell r="J117" t="str">
            <v>2 CARTELLI A3</v>
          </cell>
          <cell r="K117" t="str">
            <v>-</v>
          </cell>
          <cell r="L117" t="str">
            <v>-</v>
          </cell>
          <cell r="M117" t="str">
            <v>-</v>
          </cell>
        </row>
        <row r="118">
          <cell r="A118" t="str">
            <v>TORREFAZIONE POLI</v>
          </cell>
          <cell r="C118" t="str">
            <v>EPAL</v>
          </cell>
          <cell r="D118" t="str">
            <v>NO</v>
          </cell>
          <cell r="E118" t="str">
            <v>-</v>
          </cell>
          <cell r="G118" t="str">
            <v>SI</v>
          </cell>
          <cell r="H118" t="str">
            <v>-</v>
          </cell>
          <cell r="I118">
            <v>1</v>
          </cell>
          <cell r="J118" t="str">
            <v>CLASSICO</v>
          </cell>
          <cell r="K118" t="str">
            <v>-</v>
          </cell>
          <cell r="L118" t="str">
            <v>-</v>
          </cell>
          <cell r="M118" t="str">
            <v>-</v>
          </cell>
        </row>
        <row r="119">
          <cell r="A119" t="str">
            <v>TRATTORIA LA MADIA</v>
          </cell>
          <cell r="C119" t="str">
            <v>PERDERE</v>
          </cell>
          <cell r="D119" t="str">
            <v>NO</v>
          </cell>
          <cell r="E119" t="str">
            <v>-</v>
          </cell>
          <cell r="G119" t="str">
            <v>NO</v>
          </cell>
          <cell r="H119" t="str">
            <v>-</v>
          </cell>
          <cell r="I119">
            <v>1</v>
          </cell>
          <cell r="J119" t="str">
            <v>CLASSICO</v>
          </cell>
          <cell r="K119" t="str">
            <v>-</v>
          </cell>
          <cell r="L119" t="str">
            <v>-</v>
          </cell>
          <cell r="M119" t="str">
            <v>-</v>
          </cell>
        </row>
        <row r="120">
          <cell r="A120" t="str">
            <v>VALLEDORO</v>
          </cell>
          <cell r="B120" t="str">
            <v>VLL</v>
          </cell>
          <cell r="C120" t="str">
            <v>EPAL</v>
          </cell>
          <cell r="D120" t="str">
            <v>SI</v>
          </cell>
          <cell r="E120" t="str">
            <v>-</v>
          </cell>
          <cell r="G120" t="str">
            <v>NO</v>
          </cell>
          <cell r="H120" t="str">
            <v>-</v>
          </cell>
          <cell r="I120">
            <v>1</v>
          </cell>
          <cell r="J120" t="str">
            <v>CLASSICO</v>
          </cell>
          <cell r="K120" t="str">
            <v>-</v>
          </cell>
          <cell r="L120" t="str">
            <v>-</v>
          </cell>
          <cell r="M120" t="str">
            <v>-</v>
          </cell>
        </row>
        <row r="121">
          <cell r="A121" t="str">
            <v>VENETICO</v>
          </cell>
          <cell r="C121" t="str">
            <v>EPAL</v>
          </cell>
          <cell r="D121" t="str">
            <v>NO</v>
          </cell>
          <cell r="E121" t="str">
            <v>-</v>
          </cell>
          <cell r="G121" t="str">
            <v>NO</v>
          </cell>
          <cell r="H121" t="str">
            <v>-</v>
          </cell>
          <cell r="I121">
            <v>1</v>
          </cell>
          <cell r="J121" t="str">
            <v>CLASSICO</v>
          </cell>
          <cell r="K121" t="str">
            <v>-</v>
          </cell>
          <cell r="L121" t="str">
            <v>-</v>
          </cell>
          <cell r="M121" t="str">
            <v>-</v>
          </cell>
        </row>
        <row r="122">
          <cell r="A122" t="str">
            <v>VERESPRESSO</v>
          </cell>
          <cell r="C122" t="str">
            <v>FINTO</v>
          </cell>
          <cell r="D122" t="str">
            <v>NO</v>
          </cell>
          <cell r="E122" t="str">
            <v>-</v>
          </cell>
          <cell r="G122" t="str">
            <v>NO</v>
          </cell>
          <cell r="H122" t="str">
            <v>-</v>
          </cell>
          <cell r="I122">
            <v>1</v>
          </cell>
          <cell r="J122" t="str">
            <v>CLASSICO</v>
          </cell>
          <cell r="K122" t="str">
            <v>-</v>
          </cell>
          <cell r="L122" t="str">
            <v>-</v>
          </cell>
          <cell r="M122" t="str">
            <v>-</v>
          </cell>
        </row>
        <row r="123">
          <cell r="A123" t="str">
            <v>VIOLA CALZE</v>
          </cell>
          <cell r="C123" t="str">
            <v>EPAL</v>
          </cell>
          <cell r="D123" t="str">
            <v>NO</v>
          </cell>
          <cell r="E123" t="str">
            <v>-</v>
          </cell>
          <cell r="G123" t="str">
            <v>SI</v>
          </cell>
          <cell r="H123" t="str">
            <v>-</v>
          </cell>
          <cell r="I123">
            <v>1</v>
          </cell>
          <cell r="J123" t="str">
            <v>CLASSICO</v>
          </cell>
          <cell r="K123" t="str">
            <v>-</v>
          </cell>
          <cell r="L123" t="str">
            <v>SI</v>
          </cell>
          <cell r="M123" t="str">
            <v>-</v>
          </cell>
        </row>
        <row r="124">
          <cell r="A124" t="str">
            <v>VIPAL</v>
          </cell>
          <cell r="C124" t="str">
            <v>FINTO</v>
          </cell>
          <cell r="D124" t="str">
            <v>NO</v>
          </cell>
          <cell r="E124" t="str">
            <v>-</v>
          </cell>
          <cell r="G124" t="str">
            <v>NO</v>
          </cell>
          <cell r="H124" t="str">
            <v>-</v>
          </cell>
          <cell r="I124">
            <v>1</v>
          </cell>
          <cell r="J124" t="str">
            <v>CLASSICO</v>
          </cell>
          <cell r="K124" t="str">
            <v>-</v>
          </cell>
          <cell r="L124" t="str">
            <v>SI</v>
          </cell>
          <cell r="M124" t="str">
            <v>-</v>
          </cell>
        </row>
        <row r="125">
          <cell r="A125" t="str">
            <v>VIVIENNE WESTWOOD</v>
          </cell>
          <cell r="C125" t="str">
            <v>FINTO</v>
          </cell>
          <cell r="D125" t="str">
            <v>SI</v>
          </cell>
          <cell r="E125" t="str">
            <v>-</v>
          </cell>
          <cell r="G125" t="str">
            <v>NO</v>
          </cell>
          <cell r="H125" t="str">
            <v>-</v>
          </cell>
          <cell r="I125">
            <v>1</v>
          </cell>
          <cell r="J125" t="str">
            <v>CLASSICO</v>
          </cell>
          <cell r="K125" t="str">
            <v>-</v>
          </cell>
          <cell r="L125" t="str">
            <v>SI SE DIVERSA</v>
          </cell>
          <cell r="M125" t="str">
            <v>-</v>
          </cell>
        </row>
        <row r="126">
          <cell r="A126" t="str">
            <v>VODUZ</v>
          </cell>
          <cell r="C126" t="str">
            <v>FINTO</v>
          </cell>
          <cell r="D126" t="str">
            <v>SI</v>
          </cell>
          <cell r="E126" t="str">
            <v>-</v>
          </cell>
          <cell r="G126" t="str">
            <v>NO</v>
          </cell>
          <cell r="H126" t="str">
            <v>-</v>
          </cell>
          <cell r="I126">
            <v>1</v>
          </cell>
          <cell r="J126" t="str">
            <v>CLASSICO</v>
          </cell>
          <cell r="K126" t="str">
            <v>-</v>
          </cell>
          <cell r="L126" t="str">
            <v>SI</v>
          </cell>
          <cell r="M126" t="str">
            <v>-</v>
          </cell>
        </row>
        <row r="127">
          <cell r="A127" t="str">
            <v>LOVE&amp;BRA</v>
          </cell>
          <cell r="C127" t="str">
            <v>FINTO</v>
          </cell>
          <cell r="D127" t="str">
            <v>NO</v>
          </cell>
          <cell r="E127" t="str">
            <v>-</v>
          </cell>
          <cell r="G127" t="str">
            <v>SI</v>
          </cell>
          <cell r="H127" t="str">
            <v>-</v>
          </cell>
          <cell r="I127">
            <v>1</v>
          </cell>
          <cell r="J127" t="str">
            <v>CLASSICO</v>
          </cell>
          <cell r="K127" t="str">
            <v>-</v>
          </cell>
          <cell r="L127" t="str">
            <v>-</v>
          </cell>
          <cell r="M127" t="str">
            <v>-</v>
          </cell>
        </row>
        <row r="128">
          <cell r="A128" t="str">
            <v>PANIFICIO METELLI</v>
          </cell>
          <cell r="C128" t="str">
            <v>PERDERE</v>
          </cell>
          <cell r="D128" t="str">
            <v>NO</v>
          </cell>
          <cell r="E128" t="str">
            <v>-</v>
          </cell>
          <cell r="G128" t="str">
            <v>NO</v>
          </cell>
          <cell r="H128" t="str">
            <v>-</v>
          </cell>
          <cell r="I128">
            <v>1</v>
          </cell>
          <cell r="J128" t="str">
            <v>CLASSICO</v>
          </cell>
          <cell r="K128" t="str">
            <v>-</v>
          </cell>
          <cell r="L128" t="str">
            <v>-</v>
          </cell>
          <cell r="M128" t="str">
            <v>-</v>
          </cell>
        </row>
      </sheetData>
      <sheetData sheetId="2">
        <row r="2">
          <cell r="A2" t="str">
            <v>ID</v>
          </cell>
          <cell r="B2" t="str">
            <v>CLIENTE</v>
          </cell>
          <cell r="C2" t="str">
            <v>LINEA</v>
          </cell>
          <cell r="D2" t="str">
            <v>TIPOLOGIA</v>
          </cell>
          <cell r="E2" t="str">
            <v>CODICE</v>
          </cell>
          <cell r="F2" t="str">
            <v>DESCRIZIONE</v>
          </cell>
          <cell r="G2" t="str">
            <v>CERTIFICAZIONE</v>
          </cell>
          <cell r="H2" t="str">
            <v>CARTONE</v>
          </cell>
          <cell r="I2" t="str">
            <v>GRAMMATURA</v>
          </cell>
          <cell r="J2" t="str">
            <v>C</v>
          </cell>
          <cell r="K2" t="str">
            <v>M</v>
          </cell>
          <cell r="L2" t="str">
            <v>Y</v>
          </cell>
          <cell r="M2" t="str">
            <v>K</v>
          </cell>
          <cell r="N2" t="str">
            <v>PAN.NR.</v>
          </cell>
          <cell r="O2" t="str">
            <v>PAN.NR.2</v>
          </cell>
          <cell r="P2" t="str">
            <v>PAN.NR.3</v>
          </cell>
          <cell r="Q2" t="str">
            <v>PAN.NR.4</v>
          </cell>
          <cell r="R2" t="str">
            <v>PAN.NR.5</v>
          </cell>
          <cell r="S2" t="str">
            <v>PAN.NR.6</v>
          </cell>
          <cell r="T2" t="str">
            <v>POLIMERO</v>
          </cell>
          <cell r="U2" t="str">
            <v>LINEARIZZAZIONE</v>
          </cell>
          <cell r="V2" t="str">
            <v>FINITURA</v>
          </cell>
          <cell r="W2" t="str">
            <v>UV</v>
          </cell>
          <cell r="X2" t="str">
            <v>POLIMERO UV</v>
          </cell>
          <cell r="Y2" t="str">
            <v>TERZISTA</v>
          </cell>
          <cell r="Z2" t="str">
            <v>LAVORAZIONE</v>
          </cell>
          <cell r="AA2" t="str">
            <v>TERZISTA 2</v>
          </cell>
          <cell r="AB2" t="str">
            <v>LAVORAZIONE 2</v>
          </cell>
          <cell r="AC2" t="str">
            <v>CLICHE' NR.</v>
          </cell>
          <cell r="AD2" t="str">
            <v>PELLICOLA NR.</v>
          </cell>
          <cell r="AE2" t="str">
            <v xml:space="preserve">FUSTELLA NR. </v>
          </cell>
          <cell r="AF2" t="str">
            <v>TASSELLO</v>
          </cell>
          <cell r="AG2" t="str">
            <v>FINESTRATURA</v>
          </cell>
          <cell r="AH2" t="str">
            <v>H FINESTRATURA</v>
          </cell>
          <cell r="AI2" t="str">
            <v>INCOLLATURA</v>
          </cell>
          <cell r="AJ2" t="str">
            <v>TIPOLOGIA INCOLLATURA</v>
          </cell>
          <cell r="AK2" t="str">
            <v>SCATOLONE</v>
          </cell>
          <cell r="AL2" t="str">
            <v>QUANTITA'</v>
          </cell>
          <cell r="AM2" t="str">
            <v>PESO</v>
          </cell>
          <cell r="AN2" t="str">
            <v>ARCHIVIO</v>
          </cell>
          <cell r="AO2" t="str">
            <v>NR ARCHIVIO</v>
          </cell>
        </row>
        <row r="3">
          <cell r="A3" t="str">
            <v>GTT_FASCE__000001</v>
          </cell>
          <cell r="B3" t="str">
            <v>PASTIFICIO GAETARELLI</v>
          </cell>
          <cell r="C3" t="str">
            <v>FASCE</v>
          </cell>
          <cell r="D3">
            <v>0</v>
          </cell>
          <cell r="E3" t="str">
            <v>SAGLRMM25</v>
          </cell>
          <cell r="F3" t="str">
            <v>SLEEVES GTT RAVIOLONI RICOTTA E SPINACI 250GR</v>
          </cell>
          <cell r="G3" t="str">
            <v>FSC</v>
          </cell>
          <cell r="H3" t="str">
            <v>SYM</v>
          </cell>
          <cell r="I3">
            <v>330</v>
          </cell>
          <cell r="J3" t="str">
            <v>C</v>
          </cell>
          <cell r="K3" t="str">
            <v>M</v>
          </cell>
          <cell r="L3" t="str">
            <v>Y</v>
          </cell>
          <cell r="M3" t="str">
            <v>K</v>
          </cell>
          <cell r="N3">
            <v>202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PO0103</v>
          </cell>
          <cell r="U3">
            <v>80</v>
          </cell>
          <cell r="V3" t="str">
            <v>VERNICE RETRI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 t="str">
            <v>FU1117</v>
          </cell>
          <cell r="AF3">
            <v>0</v>
          </cell>
          <cell r="AG3" t="str">
            <v>NO</v>
          </cell>
          <cell r="AH3">
            <v>0</v>
          </cell>
          <cell r="AI3" t="str">
            <v>Si</v>
          </cell>
          <cell r="AJ3" t="str">
            <v>Gaetarelli</v>
          </cell>
          <cell r="AK3" t="str">
            <v>PL</v>
          </cell>
          <cell r="AL3">
            <v>300</v>
          </cell>
          <cell r="AM3">
            <v>12.35</v>
          </cell>
          <cell r="AN3" t="str">
            <v>CASSETTO</v>
          </cell>
          <cell r="AO3">
            <v>31</v>
          </cell>
        </row>
        <row r="4">
          <cell r="A4" t="str">
            <v>GTT_FASCE__000002</v>
          </cell>
          <cell r="B4" t="str">
            <v>PASTIFICIO GAETARELLI</v>
          </cell>
          <cell r="C4" t="str">
            <v>FASCE</v>
          </cell>
          <cell r="D4">
            <v>0</v>
          </cell>
          <cell r="E4" t="str">
            <v>SAGLRPM25</v>
          </cell>
          <cell r="F4" t="str">
            <v>SLEEVES GTT RAVIOLONI AI FUNGHI PORCINI 250GR</v>
          </cell>
          <cell r="G4" t="str">
            <v>FSC</v>
          </cell>
          <cell r="H4" t="str">
            <v>SYM</v>
          </cell>
          <cell r="I4">
            <v>330</v>
          </cell>
          <cell r="J4" t="str">
            <v>C</v>
          </cell>
          <cell r="K4" t="str">
            <v>M</v>
          </cell>
          <cell r="L4" t="str">
            <v>Y</v>
          </cell>
          <cell r="M4" t="str">
            <v>K</v>
          </cell>
          <cell r="N4">
            <v>202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PO0103</v>
          </cell>
          <cell r="U4">
            <v>80</v>
          </cell>
          <cell r="V4" t="str">
            <v>VERNICE RETRI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 t="str">
            <v>FU1117</v>
          </cell>
          <cell r="AF4">
            <v>0</v>
          </cell>
          <cell r="AG4" t="str">
            <v>NO</v>
          </cell>
          <cell r="AH4">
            <v>0</v>
          </cell>
          <cell r="AI4" t="str">
            <v>Si</v>
          </cell>
          <cell r="AJ4" t="str">
            <v>Gaetarelli</v>
          </cell>
          <cell r="AK4" t="str">
            <v>PL</v>
          </cell>
          <cell r="AL4">
            <v>300</v>
          </cell>
          <cell r="AM4">
            <v>12.35</v>
          </cell>
          <cell r="AN4" t="str">
            <v>CASSETTO</v>
          </cell>
          <cell r="AO4">
            <v>31</v>
          </cell>
        </row>
        <row r="5">
          <cell r="A5" t="str">
            <v>GTT_FASCE__000003</v>
          </cell>
          <cell r="B5" t="str">
            <v>PASTIFICIO GAETARELLI</v>
          </cell>
          <cell r="C5" t="str">
            <v>FASCE</v>
          </cell>
          <cell r="D5">
            <v>0</v>
          </cell>
          <cell r="E5" t="str">
            <v>SAGLRQUA</v>
          </cell>
          <cell r="F5" t="str">
            <v>SLEEVES GTT QUADRUCCI ALLA CARNE 250GR</v>
          </cell>
          <cell r="G5" t="str">
            <v>FSC</v>
          </cell>
          <cell r="H5" t="str">
            <v>SYM</v>
          </cell>
          <cell r="I5">
            <v>330</v>
          </cell>
          <cell r="J5" t="str">
            <v>C</v>
          </cell>
          <cell r="K5" t="str">
            <v>M</v>
          </cell>
          <cell r="L5" t="str">
            <v>Y</v>
          </cell>
          <cell r="M5" t="str">
            <v>K</v>
          </cell>
          <cell r="N5">
            <v>202</v>
          </cell>
          <cell r="O5">
            <v>4635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 t="str">
            <v>PO0103</v>
          </cell>
          <cell r="U5">
            <v>80</v>
          </cell>
          <cell r="V5" t="str">
            <v>VERNICE RETRI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 t="str">
            <v>FU1117</v>
          </cell>
          <cell r="AF5">
            <v>0</v>
          </cell>
          <cell r="AG5" t="str">
            <v>NO</v>
          </cell>
          <cell r="AH5">
            <v>0</v>
          </cell>
          <cell r="AI5" t="str">
            <v>Si</v>
          </cell>
          <cell r="AJ5" t="str">
            <v>Gaetarelli</v>
          </cell>
          <cell r="AK5" t="str">
            <v>PL</v>
          </cell>
          <cell r="AL5">
            <v>300</v>
          </cell>
          <cell r="AM5">
            <v>12.35</v>
          </cell>
          <cell r="AN5" t="str">
            <v>CASSETTO</v>
          </cell>
          <cell r="AO5">
            <v>31</v>
          </cell>
        </row>
        <row r="6">
          <cell r="A6" t="str">
            <v>GTT_FASCE__000004</v>
          </cell>
          <cell r="B6" t="str">
            <v>PASTIFICIO GAETARELLI</v>
          </cell>
          <cell r="C6" t="str">
            <v>FASCE</v>
          </cell>
          <cell r="D6">
            <v>0</v>
          </cell>
          <cell r="E6" t="str">
            <v>SAGLRRR25</v>
          </cell>
          <cell r="F6" t="str">
            <v>SLEEVES GTT MEDAGLIONI RADICCHIO ROSSO 250GR</v>
          </cell>
          <cell r="G6" t="str">
            <v>FSC</v>
          </cell>
          <cell r="H6" t="str">
            <v>SYM</v>
          </cell>
          <cell r="I6">
            <v>330</v>
          </cell>
          <cell r="J6" t="str">
            <v>C</v>
          </cell>
          <cell r="K6" t="str">
            <v>M</v>
          </cell>
          <cell r="L6" t="str">
            <v>Y</v>
          </cell>
          <cell r="M6" t="str">
            <v>K</v>
          </cell>
          <cell r="N6">
            <v>202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>PO0103</v>
          </cell>
          <cell r="U6">
            <v>80</v>
          </cell>
          <cell r="V6" t="str">
            <v>VERNICE RETRI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 t="str">
            <v>FU1117</v>
          </cell>
          <cell r="AF6">
            <v>0</v>
          </cell>
          <cell r="AG6" t="str">
            <v>NO</v>
          </cell>
          <cell r="AH6">
            <v>0</v>
          </cell>
          <cell r="AI6" t="str">
            <v>Si</v>
          </cell>
          <cell r="AJ6" t="str">
            <v>Gaetarelli</v>
          </cell>
          <cell r="AK6" t="str">
            <v>PL</v>
          </cell>
          <cell r="AL6">
            <v>300</v>
          </cell>
          <cell r="AM6">
            <v>12.35</v>
          </cell>
          <cell r="AN6" t="str">
            <v>CASSETTO</v>
          </cell>
          <cell r="AO6">
            <v>31</v>
          </cell>
        </row>
        <row r="7">
          <cell r="A7" t="str">
            <v>GTT_FASCE__000005</v>
          </cell>
          <cell r="B7" t="str">
            <v>PASTIFICIO GAETARELLI</v>
          </cell>
          <cell r="C7" t="str">
            <v>FASCE</v>
          </cell>
          <cell r="D7">
            <v>0</v>
          </cell>
          <cell r="E7" t="str">
            <v>SAGLRSFP</v>
          </cell>
          <cell r="F7" t="str">
            <v>SLEEVES GTT SFOGLIAFINE PROSCIUTTO CRUDO 250GR</v>
          </cell>
          <cell r="G7" t="str">
            <v>FSC</v>
          </cell>
          <cell r="H7" t="str">
            <v>SYM</v>
          </cell>
          <cell r="I7">
            <v>330</v>
          </cell>
          <cell r="J7" t="str">
            <v>C</v>
          </cell>
          <cell r="K7" t="str">
            <v>M</v>
          </cell>
          <cell r="L7" t="str">
            <v>Y</v>
          </cell>
          <cell r="M7" t="str">
            <v>K</v>
          </cell>
          <cell r="N7">
            <v>202</v>
          </cell>
          <cell r="O7">
            <v>4635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>PO0103</v>
          </cell>
          <cell r="U7">
            <v>80</v>
          </cell>
          <cell r="V7" t="str">
            <v>VERNICE RETRI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 t="str">
            <v>FU1117</v>
          </cell>
          <cell r="AF7">
            <v>0</v>
          </cell>
          <cell r="AG7" t="str">
            <v>NO</v>
          </cell>
          <cell r="AH7">
            <v>0</v>
          </cell>
          <cell r="AI7" t="str">
            <v>Si</v>
          </cell>
          <cell r="AJ7" t="str">
            <v>Gaetarelli</v>
          </cell>
          <cell r="AK7" t="str">
            <v>PL</v>
          </cell>
          <cell r="AL7">
            <v>300</v>
          </cell>
          <cell r="AM7">
            <v>12.35</v>
          </cell>
          <cell r="AN7" t="str">
            <v>CASSETTO</v>
          </cell>
          <cell r="AO7">
            <v>31</v>
          </cell>
        </row>
        <row r="8">
          <cell r="A8" t="str">
            <v>PRF_EDULC_GRIGLIE_000006</v>
          </cell>
          <cell r="B8" t="str">
            <v>PRONTOFOODS</v>
          </cell>
          <cell r="C8" t="str">
            <v>EDULC</v>
          </cell>
          <cell r="D8" t="str">
            <v>GRIGLIE</v>
          </cell>
          <cell r="E8" t="str">
            <v>0112NE194</v>
          </cell>
          <cell r="F8" t="str">
            <v>GRIGLIA X VASSOIO 10 BLISTER</v>
          </cell>
          <cell r="G8" t="str">
            <v>-</v>
          </cell>
          <cell r="H8">
            <v>112</v>
          </cell>
          <cell r="I8">
            <v>400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 t="str">
            <v>FU0453</v>
          </cell>
          <cell r="AF8">
            <v>0</v>
          </cell>
          <cell r="AG8" t="str">
            <v>NO</v>
          </cell>
          <cell r="AH8">
            <v>0</v>
          </cell>
          <cell r="AI8" t="str">
            <v>No</v>
          </cell>
          <cell r="AJ8">
            <v>0</v>
          </cell>
          <cell r="AK8" t="str">
            <v>TERMO</v>
          </cell>
          <cell r="AL8">
            <v>400</v>
          </cell>
          <cell r="AM8">
            <v>5</v>
          </cell>
          <cell r="AN8" t="str">
            <v>CASSETTO</v>
          </cell>
          <cell r="AO8">
            <v>31</v>
          </cell>
        </row>
        <row r="9">
          <cell r="A9" t="str">
            <v>NN_FS_380_NN_000007</v>
          </cell>
          <cell r="B9" t="str">
            <v>NERO NOBILE</v>
          </cell>
          <cell r="C9" t="str">
            <v>FS_380</v>
          </cell>
          <cell r="D9" t="str">
            <v>NN</v>
          </cell>
          <cell r="E9" t="str">
            <v>IMBCDGCONFNN097</v>
          </cell>
          <cell r="F9" t="str">
            <v>IMB.DG NN ARABICA FS0380+FINESTRA</v>
          </cell>
          <cell r="G9" t="str">
            <v>-</v>
          </cell>
          <cell r="H9" t="str">
            <v>GC2</v>
          </cell>
          <cell r="I9">
            <v>270</v>
          </cell>
          <cell r="J9" t="str">
            <v>C</v>
          </cell>
          <cell r="K9" t="str">
            <v>M</v>
          </cell>
          <cell r="L9" t="str">
            <v>Y</v>
          </cell>
          <cell r="M9" t="str">
            <v>K</v>
          </cell>
          <cell r="N9">
            <v>871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>PO0077</v>
          </cell>
          <cell r="U9">
            <v>80</v>
          </cell>
          <cell r="V9" t="str">
            <v>DRIP OFF</v>
          </cell>
          <cell r="W9" t="str">
            <v>UV LUCIDO</v>
          </cell>
          <cell r="X9" t="str">
            <v>UV0001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 t="str">
            <v>FU1185</v>
          </cell>
          <cell r="AF9">
            <v>0</v>
          </cell>
          <cell r="AG9" t="str">
            <v>NO</v>
          </cell>
          <cell r="AH9">
            <v>0</v>
          </cell>
          <cell r="AI9">
            <v>0</v>
          </cell>
          <cell r="AJ9">
            <v>0</v>
          </cell>
          <cell r="AK9" t="str">
            <v>FS0380</v>
          </cell>
          <cell r="AL9">
            <v>250</v>
          </cell>
          <cell r="AM9">
            <v>8.35</v>
          </cell>
          <cell r="AN9" t="str">
            <v>CASSETTO</v>
          </cell>
          <cell r="AO9">
            <v>31</v>
          </cell>
        </row>
        <row r="10">
          <cell r="A10" t="str">
            <v>NN_FS_380_NN_000008</v>
          </cell>
          <cell r="B10" t="str">
            <v>NERO NOBILE</v>
          </cell>
          <cell r="C10" t="str">
            <v>FS_380</v>
          </cell>
          <cell r="D10" t="str">
            <v>NN</v>
          </cell>
          <cell r="E10" t="str">
            <v>IMBCDGCONFNN098</v>
          </cell>
          <cell r="F10" t="str">
            <v>IMB.DG NN CLASSICO FS0380+FINESTRA</v>
          </cell>
          <cell r="G10" t="str">
            <v>-</v>
          </cell>
          <cell r="H10" t="str">
            <v>GC2</v>
          </cell>
          <cell r="I10">
            <v>270</v>
          </cell>
          <cell r="J10" t="str">
            <v>C</v>
          </cell>
          <cell r="K10" t="str">
            <v>M</v>
          </cell>
          <cell r="L10" t="str">
            <v>Y</v>
          </cell>
          <cell r="M10" t="str">
            <v>K</v>
          </cell>
          <cell r="N10">
            <v>871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>PO0077</v>
          </cell>
          <cell r="U10">
            <v>80</v>
          </cell>
          <cell r="V10" t="str">
            <v>DRIP OFF</v>
          </cell>
          <cell r="W10" t="str">
            <v>UV LUCIDO</v>
          </cell>
          <cell r="X10" t="str">
            <v>UV0001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 t="str">
            <v>FU1185</v>
          </cell>
          <cell r="AF10">
            <v>0</v>
          </cell>
          <cell r="AG10" t="str">
            <v>NO</v>
          </cell>
          <cell r="AH10">
            <v>0</v>
          </cell>
          <cell r="AI10">
            <v>0</v>
          </cell>
          <cell r="AJ10">
            <v>0</v>
          </cell>
          <cell r="AK10" t="str">
            <v>FS0380</v>
          </cell>
          <cell r="AL10">
            <v>250</v>
          </cell>
          <cell r="AM10">
            <v>8.35</v>
          </cell>
          <cell r="AN10" t="str">
            <v>CASSETTO</v>
          </cell>
          <cell r="AO10">
            <v>31</v>
          </cell>
        </row>
        <row r="11">
          <cell r="A11" t="str">
            <v>NN_FS_380_PAM_000009</v>
          </cell>
          <cell r="B11" t="str">
            <v>NERO NOBILE</v>
          </cell>
          <cell r="C11" t="str">
            <v>FS_380</v>
          </cell>
          <cell r="D11" t="str">
            <v>PAM</v>
          </cell>
          <cell r="E11" t="str">
            <v>IMBCDGCONFPAM001</v>
          </cell>
          <cell r="F11" t="str">
            <v>IMB.DG PAM DEKA FS0380</v>
          </cell>
          <cell r="G11" t="str">
            <v>-</v>
          </cell>
          <cell r="H11" t="str">
            <v>GC2</v>
          </cell>
          <cell r="I11">
            <v>270</v>
          </cell>
          <cell r="J11" t="str">
            <v>C</v>
          </cell>
          <cell r="K11" t="str">
            <v>M</v>
          </cell>
          <cell r="L11" t="str">
            <v>Y</v>
          </cell>
          <cell r="M11" t="str">
            <v>K</v>
          </cell>
          <cell r="N11">
            <v>877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>PO0001</v>
          </cell>
          <cell r="U11">
            <v>80</v>
          </cell>
          <cell r="V11" t="str">
            <v>DRIP OFF</v>
          </cell>
          <cell r="W11" t="str">
            <v>UV LUCIDO</v>
          </cell>
          <cell r="X11" t="str">
            <v>UV0002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 t="str">
            <v>FU1185</v>
          </cell>
          <cell r="AF11">
            <v>0</v>
          </cell>
          <cell r="AG11" t="str">
            <v>NO</v>
          </cell>
          <cell r="AH11">
            <v>0</v>
          </cell>
          <cell r="AI11">
            <v>0</v>
          </cell>
          <cell r="AJ11">
            <v>0</v>
          </cell>
          <cell r="AK11" t="str">
            <v>FS0380</v>
          </cell>
          <cell r="AL11">
            <v>250</v>
          </cell>
          <cell r="AM11">
            <v>8.35</v>
          </cell>
          <cell r="AN11" t="str">
            <v>CASSETTO</v>
          </cell>
          <cell r="AO11">
            <v>31</v>
          </cell>
        </row>
        <row r="12">
          <cell r="A12" t="str">
            <v>NN_FS_380_PAM_000010</v>
          </cell>
          <cell r="B12" t="str">
            <v>NERO NOBILE</v>
          </cell>
          <cell r="C12" t="str">
            <v>FS_380</v>
          </cell>
          <cell r="D12" t="str">
            <v>PAM</v>
          </cell>
          <cell r="E12" t="str">
            <v>IMBCDGCONFPAM002</v>
          </cell>
          <cell r="F12" t="str">
            <v>IMB.DG PAM CREMOSO FS0380</v>
          </cell>
          <cell r="G12" t="str">
            <v>-</v>
          </cell>
          <cell r="H12" t="str">
            <v>GC2</v>
          </cell>
          <cell r="I12">
            <v>270</v>
          </cell>
          <cell r="J12" t="str">
            <v>C</v>
          </cell>
          <cell r="K12" t="str">
            <v>M</v>
          </cell>
          <cell r="L12" t="str">
            <v>Y</v>
          </cell>
          <cell r="M12" t="str">
            <v>K</v>
          </cell>
          <cell r="N12">
            <v>877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>PO0001</v>
          </cell>
          <cell r="U12">
            <v>80</v>
          </cell>
          <cell r="V12" t="str">
            <v>DRIP OFF</v>
          </cell>
          <cell r="W12" t="str">
            <v>UV LUCIDO</v>
          </cell>
          <cell r="X12" t="str">
            <v>UV0002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 t="str">
            <v>FU1185</v>
          </cell>
          <cell r="AF12">
            <v>0</v>
          </cell>
          <cell r="AG12" t="str">
            <v>NO</v>
          </cell>
          <cell r="AH12">
            <v>0</v>
          </cell>
          <cell r="AI12">
            <v>0</v>
          </cell>
          <cell r="AJ12">
            <v>0</v>
          </cell>
          <cell r="AK12" t="str">
            <v>FS0380</v>
          </cell>
          <cell r="AL12">
            <v>250</v>
          </cell>
          <cell r="AM12">
            <v>8.35</v>
          </cell>
          <cell r="AN12" t="str">
            <v>CASSETTO</v>
          </cell>
          <cell r="AO12">
            <v>31</v>
          </cell>
        </row>
        <row r="13">
          <cell r="A13" t="str">
            <v>NN_FS_380_PAM_000011</v>
          </cell>
          <cell r="B13" t="str">
            <v>NERO NOBILE</v>
          </cell>
          <cell r="C13" t="str">
            <v>FS_380</v>
          </cell>
          <cell r="D13" t="str">
            <v>PAM</v>
          </cell>
          <cell r="E13" t="str">
            <v>IMBCDGCONFPAM004</v>
          </cell>
          <cell r="F13" t="str">
            <v>IMB.DG PAM 100%A. NICARAGUA FS0380</v>
          </cell>
          <cell r="G13" t="str">
            <v>-</v>
          </cell>
          <cell r="H13" t="str">
            <v>GC2</v>
          </cell>
          <cell r="I13">
            <v>270</v>
          </cell>
          <cell r="J13" t="str">
            <v>C</v>
          </cell>
          <cell r="K13" t="str">
            <v>M</v>
          </cell>
          <cell r="L13" t="str">
            <v>Y</v>
          </cell>
          <cell r="M13" t="str">
            <v>K</v>
          </cell>
          <cell r="N13">
            <v>877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>PO0001</v>
          </cell>
          <cell r="U13">
            <v>80</v>
          </cell>
          <cell r="V13" t="str">
            <v>DRIP OFF</v>
          </cell>
          <cell r="W13" t="str">
            <v>UV LUCIDO</v>
          </cell>
          <cell r="X13" t="str">
            <v>UV0002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 t="str">
            <v>FU1185</v>
          </cell>
          <cell r="AF13">
            <v>0</v>
          </cell>
          <cell r="AG13" t="str">
            <v>NO</v>
          </cell>
          <cell r="AH13">
            <v>0</v>
          </cell>
          <cell r="AI13">
            <v>0</v>
          </cell>
          <cell r="AJ13">
            <v>0</v>
          </cell>
          <cell r="AK13" t="str">
            <v>FS0380</v>
          </cell>
          <cell r="AL13">
            <v>250</v>
          </cell>
          <cell r="AM13">
            <v>8.35</v>
          </cell>
          <cell r="AN13" t="str">
            <v>CASSETTO</v>
          </cell>
          <cell r="AO13">
            <v>31</v>
          </cell>
        </row>
        <row r="14">
          <cell r="A14" t="str">
            <v>NN_FS_380_PAM_000012</v>
          </cell>
          <cell r="B14" t="str">
            <v>NERO NOBILE</v>
          </cell>
          <cell r="C14" t="str">
            <v>FS_380</v>
          </cell>
          <cell r="D14" t="str">
            <v>PAM</v>
          </cell>
          <cell r="E14" t="str">
            <v>IMBCDGCONFPAM005</v>
          </cell>
          <cell r="F14" t="str">
            <v>IMB.DG PAM GINSENG FS0380</v>
          </cell>
          <cell r="G14" t="str">
            <v>-</v>
          </cell>
          <cell r="H14" t="str">
            <v>GC2</v>
          </cell>
          <cell r="I14">
            <v>270</v>
          </cell>
          <cell r="J14" t="str">
            <v>C</v>
          </cell>
          <cell r="K14" t="str">
            <v>M</v>
          </cell>
          <cell r="L14" t="str">
            <v>Y</v>
          </cell>
          <cell r="M14" t="str">
            <v>K</v>
          </cell>
          <cell r="N14">
            <v>877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>PO0001</v>
          </cell>
          <cell r="U14">
            <v>80</v>
          </cell>
          <cell r="V14" t="str">
            <v>DRIP OFF</v>
          </cell>
          <cell r="W14" t="str">
            <v>UV LUCIDO</v>
          </cell>
          <cell r="X14" t="str">
            <v>UV0002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 t="str">
            <v>FU1185</v>
          </cell>
          <cell r="AF14">
            <v>0</v>
          </cell>
          <cell r="AG14" t="str">
            <v>NO</v>
          </cell>
          <cell r="AH14">
            <v>0</v>
          </cell>
          <cell r="AI14">
            <v>0</v>
          </cell>
          <cell r="AJ14">
            <v>0</v>
          </cell>
          <cell r="AK14" t="str">
            <v>FS0380</v>
          </cell>
          <cell r="AL14">
            <v>250</v>
          </cell>
          <cell r="AM14">
            <v>8.35</v>
          </cell>
          <cell r="AN14" t="str">
            <v>CASSETTO</v>
          </cell>
          <cell r="AO14">
            <v>31</v>
          </cell>
        </row>
        <row r="15">
          <cell r="A15" t="str">
            <v>NN_FS_380_PAM_000013</v>
          </cell>
          <cell r="B15" t="str">
            <v>NERO NOBILE</v>
          </cell>
          <cell r="C15" t="str">
            <v>FS_380</v>
          </cell>
          <cell r="D15" t="str">
            <v>PAM</v>
          </cell>
          <cell r="E15" t="str">
            <v>IMBCDGCONFPAM006</v>
          </cell>
          <cell r="F15" t="str">
            <v>IMB.DG PAM ORZO FS0380</v>
          </cell>
          <cell r="G15" t="str">
            <v>-</v>
          </cell>
          <cell r="H15" t="str">
            <v>GC2</v>
          </cell>
          <cell r="I15">
            <v>270</v>
          </cell>
          <cell r="J15" t="str">
            <v>C</v>
          </cell>
          <cell r="K15" t="str">
            <v>M</v>
          </cell>
          <cell r="L15" t="str">
            <v>Y</v>
          </cell>
          <cell r="M15" t="str">
            <v>K</v>
          </cell>
          <cell r="N15">
            <v>877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>PO0001</v>
          </cell>
          <cell r="U15">
            <v>80</v>
          </cell>
          <cell r="V15" t="str">
            <v>DRIP OFF</v>
          </cell>
          <cell r="W15" t="str">
            <v>UV LUCIDO</v>
          </cell>
          <cell r="X15" t="str">
            <v>UV0002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 t="str">
            <v>FU1185</v>
          </cell>
          <cell r="AF15">
            <v>0</v>
          </cell>
          <cell r="AG15" t="str">
            <v>NO</v>
          </cell>
          <cell r="AH15">
            <v>0</v>
          </cell>
          <cell r="AI15">
            <v>0</v>
          </cell>
          <cell r="AJ15">
            <v>0</v>
          </cell>
          <cell r="AK15" t="str">
            <v>FS0380</v>
          </cell>
          <cell r="AL15">
            <v>250</v>
          </cell>
          <cell r="AM15">
            <v>8.35</v>
          </cell>
          <cell r="AN15" t="str">
            <v>CASSETTO</v>
          </cell>
          <cell r="AO15">
            <v>31</v>
          </cell>
        </row>
        <row r="16">
          <cell r="A16" t="str">
            <v>NN_FS_380_PAM_000014</v>
          </cell>
          <cell r="B16" t="str">
            <v>NERO NOBILE</v>
          </cell>
          <cell r="C16" t="str">
            <v>FS_380</v>
          </cell>
          <cell r="D16" t="str">
            <v>PAM</v>
          </cell>
          <cell r="E16" t="str">
            <v>IMBCDGCONFPAM007</v>
          </cell>
          <cell r="F16" t="str">
            <v>IMB.DG PAM CORTADO FS0380</v>
          </cell>
          <cell r="G16" t="str">
            <v>-</v>
          </cell>
          <cell r="H16" t="str">
            <v>GC2</v>
          </cell>
          <cell r="I16">
            <v>270</v>
          </cell>
          <cell r="J16" t="str">
            <v>C</v>
          </cell>
          <cell r="K16" t="str">
            <v>M</v>
          </cell>
          <cell r="L16" t="str">
            <v>Y</v>
          </cell>
          <cell r="M16" t="str">
            <v>K</v>
          </cell>
          <cell r="N16">
            <v>877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>PO0001</v>
          </cell>
          <cell r="U16">
            <v>80</v>
          </cell>
          <cell r="V16" t="str">
            <v>DRIP OFF</v>
          </cell>
          <cell r="W16" t="str">
            <v>UV LUCIDO</v>
          </cell>
          <cell r="X16" t="str">
            <v>UV0002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 t="str">
            <v>FU1185</v>
          </cell>
          <cell r="AF16">
            <v>0</v>
          </cell>
          <cell r="AG16" t="str">
            <v>NO</v>
          </cell>
          <cell r="AH16">
            <v>0</v>
          </cell>
          <cell r="AI16">
            <v>0</v>
          </cell>
          <cell r="AJ16">
            <v>0</v>
          </cell>
          <cell r="AK16" t="str">
            <v>FS0380</v>
          </cell>
          <cell r="AL16">
            <v>250</v>
          </cell>
          <cell r="AM16">
            <v>8.35</v>
          </cell>
          <cell r="AN16" t="str">
            <v>CASSETTO</v>
          </cell>
          <cell r="AO16">
            <v>31</v>
          </cell>
        </row>
        <row r="17">
          <cell r="A17" t="str">
            <v>NN_FS_383_PAM_000015</v>
          </cell>
          <cell r="B17" t="str">
            <v>NERO NOBILE</v>
          </cell>
          <cell r="C17" t="str">
            <v>FS_383</v>
          </cell>
          <cell r="D17" t="str">
            <v>PAM</v>
          </cell>
          <cell r="E17" t="str">
            <v>IMBCCNCONFPAM003</v>
          </cell>
          <cell r="F17" t="str">
            <v>IMB.CN PAM DEKA FS0383</v>
          </cell>
          <cell r="G17" t="str">
            <v>-</v>
          </cell>
          <cell r="H17" t="str">
            <v>GC2</v>
          </cell>
          <cell r="I17">
            <v>270</v>
          </cell>
          <cell r="J17" t="str">
            <v>C</v>
          </cell>
          <cell r="K17" t="str">
            <v>M</v>
          </cell>
          <cell r="L17" t="str">
            <v>Y</v>
          </cell>
          <cell r="M17" t="str">
            <v>K</v>
          </cell>
          <cell r="N17">
            <v>877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>PO0039</v>
          </cell>
          <cell r="U17">
            <v>80</v>
          </cell>
          <cell r="V17" t="str">
            <v>DRIP OFF</v>
          </cell>
          <cell r="W17" t="str">
            <v>UV LUCIDO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 t="str">
            <v>FU0443</v>
          </cell>
          <cell r="AF17">
            <v>0</v>
          </cell>
          <cell r="AG17" t="str">
            <v>NO</v>
          </cell>
          <cell r="AH17">
            <v>0</v>
          </cell>
          <cell r="AI17" t="str">
            <v>Si</v>
          </cell>
          <cell r="AJ17" t="str">
            <v>Lineare</v>
          </cell>
          <cell r="AK17" t="str">
            <v>T1</v>
          </cell>
          <cell r="AL17">
            <v>325</v>
          </cell>
          <cell r="AM17">
            <v>6.65</v>
          </cell>
          <cell r="AN17" t="str">
            <v>CASSETTO</v>
          </cell>
          <cell r="AO17">
            <v>31</v>
          </cell>
        </row>
        <row r="18">
          <cell r="A18" t="str">
            <v>NN_FS_383_PAM_000016</v>
          </cell>
          <cell r="B18" t="str">
            <v>NERO NOBILE</v>
          </cell>
          <cell r="C18" t="str">
            <v>FS_383</v>
          </cell>
          <cell r="D18" t="str">
            <v>PAM</v>
          </cell>
          <cell r="E18" t="str">
            <v>IMBCCNCONFPAM004</v>
          </cell>
          <cell r="F18" t="str">
            <v>IMB.CN PAM INTENSO FS0383</v>
          </cell>
          <cell r="G18" t="str">
            <v>-</v>
          </cell>
          <cell r="H18" t="str">
            <v>GC2</v>
          </cell>
          <cell r="I18">
            <v>270</v>
          </cell>
          <cell r="J18" t="str">
            <v>C</v>
          </cell>
          <cell r="K18" t="str">
            <v>M</v>
          </cell>
          <cell r="L18" t="str">
            <v>Y</v>
          </cell>
          <cell r="M18" t="str">
            <v>K</v>
          </cell>
          <cell r="N18">
            <v>877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>PO0039</v>
          </cell>
          <cell r="U18">
            <v>80</v>
          </cell>
          <cell r="V18" t="str">
            <v>DRIP OFF</v>
          </cell>
          <cell r="W18" t="str">
            <v>UV LUCIDO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 t="str">
            <v>FU0443</v>
          </cell>
          <cell r="AF18">
            <v>0</v>
          </cell>
          <cell r="AG18" t="str">
            <v>NO</v>
          </cell>
          <cell r="AH18">
            <v>0</v>
          </cell>
          <cell r="AI18" t="str">
            <v>Si</v>
          </cell>
          <cell r="AJ18" t="str">
            <v>Lineare</v>
          </cell>
          <cell r="AK18" t="str">
            <v>T1</v>
          </cell>
          <cell r="AL18">
            <v>325</v>
          </cell>
          <cell r="AM18">
            <v>6.65</v>
          </cell>
          <cell r="AN18" t="str">
            <v>CASSETTO</v>
          </cell>
          <cell r="AO18">
            <v>31</v>
          </cell>
        </row>
        <row r="19">
          <cell r="A19" t="str">
            <v>NN_FS_383_PAM_000017</v>
          </cell>
          <cell r="B19" t="str">
            <v>NERO NOBILE</v>
          </cell>
          <cell r="C19" t="str">
            <v>FS_383</v>
          </cell>
          <cell r="D19" t="str">
            <v>PAM</v>
          </cell>
          <cell r="E19" t="str">
            <v>IMBCCNCONFPAM007</v>
          </cell>
          <cell r="F19" t="str">
            <v>IMB.CN PAM CREMOSO FS0383</v>
          </cell>
          <cell r="G19" t="str">
            <v>-</v>
          </cell>
          <cell r="H19" t="str">
            <v>GC2</v>
          </cell>
          <cell r="I19">
            <v>270</v>
          </cell>
          <cell r="J19" t="str">
            <v>C</v>
          </cell>
          <cell r="K19" t="str">
            <v>M</v>
          </cell>
          <cell r="L19" t="str">
            <v>Y</v>
          </cell>
          <cell r="M19" t="str">
            <v>K</v>
          </cell>
          <cell r="N19">
            <v>877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>PO0039</v>
          </cell>
          <cell r="U19">
            <v>80</v>
          </cell>
          <cell r="V19" t="str">
            <v>DRIP OFF</v>
          </cell>
          <cell r="W19" t="str">
            <v>UV LUCIDO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 t="str">
            <v>FU0443</v>
          </cell>
          <cell r="AF19">
            <v>0</v>
          </cell>
          <cell r="AG19" t="str">
            <v>NO</v>
          </cell>
          <cell r="AH19">
            <v>0</v>
          </cell>
          <cell r="AI19" t="str">
            <v>Si</v>
          </cell>
          <cell r="AJ19" t="str">
            <v>Lineare</v>
          </cell>
          <cell r="AK19" t="str">
            <v>T1</v>
          </cell>
          <cell r="AL19">
            <v>325</v>
          </cell>
          <cell r="AM19">
            <v>6.65</v>
          </cell>
          <cell r="AN19" t="str">
            <v>CASSETTO</v>
          </cell>
          <cell r="AO19">
            <v>31</v>
          </cell>
        </row>
        <row r="20">
          <cell r="A20" t="str">
            <v>NN_FS_383_CADORO_000018</v>
          </cell>
          <cell r="B20" t="str">
            <v>NERO NOBILE</v>
          </cell>
          <cell r="C20" t="str">
            <v>FS_383</v>
          </cell>
          <cell r="D20" t="str">
            <v>CADORO</v>
          </cell>
          <cell r="E20" t="str">
            <v>IMBCCNCONFCADORO001</v>
          </cell>
          <cell r="F20" t="str">
            <v>IMB.CN CADORO CREMOSO FS0383</v>
          </cell>
          <cell r="G20" t="str">
            <v>-</v>
          </cell>
          <cell r="H20" t="str">
            <v>GC2</v>
          </cell>
          <cell r="I20">
            <v>270</v>
          </cell>
          <cell r="J20">
            <v>0</v>
          </cell>
          <cell r="K20">
            <v>0</v>
          </cell>
          <cell r="L20">
            <v>0</v>
          </cell>
          <cell r="M20" t="str">
            <v>K</v>
          </cell>
          <cell r="N20">
            <v>877</v>
          </cell>
          <cell r="O20">
            <v>871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>PO0039</v>
          </cell>
          <cell r="U20">
            <v>80</v>
          </cell>
          <cell r="V20" t="str">
            <v>PRIMER</v>
          </cell>
          <cell r="W20" t="str">
            <v>UV LUCIDO+OPACO</v>
          </cell>
          <cell r="X20" t="str">
            <v>UV0003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 t="str">
            <v>FU0443</v>
          </cell>
          <cell r="AF20">
            <v>0</v>
          </cell>
          <cell r="AG20" t="str">
            <v>NO</v>
          </cell>
          <cell r="AH20">
            <v>0</v>
          </cell>
          <cell r="AI20" t="str">
            <v>Si</v>
          </cell>
          <cell r="AJ20" t="str">
            <v>Lineare</v>
          </cell>
          <cell r="AK20" t="str">
            <v>T1</v>
          </cell>
          <cell r="AL20">
            <v>325</v>
          </cell>
          <cell r="AM20">
            <v>6.65</v>
          </cell>
          <cell r="AN20" t="str">
            <v>CASSETTO</v>
          </cell>
          <cell r="AO20">
            <v>31</v>
          </cell>
        </row>
        <row r="21">
          <cell r="A21" t="str">
            <v>NN_FS_383_CADORO_000019</v>
          </cell>
          <cell r="B21" t="str">
            <v>NERO NOBILE</v>
          </cell>
          <cell r="C21" t="str">
            <v>FS_383</v>
          </cell>
          <cell r="D21" t="str">
            <v>CADORO</v>
          </cell>
          <cell r="E21" t="str">
            <v>IMBCCNCONFCADORO004</v>
          </cell>
          <cell r="F21" t="str">
            <v>IMB.CN CADORO FORTISSIMO FS0383</v>
          </cell>
          <cell r="G21" t="str">
            <v>-</v>
          </cell>
          <cell r="H21" t="str">
            <v>GC2</v>
          </cell>
          <cell r="I21">
            <v>270</v>
          </cell>
          <cell r="J21">
            <v>0</v>
          </cell>
          <cell r="K21">
            <v>0</v>
          </cell>
          <cell r="L21">
            <v>0</v>
          </cell>
          <cell r="M21" t="str">
            <v>K</v>
          </cell>
          <cell r="N21">
            <v>877</v>
          </cell>
          <cell r="O21">
            <v>876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>PO0039</v>
          </cell>
          <cell r="U21">
            <v>80</v>
          </cell>
          <cell r="V21" t="str">
            <v>PRIMER</v>
          </cell>
          <cell r="W21" t="str">
            <v>UV LUCIDO+OPACO</v>
          </cell>
          <cell r="X21" t="str">
            <v>UV0003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 t="str">
            <v>FU0443</v>
          </cell>
          <cell r="AF21">
            <v>0</v>
          </cell>
          <cell r="AG21" t="str">
            <v>NO</v>
          </cell>
          <cell r="AH21">
            <v>0</v>
          </cell>
          <cell r="AI21" t="str">
            <v>Si</v>
          </cell>
          <cell r="AJ21" t="str">
            <v>Lineare</v>
          </cell>
          <cell r="AK21" t="str">
            <v>T1</v>
          </cell>
          <cell r="AL21">
            <v>325</v>
          </cell>
          <cell r="AM21">
            <v>6.65</v>
          </cell>
          <cell r="AN21" t="str">
            <v>CASSETTO</v>
          </cell>
          <cell r="AO21">
            <v>31</v>
          </cell>
        </row>
        <row r="22">
          <cell r="A22" t="str">
            <v>NN_FS_383_CADORO_000020</v>
          </cell>
          <cell r="B22" t="str">
            <v>NERO NOBILE</v>
          </cell>
          <cell r="C22" t="str">
            <v>FS_383</v>
          </cell>
          <cell r="D22" t="str">
            <v>CADORO</v>
          </cell>
          <cell r="E22" t="str">
            <v>IMBCCNCONFCADORO005</v>
          </cell>
          <cell r="F22" t="str">
            <v>IMB.CN CADORO DECAFFEINATO FS0383</v>
          </cell>
          <cell r="G22" t="str">
            <v>-</v>
          </cell>
          <cell r="H22" t="str">
            <v>GC2</v>
          </cell>
          <cell r="I22">
            <v>270</v>
          </cell>
          <cell r="J22">
            <v>0</v>
          </cell>
          <cell r="K22">
            <v>0</v>
          </cell>
          <cell r="L22">
            <v>0</v>
          </cell>
          <cell r="M22" t="str">
            <v>K</v>
          </cell>
          <cell r="N22">
            <v>877</v>
          </cell>
          <cell r="O22">
            <v>286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>PO0039</v>
          </cell>
          <cell r="U22">
            <v>80</v>
          </cell>
          <cell r="V22" t="str">
            <v>PRIMER</v>
          </cell>
          <cell r="W22" t="str">
            <v>UV LUCIDO+OPACO</v>
          </cell>
          <cell r="X22" t="str">
            <v>UV0003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 t="str">
            <v>FU0443</v>
          </cell>
          <cell r="AF22">
            <v>0</v>
          </cell>
          <cell r="AG22" t="str">
            <v>NO</v>
          </cell>
          <cell r="AH22">
            <v>0</v>
          </cell>
          <cell r="AI22" t="str">
            <v>Si</v>
          </cell>
          <cell r="AJ22" t="str">
            <v>Lineare</v>
          </cell>
          <cell r="AK22" t="str">
            <v>T1</v>
          </cell>
          <cell r="AL22">
            <v>325</v>
          </cell>
          <cell r="AM22">
            <v>6.65</v>
          </cell>
          <cell r="AN22" t="str">
            <v>CASSETTO</v>
          </cell>
          <cell r="AO22">
            <v>31</v>
          </cell>
        </row>
        <row r="23">
          <cell r="A23" t="str">
            <v>JBS_VRS_SMALL_000021</v>
          </cell>
          <cell r="B23" t="str">
            <v>JBS TEXTILE</v>
          </cell>
          <cell r="C23" t="str">
            <v>VRS</v>
          </cell>
          <cell r="D23" t="str">
            <v>SMALL</v>
          </cell>
          <cell r="E23" t="str">
            <v>ART. 28-16030-0-1100</v>
          </cell>
          <cell r="F23" t="str">
            <v>ENVELOPES VRS SMALL</v>
          </cell>
          <cell r="G23" t="str">
            <v>-</v>
          </cell>
          <cell r="H23" t="str">
            <v>GC1</v>
          </cell>
          <cell r="I23">
            <v>250</v>
          </cell>
          <cell r="J23" t="str">
            <v>C</v>
          </cell>
          <cell r="K23" t="str">
            <v>M</v>
          </cell>
          <cell r="L23" t="str">
            <v>Y</v>
          </cell>
          <cell r="M23" t="str">
            <v>K</v>
          </cell>
          <cell r="N23">
            <v>872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80</v>
          </cell>
          <cell r="V23" t="str">
            <v>VERNICE OPACA</v>
          </cell>
          <cell r="W23">
            <v>0</v>
          </cell>
          <cell r="X23">
            <v>0</v>
          </cell>
          <cell r="Y23" t="str">
            <v>TCP</v>
          </cell>
          <cell r="Z23" t="str">
            <v>SERIGRAFIA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 t="str">
            <v>FU0260</v>
          </cell>
          <cell r="AF23">
            <v>0</v>
          </cell>
          <cell r="AG23" t="str">
            <v>NO</v>
          </cell>
          <cell r="AH23">
            <v>0</v>
          </cell>
          <cell r="AI23" t="str">
            <v>Si</v>
          </cell>
          <cell r="AJ23" t="str">
            <v>Soffietto</v>
          </cell>
          <cell r="AK23">
            <v>6</v>
          </cell>
          <cell r="AL23">
            <v>325</v>
          </cell>
          <cell r="AM23">
            <v>7.2</v>
          </cell>
          <cell r="AN23" t="str">
            <v>CASSETTO</v>
          </cell>
          <cell r="AO23">
            <v>31</v>
          </cell>
        </row>
        <row r="24">
          <cell r="A24" t="str">
            <v>JBS_VRS_SMALL_000022</v>
          </cell>
          <cell r="B24" t="str">
            <v>JBS TEXTILE</v>
          </cell>
          <cell r="C24" t="str">
            <v>VRS</v>
          </cell>
          <cell r="D24" t="str">
            <v>SMALL</v>
          </cell>
          <cell r="E24" t="str">
            <v>ART. 28-16352-0-1100</v>
          </cell>
          <cell r="F24" t="str">
            <v>ENVELOPES VRS SMALL</v>
          </cell>
          <cell r="G24" t="str">
            <v>-</v>
          </cell>
          <cell r="H24" t="str">
            <v>GC1</v>
          </cell>
          <cell r="I24">
            <v>250</v>
          </cell>
          <cell r="J24" t="str">
            <v>C</v>
          </cell>
          <cell r="K24" t="str">
            <v>M</v>
          </cell>
          <cell r="L24" t="str">
            <v>Y</v>
          </cell>
          <cell r="M24" t="str">
            <v>K</v>
          </cell>
          <cell r="N24">
            <v>872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80</v>
          </cell>
          <cell r="V24" t="str">
            <v>VERNICE OPACA</v>
          </cell>
          <cell r="W24">
            <v>0</v>
          </cell>
          <cell r="X24">
            <v>0</v>
          </cell>
          <cell r="Y24" t="str">
            <v>TCP</v>
          </cell>
          <cell r="Z24" t="str">
            <v>SERIGRAFIA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 t="str">
            <v>FU0260</v>
          </cell>
          <cell r="AF24">
            <v>0</v>
          </cell>
          <cell r="AG24" t="str">
            <v>NO</v>
          </cell>
          <cell r="AH24">
            <v>0</v>
          </cell>
          <cell r="AI24" t="str">
            <v>Si</v>
          </cell>
          <cell r="AJ24" t="str">
            <v>Soffietto</v>
          </cell>
          <cell r="AK24">
            <v>6</v>
          </cell>
          <cell r="AL24">
            <v>325</v>
          </cell>
          <cell r="AM24">
            <v>7.2</v>
          </cell>
          <cell r="AN24" t="str">
            <v>CASSETTO</v>
          </cell>
          <cell r="AO24">
            <v>31</v>
          </cell>
        </row>
        <row r="25">
          <cell r="A25" t="str">
            <v>JBS_VRS_MEDIUM_000023</v>
          </cell>
          <cell r="B25" t="str">
            <v>JBS TEXTILE</v>
          </cell>
          <cell r="C25" t="str">
            <v>VRS</v>
          </cell>
          <cell r="D25" t="str">
            <v>MEDIUM</v>
          </cell>
          <cell r="E25" t="str">
            <v>ART. 28-16269-0-1103</v>
          </cell>
          <cell r="F25" t="str">
            <v>ENVELOPES VRS MEDIUM</v>
          </cell>
          <cell r="G25" t="str">
            <v>-</v>
          </cell>
          <cell r="H25" t="str">
            <v>GC1</v>
          </cell>
          <cell r="I25">
            <v>250</v>
          </cell>
          <cell r="J25" t="str">
            <v>C</v>
          </cell>
          <cell r="K25" t="str">
            <v>M</v>
          </cell>
          <cell r="L25" t="str">
            <v>Y</v>
          </cell>
          <cell r="M25" t="str">
            <v>K</v>
          </cell>
          <cell r="N25">
            <v>872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80</v>
          </cell>
          <cell r="V25" t="str">
            <v>VERNICE OPACA</v>
          </cell>
          <cell r="W25">
            <v>0</v>
          </cell>
          <cell r="X25">
            <v>0</v>
          </cell>
          <cell r="Y25" t="str">
            <v>TCP</v>
          </cell>
          <cell r="Z25" t="str">
            <v>SERIGRAFIA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 t="str">
            <v>FU0233</v>
          </cell>
          <cell r="AF25">
            <v>0</v>
          </cell>
          <cell r="AG25" t="str">
            <v>NO</v>
          </cell>
          <cell r="AH25">
            <v>0</v>
          </cell>
          <cell r="AI25" t="str">
            <v>Si</v>
          </cell>
          <cell r="AJ25" t="str">
            <v>Soffietto</v>
          </cell>
          <cell r="AK25">
            <v>6</v>
          </cell>
          <cell r="AL25">
            <v>325</v>
          </cell>
          <cell r="AM25">
            <v>7.45</v>
          </cell>
          <cell r="AN25" t="str">
            <v>CASSETTO</v>
          </cell>
          <cell r="AO25">
            <v>31</v>
          </cell>
        </row>
        <row r="26">
          <cell r="A26" t="str">
            <v>JBS_VRS_MEDIUM_000024</v>
          </cell>
          <cell r="B26" t="str">
            <v>JBS TEXTILE</v>
          </cell>
          <cell r="C26" t="str">
            <v>VRS</v>
          </cell>
          <cell r="D26" t="str">
            <v>MEDIUM</v>
          </cell>
          <cell r="E26" t="str">
            <v>ART. 28-16271-0-1100</v>
          </cell>
          <cell r="F26" t="str">
            <v>ENVELOPES VRS MEDIUM</v>
          </cell>
          <cell r="G26" t="str">
            <v>-</v>
          </cell>
          <cell r="H26" t="str">
            <v>GC1</v>
          </cell>
          <cell r="I26">
            <v>250</v>
          </cell>
          <cell r="J26" t="str">
            <v>C</v>
          </cell>
          <cell r="K26" t="str">
            <v>M</v>
          </cell>
          <cell r="L26" t="str">
            <v>Y</v>
          </cell>
          <cell r="M26" t="str">
            <v>K</v>
          </cell>
          <cell r="N26">
            <v>872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80</v>
          </cell>
          <cell r="V26" t="str">
            <v>VERNICE OPACA</v>
          </cell>
          <cell r="W26">
            <v>0</v>
          </cell>
          <cell r="X26">
            <v>0</v>
          </cell>
          <cell r="Y26" t="str">
            <v>TCP</v>
          </cell>
          <cell r="Z26" t="str">
            <v>SERIGRAFIA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 t="str">
            <v>FU0233</v>
          </cell>
          <cell r="AF26">
            <v>0</v>
          </cell>
          <cell r="AG26" t="str">
            <v>NO</v>
          </cell>
          <cell r="AH26">
            <v>0</v>
          </cell>
          <cell r="AI26" t="str">
            <v>Si</v>
          </cell>
          <cell r="AJ26" t="str">
            <v>Soffietto</v>
          </cell>
          <cell r="AK26">
            <v>6</v>
          </cell>
          <cell r="AL26">
            <v>325</v>
          </cell>
          <cell r="AM26">
            <v>7.45</v>
          </cell>
          <cell r="AN26" t="str">
            <v>CASSETTO</v>
          </cell>
          <cell r="AO26">
            <v>31</v>
          </cell>
        </row>
        <row r="27">
          <cell r="A27" t="str">
            <v>JBS_VRS_MEDIUM_000025</v>
          </cell>
          <cell r="B27" t="str">
            <v>JBS TEXTILE</v>
          </cell>
          <cell r="C27" t="str">
            <v>VRS</v>
          </cell>
          <cell r="D27" t="str">
            <v>MEDIUM</v>
          </cell>
          <cell r="E27" t="str">
            <v>ART. 28-16170-0-1100</v>
          </cell>
          <cell r="F27" t="str">
            <v>ENVELOPES VRS MEDIUM</v>
          </cell>
          <cell r="G27" t="str">
            <v>-</v>
          </cell>
          <cell r="H27" t="str">
            <v>GC1</v>
          </cell>
          <cell r="I27">
            <v>250</v>
          </cell>
          <cell r="J27" t="str">
            <v>C</v>
          </cell>
          <cell r="K27" t="str">
            <v>M</v>
          </cell>
          <cell r="L27" t="str">
            <v>Y</v>
          </cell>
          <cell r="M27" t="str">
            <v>K</v>
          </cell>
          <cell r="N27">
            <v>872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80</v>
          </cell>
          <cell r="V27" t="str">
            <v>VERNICE OPACA</v>
          </cell>
          <cell r="W27">
            <v>0</v>
          </cell>
          <cell r="X27">
            <v>0</v>
          </cell>
          <cell r="Y27" t="str">
            <v>TCP</v>
          </cell>
          <cell r="Z27" t="str">
            <v>SERIGRAFIA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 t="str">
            <v>FU0233</v>
          </cell>
          <cell r="AF27">
            <v>0</v>
          </cell>
          <cell r="AG27" t="str">
            <v>NO</v>
          </cell>
          <cell r="AH27">
            <v>0</v>
          </cell>
          <cell r="AI27" t="str">
            <v>Si</v>
          </cell>
          <cell r="AJ27" t="str">
            <v>Soffietto</v>
          </cell>
          <cell r="AK27">
            <v>6</v>
          </cell>
          <cell r="AL27">
            <v>325</v>
          </cell>
          <cell r="AM27">
            <v>7.45</v>
          </cell>
          <cell r="AN27" t="str">
            <v>CASSETTO</v>
          </cell>
          <cell r="AO27">
            <v>31</v>
          </cell>
        </row>
        <row r="28">
          <cell r="A28" t="str">
            <v>NN_FS_380_NN_000026</v>
          </cell>
          <cell r="B28" t="str">
            <v>NERO NOBILE</v>
          </cell>
          <cell r="C28" t="str">
            <v>FS_380</v>
          </cell>
          <cell r="D28" t="str">
            <v>NN</v>
          </cell>
          <cell r="E28" t="str">
            <v>IMBCDGCONFNN112</v>
          </cell>
          <cell r="F28" t="str">
            <v>IMB.DG NN DEKA FS0380+FINESTRA</v>
          </cell>
          <cell r="G28" t="str">
            <v>-</v>
          </cell>
          <cell r="H28" t="str">
            <v>GC2</v>
          </cell>
          <cell r="I28">
            <v>270</v>
          </cell>
          <cell r="J28" t="str">
            <v>C</v>
          </cell>
          <cell r="K28" t="str">
            <v>M</v>
          </cell>
          <cell r="L28" t="str">
            <v>Y</v>
          </cell>
          <cell r="M28" t="str">
            <v>K</v>
          </cell>
          <cell r="N28">
            <v>871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>PO0077</v>
          </cell>
          <cell r="U28">
            <v>80</v>
          </cell>
          <cell r="V28" t="str">
            <v>DRIP OFF</v>
          </cell>
          <cell r="W28" t="str">
            <v>UV LUCIDO</v>
          </cell>
          <cell r="X28" t="str">
            <v>UV0001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 t="str">
            <v>FU1185</v>
          </cell>
          <cell r="AF28">
            <v>0</v>
          </cell>
          <cell r="AG28" t="str">
            <v>NO</v>
          </cell>
          <cell r="AH28">
            <v>0</v>
          </cell>
          <cell r="AI28">
            <v>0</v>
          </cell>
          <cell r="AJ28">
            <v>0</v>
          </cell>
          <cell r="AK28" t="str">
            <v>FS0380</v>
          </cell>
          <cell r="AL28">
            <v>250</v>
          </cell>
          <cell r="AM28">
            <v>8.35</v>
          </cell>
          <cell r="AN28" t="str">
            <v>CASSETTO</v>
          </cell>
          <cell r="AO28">
            <v>31</v>
          </cell>
        </row>
        <row r="29">
          <cell r="A29" t="str">
            <v>NN_FS_380_NN_000027</v>
          </cell>
          <cell r="B29" t="str">
            <v>NERO NOBILE</v>
          </cell>
          <cell r="C29" t="str">
            <v>FS_380</v>
          </cell>
          <cell r="D29" t="str">
            <v>NN</v>
          </cell>
          <cell r="E29" t="str">
            <v>IMBCDGCONFNN116</v>
          </cell>
          <cell r="F29" t="str">
            <v>IMB.DG NN INTENSO FS0380+FINESTRA</v>
          </cell>
          <cell r="G29" t="str">
            <v>-</v>
          </cell>
          <cell r="H29" t="str">
            <v>GC2</v>
          </cell>
          <cell r="I29">
            <v>270</v>
          </cell>
          <cell r="J29" t="str">
            <v>C</v>
          </cell>
          <cell r="K29" t="str">
            <v>M</v>
          </cell>
          <cell r="L29" t="str">
            <v>Y</v>
          </cell>
          <cell r="M29" t="str">
            <v>K</v>
          </cell>
          <cell r="N29">
            <v>871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>PO0077</v>
          </cell>
          <cell r="U29">
            <v>80</v>
          </cell>
          <cell r="V29" t="str">
            <v>DRIP OFF</v>
          </cell>
          <cell r="W29" t="str">
            <v>UV LUCIDO</v>
          </cell>
          <cell r="X29" t="str">
            <v>UV0001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 t="str">
            <v>FU1185</v>
          </cell>
          <cell r="AF29">
            <v>0</v>
          </cell>
          <cell r="AG29" t="str">
            <v>NO</v>
          </cell>
          <cell r="AH29">
            <v>0</v>
          </cell>
          <cell r="AI29">
            <v>0</v>
          </cell>
          <cell r="AJ29">
            <v>0</v>
          </cell>
          <cell r="AK29" t="str">
            <v>FS0380</v>
          </cell>
          <cell r="AL29">
            <v>250</v>
          </cell>
          <cell r="AM29">
            <v>8.35</v>
          </cell>
          <cell r="AN29" t="str">
            <v>CASSETTO</v>
          </cell>
          <cell r="AO29">
            <v>31</v>
          </cell>
        </row>
        <row r="30">
          <cell r="A30" t="str">
            <v>NN_FS_380_NN_000028</v>
          </cell>
          <cell r="B30" t="str">
            <v>NERO NOBILE</v>
          </cell>
          <cell r="C30" t="str">
            <v>FS_380</v>
          </cell>
          <cell r="D30" t="str">
            <v>NN</v>
          </cell>
          <cell r="E30" t="str">
            <v>IMBCDGCONFNN078</v>
          </cell>
          <cell r="F30" t="str">
            <v>IMB.DG NN CIOCCOLATOMENTA FS0380+FINESTR</v>
          </cell>
          <cell r="G30" t="str">
            <v>-</v>
          </cell>
          <cell r="H30" t="str">
            <v>GC2</v>
          </cell>
          <cell r="I30">
            <v>270</v>
          </cell>
          <cell r="J30" t="str">
            <v>C</v>
          </cell>
          <cell r="K30" t="str">
            <v>M</v>
          </cell>
          <cell r="L30" t="str">
            <v>Y</v>
          </cell>
          <cell r="M30" t="str">
            <v>K</v>
          </cell>
          <cell r="N30">
            <v>871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>PO0077</v>
          </cell>
          <cell r="U30">
            <v>80</v>
          </cell>
          <cell r="V30" t="str">
            <v>DRIP OFF</v>
          </cell>
          <cell r="W30" t="str">
            <v>UV LUCIDO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 t="str">
            <v>FU1185</v>
          </cell>
          <cell r="AF30">
            <v>0</v>
          </cell>
          <cell r="AG30" t="str">
            <v>NO</v>
          </cell>
          <cell r="AH30">
            <v>0</v>
          </cell>
          <cell r="AI30" t="str">
            <v>Si</v>
          </cell>
          <cell r="AJ30" t="str">
            <v>Lineare</v>
          </cell>
          <cell r="AK30" t="str">
            <v>FS0380</v>
          </cell>
          <cell r="AL30">
            <v>250</v>
          </cell>
          <cell r="AM30">
            <v>8.35</v>
          </cell>
          <cell r="AN30" t="str">
            <v>CASSETTO</v>
          </cell>
          <cell r="AO30">
            <v>31</v>
          </cell>
        </row>
        <row r="31">
          <cell r="A31" t="str">
            <v>NN_FS_380_NN_000029</v>
          </cell>
          <cell r="B31" t="str">
            <v>NERO NOBILE</v>
          </cell>
          <cell r="C31" t="str">
            <v>FS_380</v>
          </cell>
          <cell r="D31" t="str">
            <v>NN</v>
          </cell>
          <cell r="E31" t="str">
            <v>IMBCDGCONFNN109</v>
          </cell>
          <cell r="F31" t="str">
            <v>IMB.DG NN TISANA DEPURATIVA FS0380+FINES</v>
          </cell>
          <cell r="G31" t="str">
            <v>-</v>
          </cell>
          <cell r="H31" t="str">
            <v>GC2</v>
          </cell>
          <cell r="I31">
            <v>270</v>
          </cell>
          <cell r="J31" t="str">
            <v>C</v>
          </cell>
          <cell r="K31" t="str">
            <v>M</v>
          </cell>
          <cell r="L31" t="str">
            <v>Y</v>
          </cell>
          <cell r="M31" t="str">
            <v>K</v>
          </cell>
          <cell r="N31">
            <v>871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>PO0077</v>
          </cell>
          <cell r="U31">
            <v>80</v>
          </cell>
          <cell r="V31" t="str">
            <v>DRIP OFF</v>
          </cell>
          <cell r="W31" t="str">
            <v>UV LUCIDO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 t="str">
            <v>FU1185</v>
          </cell>
          <cell r="AF31">
            <v>0</v>
          </cell>
          <cell r="AG31" t="str">
            <v>NO</v>
          </cell>
          <cell r="AH31">
            <v>0</v>
          </cell>
          <cell r="AI31" t="str">
            <v>Si</v>
          </cell>
          <cell r="AJ31" t="str">
            <v>Lineare</v>
          </cell>
          <cell r="AK31" t="str">
            <v>FS0380</v>
          </cell>
          <cell r="AL31">
            <v>250</v>
          </cell>
          <cell r="AM31">
            <v>8.35</v>
          </cell>
          <cell r="AN31" t="str">
            <v>CASSETTO</v>
          </cell>
          <cell r="AO31">
            <v>31</v>
          </cell>
        </row>
        <row r="32">
          <cell r="A32" t="str">
            <v>NN_FS_380_NN_000030</v>
          </cell>
          <cell r="B32" t="str">
            <v>NERO NOBILE</v>
          </cell>
          <cell r="C32" t="str">
            <v>FS_380</v>
          </cell>
          <cell r="D32" t="str">
            <v>NN</v>
          </cell>
          <cell r="E32" t="str">
            <v>IMBCDGCONFNN110</v>
          </cell>
          <cell r="F32" t="str">
            <v>IMB.DG NN TISANA RELAX FS0380+FINES</v>
          </cell>
          <cell r="G32" t="str">
            <v>-</v>
          </cell>
          <cell r="H32" t="str">
            <v>GC2</v>
          </cell>
          <cell r="I32">
            <v>270</v>
          </cell>
          <cell r="J32" t="str">
            <v>C</v>
          </cell>
          <cell r="K32" t="str">
            <v>M</v>
          </cell>
          <cell r="L32" t="str">
            <v>Y</v>
          </cell>
          <cell r="M32" t="str">
            <v>K</v>
          </cell>
          <cell r="N32">
            <v>871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>PO0077</v>
          </cell>
          <cell r="U32">
            <v>80</v>
          </cell>
          <cell r="V32" t="str">
            <v>DRIP OFF</v>
          </cell>
          <cell r="W32" t="str">
            <v>UV LUCIDO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 t="str">
            <v>FU1185</v>
          </cell>
          <cell r="AF32">
            <v>0</v>
          </cell>
          <cell r="AG32" t="str">
            <v>NO</v>
          </cell>
          <cell r="AH32">
            <v>0</v>
          </cell>
          <cell r="AI32" t="str">
            <v>Si</v>
          </cell>
          <cell r="AJ32" t="str">
            <v>Lineare</v>
          </cell>
          <cell r="AK32" t="str">
            <v>FS0380</v>
          </cell>
          <cell r="AL32">
            <v>250</v>
          </cell>
          <cell r="AM32">
            <v>8.35</v>
          </cell>
          <cell r="AN32" t="str">
            <v>CASSETTO</v>
          </cell>
          <cell r="AO32">
            <v>31</v>
          </cell>
        </row>
        <row r="33">
          <cell r="A33" t="str">
            <v>NN_FS_380_NN_000031</v>
          </cell>
          <cell r="B33" t="str">
            <v>NERO NOBILE</v>
          </cell>
          <cell r="C33" t="str">
            <v>FS_380</v>
          </cell>
          <cell r="D33" t="str">
            <v>NN</v>
          </cell>
          <cell r="E33" t="str">
            <v>IMBCDGCONFNN111</v>
          </cell>
          <cell r="F33" t="str">
            <v>IMB.DG NN CAMOMILLA MI.ARA FS0380+FINE,</v>
          </cell>
          <cell r="G33" t="str">
            <v>-</v>
          </cell>
          <cell r="H33" t="str">
            <v>GC2</v>
          </cell>
          <cell r="I33">
            <v>270</v>
          </cell>
          <cell r="J33" t="str">
            <v>C</v>
          </cell>
          <cell r="K33" t="str">
            <v>M</v>
          </cell>
          <cell r="L33" t="str">
            <v>Y</v>
          </cell>
          <cell r="M33" t="str">
            <v>K</v>
          </cell>
          <cell r="N33">
            <v>871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>PO0077</v>
          </cell>
          <cell r="U33">
            <v>80</v>
          </cell>
          <cell r="V33" t="str">
            <v>DRIP OFF</v>
          </cell>
          <cell r="W33" t="str">
            <v>UV LUCIDO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 t="str">
            <v>FU1185</v>
          </cell>
          <cell r="AF33">
            <v>0</v>
          </cell>
          <cell r="AG33" t="str">
            <v>NO</v>
          </cell>
          <cell r="AH33">
            <v>0</v>
          </cell>
          <cell r="AI33" t="str">
            <v>Si</v>
          </cell>
          <cell r="AJ33" t="str">
            <v>Lineare</v>
          </cell>
          <cell r="AK33" t="str">
            <v>FS0380</v>
          </cell>
          <cell r="AL33">
            <v>250</v>
          </cell>
          <cell r="AM33">
            <v>8.35</v>
          </cell>
          <cell r="AN33" t="str">
            <v>CASSETTO</v>
          </cell>
          <cell r="AO33">
            <v>31</v>
          </cell>
        </row>
        <row r="34">
          <cell r="A34" t="str">
            <v>VLL_ZULU_ITA_000032</v>
          </cell>
          <cell r="B34" t="str">
            <v>VALLEDORO</v>
          </cell>
          <cell r="C34" t="str">
            <v>ZULU</v>
          </cell>
          <cell r="D34" t="str">
            <v>ITA</v>
          </cell>
          <cell r="E34" t="str">
            <v>RISO LATTE 140G</v>
          </cell>
          <cell r="F34" t="str">
            <v>ASTUCCI ZULU RISO LATTE 140 G</v>
          </cell>
          <cell r="G34" t="str">
            <v>-</v>
          </cell>
          <cell r="H34" t="str">
            <v>GC2</v>
          </cell>
          <cell r="I34">
            <v>260</v>
          </cell>
          <cell r="J34" t="str">
            <v>C</v>
          </cell>
          <cell r="K34" t="str">
            <v>M</v>
          </cell>
          <cell r="L34" t="str">
            <v>Y</v>
          </cell>
          <cell r="M34" t="str">
            <v>K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>PO0107</v>
          </cell>
          <cell r="U34">
            <v>80</v>
          </cell>
          <cell r="V34" t="str">
            <v>PRIMER</v>
          </cell>
          <cell r="W34" t="str">
            <v>UV LUCIDO</v>
          </cell>
          <cell r="X34" t="str">
            <v>UV0007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 t="str">
            <v>FU0666</v>
          </cell>
          <cell r="AF34">
            <v>0</v>
          </cell>
          <cell r="AG34" t="str">
            <v>NO</v>
          </cell>
          <cell r="AH34">
            <v>0</v>
          </cell>
          <cell r="AI34" t="str">
            <v>Si</v>
          </cell>
          <cell r="AJ34" t="str">
            <v>Lineare</v>
          </cell>
          <cell r="AK34" t="str">
            <v>5B</v>
          </cell>
          <cell r="AL34">
            <v>300</v>
          </cell>
          <cell r="AM34">
            <v>7.5</v>
          </cell>
          <cell r="AN34" t="str">
            <v>CASSETTO</v>
          </cell>
          <cell r="AO34">
            <v>31</v>
          </cell>
        </row>
        <row r="35">
          <cell r="A35" t="str">
            <v>VLL_ZULU_ITA_000033</v>
          </cell>
          <cell r="B35" t="str">
            <v>VALLEDORO</v>
          </cell>
          <cell r="C35" t="str">
            <v>ZULU</v>
          </cell>
          <cell r="D35" t="str">
            <v>ITA</v>
          </cell>
          <cell r="E35" t="str">
            <v>FONDENTE 140G</v>
          </cell>
          <cell r="F35" t="str">
            <v>ASTUCCI ZULU FONDENTE 140 G</v>
          </cell>
          <cell r="G35" t="str">
            <v>-</v>
          </cell>
          <cell r="H35" t="str">
            <v>GC2</v>
          </cell>
          <cell r="I35">
            <v>260</v>
          </cell>
          <cell r="J35" t="str">
            <v>C</v>
          </cell>
          <cell r="K35" t="str">
            <v>M</v>
          </cell>
          <cell r="L35" t="str">
            <v>Y</v>
          </cell>
          <cell r="M35" t="str">
            <v>K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>PO0107</v>
          </cell>
          <cell r="U35">
            <v>80</v>
          </cell>
          <cell r="V35" t="str">
            <v>PRIMER</v>
          </cell>
          <cell r="W35" t="str">
            <v>UV LUCIDO</v>
          </cell>
          <cell r="X35" t="str">
            <v>UV0007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 t="str">
            <v>FU0666</v>
          </cell>
          <cell r="AF35">
            <v>0</v>
          </cell>
          <cell r="AG35" t="str">
            <v>NO</v>
          </cell>
          <cell r="AH35">
            <v>0</v>
          </cell>
          <cell r="AI35" t="str">
            <v>Si</v>
          </cell>
          <cell r="AJ35" t="str">
            <v>Lineare</v>
          </cell>
          <cell r="AK35" t="str">
            <v>5B</v>
          </cell>
          <cell r="AL35">
            <v>300</v>
          </cell>
          <cell r="AM35">
            <v>7.5</v>
          </cell>
          <cell r="AN35" t="str">
            <v>CASSETTO</v>
          </cell>
          <cell r="AO35">
            <v>31</v>
          </cell>
        </row>
        <row r="36">
          <cell r="A36" t="str">
            <v>VLL_ZULU_ITA_000034</v>
          </cell>
          <cell r="B36" t="str">
            <v>VALLEDORO</v>
          </cell>
          <cell r="C36" t="str">
            <v>ZULU</v>
          </cell>
          <cell r="D36" t="str">
            <v>ITA</v>
          </cell>
          <cell r="E36" t="str">
            <v>MAIS FONDENTE 120G</v>
          </cell>
          <cell r="F36" t="str">
            <v>ASTUCCI ZULU MAIS FONDENTE 120G</v>
          </cell>
          <cell r="G36" t="str">
            <v>-</v>
          </cell>
          <cell r="H36" t="str">
            <v>GC2</v>
          </cell>
          <cell r="I36">
            <v>260</v>
          </cell>
          <cell r="J36" t="str">
            <v>C</v>
          </cell>
          <cell r="K36" t="str">
            <v>M</v>
          </cell>
          <cell r="L36" t="str">
            <v>Y</v>
          </cell>
          <cell r="M36" t="str">
            <v>K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>PO0107</v>
          </cell>
          <cell r="U36">
            <v>80</v>
          </cell>
          <cell r="V36" t="str">
            <v>PRIMER</v>
          </cell>
          <cell r="W36" t="str">
            <v>UV LUCIDO</v>
          </cell>
          <cell r="X36" t="str">
            <v>UV0007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 t="str">
            <v>FU0666</v>
          </cell>
          <cell r="AF36">
            <v>0</v>
          </cell>
          <cell r="AG36" t="str">
            <v>NO</v>
          </cell>
          <cell r="AH36">
            <v>0</v>
          </cell>
          <cell r="AI36" t="str">
            <v>Si</v>
          </cell>
          <cell r="AJ36" t="str">
            <v>Lineare</v>
          </cell>
          <cell r="AK36" t="str">
            <v>5B</v>
          </cell>
          <cell r="AL36">
            <v>300</v>
          </cell>
          <cell r="AM36">
            <v>7.5</v>
          </cell>
          <cell r="AN36" t="str">
            <v>CASSETTO</v>
          </cell>
          <cell r="AO36">
            <v>31</v>
          </cell>
        </row>
        <row r="37">
          <cell r="A37" t="str">
            <v>EDO_GHIACCIOLI_6_ICA_000035</v>
          </cell>
          <cell r="B37" t="str">
            <v>EDO SPA</v>
          </cell>
          <cell r="C37" t="str">
            <v>GHIACCIOLI_6</v>
          </cell>
          <cell r="D37" t="str">
            <v>ICA</v>
          </cell>
          <cell r="E37" t="str">
            <v>MPI3406003</v>
          </cell>
          <cell r="F37" t="str">
            <v>ASTUCCI BISCOTTO DARK 6X6</v>
          </cell>
          <cell r="G37" t="str">
            <v>-</v>
          </cell>
          <cell r="H37">
            <v>112</v>
          </cell>
          <cell r="I37">
            <v>320</v>
          </cell>
          <cell r="J37" t="str">
            <v>C</v>
          </cell>
          <cell r="K37" t="str">
            <v>M</v>
          </cell>
          <cell r="L37" t="str">
            <v>Y</v>
          </cell>
          <cell r="M37" t="str">
            <v>K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>PO0106</v>
          </cell>
          <cell r="U37">
            <v>80</v>
          </cell>
          <cell r="V37" t="str">
            <v>VERNICE LUCIDA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 t="str">
            <v>FU0960</v>
          </cell>
          <cell r="AF37">
            <v>0</v>
          </cell>
          <cell r="AG37" t="str">
            <v>NO</v>
          </cell>
          <cell r="AH37">
            <v>0</v>
          </cell>
          <cell r="AI37" t="str">
            <v>No</v>
          </cell>
          <cell r="AJ37">
            <v>0</v>
          </cell>
          <cell r="AK37" t="str">
            <v>TERMO</v>
          </cell>
          <cell r="AL37">
            <v>10800</v>
          </cell>
          <cell r="AM37">
            <v>530</v>
          </cell>
          <cell r="AN37" t="str">
            <v>CASSETTO</v>
          </cell>
          <cell r="AO37">
            <v>31</v>
          </cell>
        </row>
        <row r="38">
          <cell r="A38" t="str">
            <v>BRC_ACCAPI_BAULETTI_000036</v>
          </cell>
          <cell r="B38" t="str">
            <v>BRUNO CHIARUTTINI</v>
          </cell>
          <cell r="C38" t="str">
            <v>ACCAPI</v>
          </cell>
          <cell r="D38" t="str">
            <v>BAULETTI</v>
          </cell>
          <cell r="E38" t="str">
            <v>SCATOLA "SONNO"</v>
          </cell>
          <cell r="F38" t="str">
            <v>SCATOLA AVANA/AVANA "SONNO"</v>
          </cell>
          <cell r="G38" t="str">
            <v>-</v>
          </cell>
          <cell r="H38" t="str">
            <v>MICRO</v>
          </cell>
          <cell r="I38" t="str">
            <v>ONDA E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 t="str">
            <v>FU0539</v>
          </cell>
          <cell r="AF38">
            <v>0</v>
          </cell>
          <cell r="AG38" t="str">
            <v>NO</v>
          </cell>
          <cell r="AH38">
            <v>0</v>
          </cell>
          <cell r="AI38" t="str">
            <v>No</v>
          </cell>
          <cell r="AJ38">
            <v>0</v>
          </cell>
          <cell r="AK38" t="str">
            <v>TERMO</v>
          </cell>
          <cell r="AL38">
            <v>3500</v>
          </cell>
          <cell r="AM38">
            <v>205</v>
          </cell>
          <cell r="AN38" t="str">
            <v>ARCHIVIO</v>
          </cell>
          <cell r="AO38">
            <v>1</v>
          </cell>
        </row>
        <row r="39">
          <cell r="A39" t="str">
            <v>PLC_SOFT MECHES__000037</v>
          </cell>
          <cell r="B39" t="str">
            <v>PLASTIC CENTER</v>
          </cell>
          <cell r="C39" t="str">
            <v>SOFT MECHES</v>
          </cell>
          <cell r="D39">
            <v>0</v>
          </cell>
          <cell r="E39" t="str">
            <v>100 SOFT MECHES</v>
          </cell>
          <cell r="F39" t="str">
            <v>ASTUCCI 100 SOFT MECHES</v>
          </cell>
          <cell r="G39" t="str">
            <v>-</v>
          </cell>
          <cell r="H39">
            <v>112</v>
          </cell>
          <cell r="I39">
            <v>500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80</v>
          </cell>
          <cell r="V39" t="str">
            <v>VERNICE LUCIDA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 t="str">
            <v>FU1253</v>
          </cell>
          <cell r="AF39">
            <v>0</v>
          </cell>
          <cell r="AG39" t="str">
            <v>NO</v>
          </cell>
          <cell r="AH39">
            <v>0</v>
          </cell>
          <cell r="AI39" t="str">
            <v>Si</v>
          </cell>
          <cell r="AJ39" t="str">
            <v>Lineare</v>
          </cell>
          <cell r="AK39">
            <v>4</v>
          </cell>
          <cell r="AL39">
            <v>130</v>
          </cell>
          <cell r="AM39">
            <v>9.75</v>
          </cell>
          <cell r="AN39" t="str">
            <v>ARCHIVIO</v>
          </cell>
          <cell r="AO39">
            <v>1</v>
          </cell>
        </row>
        <row r="40">
          <cell r="A40" t="str">
            <v>NN_FS_385_VESUVIUS_000038</v>
          </cell>
          <cell r="B40" t="str">
            <v>NERO NOBILE</v>
          </cell>
          <cell r="C40" t="str">
            <v>FS_385</v>
          </cell>
          <cell r="D40" t="str">
            <v>VESUVIUS</v>
          </cell>
          <cell r="E40" t="str">
            <v>IMBCCNCONFVERCAF001</v>
          </cell>
          <cell r="F40" t="str">
            <v>IMB.VEROCAFFE VESUVIUS GINSENG FS0385</v>
          </cell>
          <cell r="G40" t="str">
            <v>-</v>
          </cell>
          <cell r="H40" t="str">
            <v>GC2</v>
          </cell>
          <cell r="I40">
            <v>270</v>
          </cell>
          <cell r="J40" t="str">
            <v>C</v>
          </cell>
          <cell r="K40" t="str">
            <v>M</v>
          </cell>
          <cell r="L40" t="str">
            <v>Y</v>
          </cell>
          <cell r="M40" t="str">
            <v>K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>PO0011</v>
          </cell>
          <cell r="U40">
            <v>80</v>
          </cell>
          <cell r="V40" t="str">
            <v>VERNICE OPACA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 t="str">
            <v>FU1186</v>
          </cell>
          <cell r="AF40">
            <v>0</v>
          </cell>
          <cell r="AG40" t="str">
            <v>NO</v>
          </cell>
          <cell r="AH40">
            <v>0</v>
          </cell>
          <cell r="AI40" t="str">
            <v>Si</v>
          </cell>
          <cell r="AJ40" t="str">
            <v>Lineare</v>
          </cell>
          <cell r="AK40" t="str">
            <v>T1</v>
          </cell>
          <cell r="AL40">
            <v>350</v>
          </cell>
          <cell r="AM40">
            <v>6.05</v>
          </cell>
          <cell r="AN40" t="str">
            <v>CASSETTO</v>
          </cell>
          <cell r="AO40">
            <v>31</v>
          </cell>
        </row>
        <row r="41">
          <cell r="A41" t="str">
            <v>NN_FS_385_VESUVIUS_000039</v>
          </cell>
          <cell r="B41" t="str">
            <v>NERO NOBILE</v>
          </cell>
          <cell r="C41" t="str">
            <v>FS_385</v>
          </cell>
          <cell r="D41" t="str">
            <v>VESUVIUS</v>
          </cell>
          <cell r="E41" t="str">
            <v>IMBCCNCONFVERCAF002</v>
          </cell>
          <cell r="F41" t="str">
            <v>IMB.VEROCAFFE VESUVIUS MOCACCINO FS0385</v>
          </cell>
          <cell r="G41" t="str">
            <v>-</v>
          </cell>
          <cell r="H41" t="str">
            <v>GC2</v>
          </cell>
          <cell r="I41">
            <v>270</v>
          </cell>
          <cell r="J41" t="str">
            <v>C</v>
          </cell>
          <cell r="K41" t="str">
            <v>M</v>
          </cell>
          <cell r="L41" t="str">
            <v>Y</v>
          </cell>
          <cell r="M41" t="str">
            <v>K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>PO0011</v>
          </cell>
          <cell r="U41">
            <v>80</v>
          </cell>
          <cell r="V41" t="str">
            <v>VERNICE OPACA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 t="str">
            <v>FU1186</v>
          </cell>
          <cell r="AF41">
            <v>0</v>
          </cell>
          <cell r="AG41" t="str">
            <v>NO</v>
          </cell>
          <cell r="AH41">
            <v>0</v>
          </cell>
          <cell r="AI41" t="str">
            <v>Si</v>
          </cell>
          <cell r="AJ41" t="str">
            <v>Lineare</v>
          </cell>
          <cell r="AK41" t="str">
            <v>T1</v>
          </cell>
          <cell r="AL41">
            <v>350</v>
          </cell>
          <cell r="AM41">
            <v>6.05</v>
          </cell>
          <cell r="AN41" t="str">
            <v>CASSETTO</v>
          </cell>
          <cell r="AO41">
            <v>31</v>
          </cell>
        </row>
        <row r="42">
          <cell r="A42" t="str">
            <v>NN_FS_385_VESUVIUS_000040</v>
          </cell>
          <cell r="B42" t="str">
            <v>NERO NOBILE</v>
          </cell>
          <cell r="C42" t="str">
            <v>FS_385</v>
          </cell>
          <cell r="D42" t="str">
            <v>VESUVIUS</v>
          </cell>
          <cell r="E42" t="str">
            <v>IMBCCNCONFVERCAF003</v>
          </cell>
          <cell r="F42" t="str">
            <v>IMB.VEROCAFFE VESUVIUS ORZO FS0385</v>
          </cell>
          <cell r="G42" t="str">
            <v>-</v>
          </cell>
          <cell r="H42" t="str">
            <v>GC2</v>
          </cell>
          <cell r="I42">
            <v>270</v>
          </cell>
          <cell r="J42" t="str">
            <v>C</v>
          </cell>
          <cell r="K42" t="str">
            <v>M</v>
          </cell>
          <cell r="L42" t="str">
            <v>Y</v>
          </cell>
          <cell r="M42" t="str">
            <v>K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>PO0011</v>
          </cell>
          <cell r="U42">
            <v>80</v>
          </cell>
          <cell r="V42" t="str">
            <v>VERNICE OPACA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 t="str">
            <v>FU1186</v>
          </cell>
          <cell r="AF42">
            <v>0</v>
          </cell>
          <cell r="AG42" t="str">
            <v>NO</v>
          </cell>
          <cell r="AH42">
            <v>0</v>
          </cell>
          <cell r="AI42" t="str">
            <v>Si</v>
          </cell>
          <cell r="AJ42" t="str">
            <v>Lineare</v>
          </cell>
          <cell r="AK42" t="str">
            <v>T1</v>
          </cell>
          <cell r="AL42">
            <v>350</v>
          </cell>
          <cell r="AM42">
            <v>6.05</v>
          </cell>
          <cell r="AN42" t="str">
            <v>CASSETTO</v>
          </cell>
          <cell r="AO42">
            <v>31</v>
          </cell>
        </row>
        <row r="43">
          <cell r="A43" t="str">
            <v>NN_FS_385_VESUVIUS_000041</v>
          </cell>
          <cell r="B43" t="str">
            <v>NERO NOBILE</v>
          </cell>
          <cell r="C43" t="str">
            <v>FS_385</v>
          </cell>
          <cell r="D43" t="str">
            <v>VESUVIUS</v>
          </cell>
          <cell r="E43" t="str">
            <v>IMBCCNCONFVERCAF004</v>
          </cell>
          <cell r="F43" t="str">
            <v>IMB.VEROCAFFE VESUVIUS TIS. RELAX FS0385</v>
          </cell>
          <cell r="G43" t="str">
            <v>-</v>
          </cell>
          <cell r="H43" t="str">
            <v>GC2</v>
          </cell>
          <cell r="I43">
            <v>270</v>
          </cell>
          <cell r="J43" t="str">
            <v>C</v>
          </cell>
          <cell r="K43" t="str">
            <v>M</v>
          </cell>
          <cell r="L43" t="str">
            <v>Y</v>
          </cell>
          <cell r="M43" t="str">
            <v>K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>PO0011</v>
          </cell>
          <cell r="U43">
            <v>80</v>
          </cell>
          <cell r="V43" t="str">
            <v>VERNICE OPACA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 t="str">
            <v>FU1186</v>
          </cell>
          <cell r="AF43">
            <v>0</v>
          </cell>
          <cell r="AG43" t="str">
            <v>NO</v>
          </cell>
          <cell r="AH43">
            <v>0</v>
          </cell>
          <cell r="AI43" t="str">
            <v>Si</v>
          </cell>
          <cell r="AJ43" t="str">
            <v>Lineare</v>
          </cell>
          <cell r="AK43" t="str">
            <v>T1</v>
          </cell>
          <cell r="AL43">
            <v>350</v>
          </cell>
          <cell r="AM43">
            <v>6.05</v>
          </cell>
          <cell r="AN43" t="str">
            <v>CASSETTO</v>
          </cell>
          <cell r="AO43">
            <v>31</v>
          </cell>
        </row>
        <row r="44">
          <cell r="A44" t="str">
            <v>NN_FS_385_VESUVIUS_000042</v>
          </cell>
          <cell r="B44" t="str">
            <v>NERO NOBILE</v>
          </cell>
          <cell r="C44" t="str">
            <v>FS_385</v>
          </cell>
          <cell r="D44" t="str">
            <v>VESUVIUS</v>
          </cell>
          <cell r="E44" t="str">
            <v>IMBCCNCONFVERCAF006</v>
          </cell>
          <cell r="F44" t="str">
            <v>IMB.VEROCAFFE VESUVIUS TENERO FS0385</v>
          </cell>
          <cell r="G44" t="str">
            <v>-</v>
          </cell>
          <cell r="H44" t="str">
            <v>GC2</v>
          </cell>
          <cell r="I44">
            <v>270</v>
          </cell>
          <cell r="J44" t="str">
            <v>C</v>
          </cell>
          <cell r="K44" t="str">
            <v>M</v>
          </cell>
          <cell r="L44" t="str">
            <v>Y</v>
          </cell>
          <cell r="M44" t="str">
            <v>K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>PO0011</v>
          </cell>
          <cell r="U44">
            <v>80</v>
          </cell>
          <cell r="V44" t="str">
            <v>VERNICE OPACA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 t="str">
            <v>FU1186</v>
          </cell>
          <cell r="AF44">
            <v>0</v>
          </cell>
          <cell r="AG44" t="str">
            <v>NO</v>
          </cell>
          <cell r="AH44">
            <v>0</v>
          </cell>
          <cell r="AI44" t="str">
            <v>Si</v>
          </cell>
          <cell r="AJ44" t="str">
            <v>Lineare</v>
          </cell>
          <cell r="AK44" t="str">
            <v>T1</v>
          </cell>
          <cell r="AL44">
            <v>350</v>
          </cell>
          <cell r="AM44">
            <v>6.05</v>
          </cell>
          <cell r="AN44" t="str">
            <v>CASSETTO</v>
          </cell>
          <cell r="AO44">
            <v>31</v>
          </cell>
        </row>
        <row r="45">
          <cell r="A45" t="str">
            <v>NN_FS_385_VESUVIUS_000043</v>
          </cell>
          <cell r="B45" t="str">
            <v>NERO NOBILE</v>
          </cell>
          <cell r="C45" t="str">
            <v>FS_385</v>
          </cell>
          <cell r="D45" t="str">
            <v>VESUVIUS</v>
          </cell>
          <cell r="E45" t="str">
            <v>IMBCCNCONFVERCAF008</v>
          </cell>
          <cell r="F45" t="str">
            <v>IMB.VEROCAFFE VESUVIUS FRUTTIDIBOSCO FS0385</v>
          </cell>
          <cell r="G45" t="str">
            <v>-</v>
          </cell>
          <cell r="H45" t="str">
            <v>GC2</v>
          </cell>
          <cell r="I45">
            <v>270</v>
          </cell>
          <cell r="J45" t="str">
            <v>C</v>
          </cell>
          <cell r="K45" t="str">
            <v>M</v>
          </cell>
          <cell r="L45" t="str">
            <v>Y</v>
          </cell>
          <cell r="M45" t="str">
            <v>K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>PO0011</v>
          </cell>
          <cell r="U45">
            <v>80</v>
          </cell>
          <cell r="V45" t="str">
            <v>VERNICE OPACA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 t="str">
            <v>FU1186</v>
          </cell>
          <cell r="AF45">
            <v>0</v>
          </cell>
          <cell r="AG45" t="str">
            <v>NO</v>
          </cell>
          <cell r="AH45">
            <v>0</v>
          </cell>
          <cell r="AI45" t="str">
            <v>Si</v>
          </cell>
          <cell r="AJ45" t="str">
            <v>Lineare</v>
          </cell>
          <cell r="AK45" t="str">
            <v>T1</v>
          </cell>
          <cell r="AL45">
            <v>350</v>
          </cell>
          <cell r="AM45">
            <v>6.05</v>
          </cell>
          <cell r="AN45" t="str">
            <v>CASSETTO</v>
          </cell>
          <cell r="AO45">
            <v>31</v>
          </cell>
        </row>
        <row r="46">
          <cell r="A46" t="str">
            <v>NN_FS_385_VESUVIUS_000044</v>
          </cell>
          <cell r="B46" t="str">
            <v>NERO NOBILE</v>
          </cell>
          <cell r="C46" t="str">
            <v>FS_385</v>
          </cell>
          <cell r="D46" t="str">
            <v>VESUVIUS</v>
          </cell>
          <cell r="E46" t="str">
            <v>IMBCCNCONFVERCAF009</v>
          </cell>
          <cell r="F46" t="str">
            <v>IMB.VEROCAFFE VESUVIUS CAMOMILLA FS0385</v>
          </cell>
          <cell r="G46" t="str">
            <v>-</v>
          </cell>
          <cell r="H46" t="str">
            <v>GC2</v>
          </cell>
          <cell r="I46">
            <v>270</v>
          </cell>
          <cell r="J46" t="str">
            <v>C</v>
          </cell>
          <cell r="K46" t="str">
            <v>M</v>
          </cell>
          <cell r="L46" t="str">
            <v>Y</v>
          </cell>
          <cell r="M46" t="str">
            <v>K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 t="str">
            <v>PO0011</v>
          </cell>
          <cell r="U46">
            <v>80</v>
          </cell>
          <cell r="V46" t="str">
            <v>VERNICE OPACA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 t="str">
            <v>FU1186</v>
          </cell>
          <cell r="AF46">
            <v>0</v>
          </cell>
          <cell r="AG46" t="str">
            <v>NO</v>
          </cell>
          <cell r="AH46">
            <v>0</v>
          </cell>
          <cell r="AI46" t="str">
            <v>Si</v>
          </cell>
          <cell r="AJ46" t="str">
            <v>Lineare</v>
          </cell>
          <cell r="AK46" t="str">
            <v>T1</v>
          </cell>
          <cell r="AL46">
            <v>350</v>
          </cell>
          <cell r="AM46">
            <v>6.05</v>
          </cell>
          <cell r="AN46" t="str">
            <v>CASSETTO</v>
          </cell>
          <cell r="AO46">
            <v>31</v>
          </cell>
        </row>
        <row r="47">
          <cell r="A47" t="str">
            <v>ESS_ESSEGEL__000045</v>
          </cell>
          <cell r="B47" t="str">
            <v>ESSEGEL</v>
          </cell>
          <cell r="C47" t="str">
            <v>ESSEGEL</v>
          </cell>
          <cell r="D47">
            <v>0</v>
          </cell>
          <cell r="E47" t="str">
            <v>SORBETTO</v>
          </cell>
          <cell r="F47" t="str">
            <v>ASTUCCI "FUSTELLA POPSI"</v>
          </cell>
          <cell r="G47" t="str">
            <v>-</v>
          </cell>
          <cell r="H47">
            <v>112</v>
          </cell>
          <cell r="I47">
            <v>400</v>
          </cell>
          <cell r="J47" t="str">
            <v>C</v>
          </cell>
          <cell r="K47" t="str">
            <v>M</v>
          </cell>
          <cell r="L47" t="str">
            <v>Y</v>
          </cell>
          <cell r="M47" t="str">
            <v>K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 t="str">
            <v>PO0108</v>
          </cell>
          <cell r="U47">
            <v>80</v>
          </cell>
          <cell r="V47" t="str">
            <v>VERNICE LUCIDA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 t="str">
            <v>FU1095</v>
          </cell>
          <cell r="AF47">
            <v>0</v>
          </cell>
          <cell r="AG47" t="str">
            <v>NO</v>
          </cell>
          <cell r="AH47">
            <v>0</v>
          </cell>
          <cell r="AI47" t="str">
            <v>No</v>
          </cell>
          <cell r="AJ47">
            <v>0</v>
          </cell>
          <cell r="AK47" t="str">
            <v>TERMO</v>
          </cell>
          <cell r="AL47">
            <v>7200</v>
          </cell>
          <cell r="AM47">
            <v>490</v>
          </cell>
          <cell r="AN47" t="str">
            <v>ARCHIVIO</v>
          </cell>
          <cell r="AO47">
            <v>1</v>
          </cell>
        </row>
        <row r="48">
          <cell r="A48" t="str">
            <v>ESS_ESSEGEL__000046</v>
          </cell>
          <cell r="B48" t="str">
            <v>ESSEGEL</v>
          </cell>
          <cell r="C48" t="str">
            <v>ESSEGEL</v>
          </cell>
          <cell r="D48">
            <v>0</v>
          </cell>
          <cell r="E48" t="str">
            <v>BANANE</v>
          </cell>
          <cell r="F48" t="str">
            <v>ASTUCCI "FUSTELLA POPSI"</v>
          </cell>
          <cell r="G48" t="str">
            <v>-</v>
          </cell>
          <cell r="H48">
            <v>112</v>
          </cell>
          <cell r="I48">
            <v>400</v>
          </cell>
          <cell r="J48" t="str">
            <v>C</v>
          </cell>
          <cell r="K48" t="str">
            <v>M</v>
          </cell>
          <cell r="L48" t="str">
            <v>Y</v>
          </cell>
          <cell r="M48" t="str">
            <v>K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 t="str">
            <v>PO0108</v>
          </cell>
          <cell r="U48">
            <v>80</v>
          </cell>
          <cell r="V48" t="str">
            <v>VERNICE LUCIDA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 t="str">
            <v>FU1095</v>
          </cell>
          <cell r="AF48">
            <v>0</v>
          </cell>
          <cell r="AG48" t="str">
            <v>NO</v>
          </cell>
          <cell r="AH48">
            <v>0</v>
          </cell>
          <cell r="AI48" t="str">
            <v>No</v>
          </cell>
          <cell r="AJ48">
            <v>0</v>
          </cell>
          <cell r="AK48" t="str">
            <v>TERMO</v>
          </cell>
          <cell r="AL48">
            <v>7200</v>
          </cell>
          <cell r="AM48">
            <v>490</v>
          </cell>
          <cell r="AN48" t="str">
            <v>ARCHIVIO</v>
          </cell>
          <cell r="AO48">
            <v>1</v>
          </cell>
        </row>
        <row r="49">
          <cell r="A49" t="str">
            <v>ESS_ESSEGEL__000047</v>
          </cell>
          <cell r="B49" t="str">
            <v>ESSEGEL</v>
          </cell>
          <cell r="C49" t="str">
            <v>ESSEGEL</v>
          </cell>
          <cell r="D49">
            <v>0</v>
          </cell>
          <cell r="E49" t="str">
            <v>CONO CLASSICO</v>
          </cell>
          <cell r="F49" t="str">
            <v>ASTUCCI "FUSTELLA POPSI"</v>
          </cell>
          <cell r="G49" t="str">
            <v>-</v>
          </cell>
          <cell r="H49">
            <v>112</v>
          </cell>
          <cell r="I49">
            <v>400</v>
          </cell>
          <cell r="J49" t="str">
            <v>C</v>
          </cell>
          <cell r="K49" t="str">
            <v>M</v>
          </cell>
          <cell r="L49" t="str">
            <v>Y</v>
          </cell>
          <cell r="M49" t="str">
            <v>K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 t="str">
            <v>PO0108</v>
          </cell>
          <cell r="U49">
            <v>80</v>
          </cell>
          <cell r="V49" t="str">
            <v>VERNICE LUCIDA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 t="str">
            <v>FU1095</v>
          </cell>
          <cell r="AF49">
            <v>0</v>
          </cell>
          <cell r="AG49" t="str">
            <v>NO</v>
          </cell>
          <cell r="AH49">
            <v>0</v>
          </cell>
          <cell r="AI49" t="str">
            <v>No</v>
          </cell>
          <cell r="AJ49">
            <v>0</v>
          </cell>
          <cell r="AK49" t="str">
            <v>TERMO</v>
          </cell>
          <cell r="AL49">
            <v>7200</v>
          </cell>
          <cell r="AM49">
            <v>490</v>
          </cell>
          <cell r="AN49" t="str">
            <v>ARCHIVIO</v>
          </cell>
          <cell r="AO49">
            <v>1</v>
          </cell>
        </row>
        <row r="50">
          <cell r="A50" t="str">
            <v>NN_FS_385_LA_CAPS_000048</v>
          </cell>
          <cell r="B50" t="str">
            <v>NERO NOBILE</v>
          </cell>
          <cell r="C50" t="str">
            <v>FS_385</v>
          </cell>
          <cell r="D50" t="str">
            <v>LA_CAPS</v>
          </cell>
          <cell r="E50" t="str">
            <v>IMBCCNCONFLACAPS003</v>
          </cell>
          <cell r="F50" t="str">
            <v>IMB.CN LA CAPSULERIA SAMBUCA C. FS0385</v>
          </cell>
          <cell r="G50" t="str">
            <v>-</v>
          </cell>
          <cell r="H50" t="str">
            <v>GC2</v>
          </cell>
          <cell r="I50">
            <v>270</v>
          </cell>
          <cell r="J50" t="str">
            <v>C</v>
          </cell>
          <cell r="K50" t="str">
            <v>M</v>
          </cell>
          <cell r="L50" t="str">
            <v>Y</v>
          </cell>
          <cell r="M50" t="str">
            <v>K</v>
          </cell>
          <cell r="N50" t="str">
            <v>BLACK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 t="str">
            <v>PO0011</v>
          </cell>
          <cell r="U50">
            <v>80</v>
          </cell>
          <cell r="V50" t="str">
            <v>VERNICE OPACA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 t="str">
            <v>FU1186</v>
          </cell>
          <cell r="AF50">
            <v>0</v>
          </cell>
          <cell r="AG50" t="str">
            <v>NO</v>
          </cell>
          <cell r="AH50">
            <v>0</v>
          </cell>
          <cell r="AI50" t="str">
            <v>Si</v>
          </cell>
          <cell r="AJ50" t="str">
            <v>Lineare</v>
          </cell>
          <cell r="AK50" t="str">
            <v>T1</v>
          </cell>
          <cell r="AL50">
            <v>350</v>
          </cell>
          <cell r="AM50">
            <v>6.05</v>
          </cell>
          <cell r="AN50" t="str">
            <v>CASSETTO</v>
          </cell>
          <cell r="AO50">
            <v>31</v>
          </cell>
        </row>
        <row r="51">
          <cell r="A51" t="str">
            <v>NN_FS_385_LA_CAPS_000049</v>
          </cell>
          <cell r="B51" t="str">
            <v>NERO NOBILE</v>
          </cell>
          <cell r="C51" t="str">
            <v>FS_385</v>
          </cell>
          <cell r="D51" t="str">
            <v>LA_CAPS</v>
          </cell>
          <cell r="E51" t="str">
            <v>IMBCCNCONFLACAPS004</v>
          </cell>
          <cell r="F51" t="str">
            <v>IMB.CN LA CAPSULERIA ORZO CREM. FS0385</v>
          </cell>
          <cell r="G51" t="str">
            <v>-</v>
          </cell>
          <cell r="H51" t="str">
            <v>GC2</v>
          </cell>
          <cell r="I51">
            <v>270</v>
          </cell>
          <cell r="J51" t="str">
            <v>C</v>
          </cell>
          <cell r="K51" t="str">
            <v>M</v>
          </cell>
          <cell r="L51" t="str">
            <v>Y</v>
          </cell>
          <cell r="M51" t="str">
            <v>K</v>
          </cell>
          <cell r="N51" t="str">
            <v>BLACK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 t="str">
            <v>PO0011</v>
          </cell>
          <cell r="U51">
            <v>80</v>
          </cell>
          <cell r="V51" t="str">
            <v>VERNICE OPACA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 t="str">
            <v>FU1186</v>
          </cell>
          <cell r="AF51">
            <v>0</v>
          </cell>
          <cell r="AG51" t="str">
            <v>NO</v>
          </cell>
          <cell r="AH51">
            <v>0</v>
          </cell>
          <cell r="AI51" t="str">
            <v>Si</v>
          </cell>
          <cell r="AJ51" t="str">
            <v>Lineare</v>
          </cell>
          <cell r="AK51" t="str">
            <v>T1</v>
          </cell>
          <cell r="AL51">
            <v>350</v>
          </cell>
          <cell r="AM51">
            <v>6.05</v>
          </cell>
          <cell r="AN51" t="str">
            <v>CASSETTO</v>
          </cell>
          <cell r="AO51">
            <v>31</v>
          </cell>
        </row>
        <row r="52">
          <cell r="A52" t="str">
            <v>NN_FS_385_LA_CAPS_000050</v>
          </cell>
          <cell r="B52" t="str">
            <v>NERO NOBILE</v>
          </cell>
          <cell r="C52" t="str">
            <v>FS_385</v>
          </cell>
          <cell r="D52" t="str">
            <v>LA_CAPS</v>
          </cell>
          <cell r="E52" t="str">
            <v>IMBCCNCONFLACAPS005</v>
          </cell>
          <cell r="F52" t="str">
            <v>IMB.CN LA CAPSULERIA NOCCIOLINO FS0385</v>
          </cell>
          <cell r="G52" t="str">
            <v>-</v>
          </cell>
          <cell r="H52" t="str">
            <v>GC2</v>
          </cell>
          <cell r="I52">
            <v>270</v>
          </cell>
          <cell r="J52" t="str">
            <v>C</v>
          </cell>
          <cell r="K52" t="str">
            <v>M</v>
          </cell>
          <cell r="L52" t="str">
            <v>Y</v>
          </cell>
          <cell r="M52" t="str">
            <v>K</v>
          </cell>
          <cell r="N52" t="str">
            <v>BLACK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 t="str">
            <v>PO0011</v>
          </cell>
          <cell r="U52">
            <v>80</v>
          </cell>
          <cell r="V52" t="str">
            <v>VERNICE OPACA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 t="str">
            <v>FU1186</v>
          </cell>
          <cell r="AF52">
            <v>0</v>
          </cell>
          <cell r="AG52" t="str">
            <v>NO</v>
          </cell>
          <cell r="AH52">
            <v>0</v>
          </cell>
          <cell r="AI52" t="str">
            <v>Si</v>
          </cell>
          <cell r="AJ52" t="str">
            <v>Lineare</v>
          </cell>
          <cell r="AK52" t="str">
            <v>T1</v>
          </cell>
          <cell r="AL52">
            <v>350</v>
          </cell>
          <cell r="AM52">
            <v>6.05</v>
          </cell>
          <cell r="AN52" t="str">
            <v>CASSETTO</v>
          </cell>
          <cell r="AO52">
            <v>31</v>
          </cell>
        </row>
        <row r="53">
          <cell r="A53" t="str">
            <v>NN_FS_385_LA_CAPS_000051</v>
          </cell>
          <cell r="B53" t="str">
            <v>NERO NOBILE</v>
          </cell>
          <cell r="C53" t="str">
            <v>FS_385</v>
          </cell>
          <cell r="D53" t="str">
            <v>LA_CAPS</v>
          </cell>
          <cell r="E53" t="str">
            <v>IMBCCNCONFLACAPS008</v>
          </cell>
          <cell r="F53" t="str">
            <v>IMB.CN LA CAPSULERIA GINSENG D. FS0385</v>
          </cell>
          <cell r="G53" t="str">
            <v>-</v>
          </cell>
          <cell r="H53" t="str">
            <v>GC2</v>
          </cell>
          <cell r="I53">
            <v>270</v>
          </cell>
          <cell r="J53" t="str">
            <v>C</v>
          </cell>
          <cell r="K53" t="str">
            <v>M</v>
          </cell>
          <cell r="L53" t="str">
            <v>Y</v>
          </cell>
          <cell r="M53" t="str">
            <v>K</v>
          </cell>
          <cell r="N53" t="str">
            <v>BLACK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 t="str">
            <v>PO0011</v>
          </cell>
          <cell r="U53">
            <v>80</v>
          </cell>
          <cell r="V53" t="str">
            <v>VERNICE OPACA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 t="str">
            <v>FU1186</v>
          </cell>
          <cell r="AF53">
            <v>0</v>
          </cell>
          <cell r="AG53" t="str">
            <v>NO</v>
          </cell>
          <cell r="AH53">
            <v>0</v>
          </cell>
          <cell r="AI53" t="str">
            <v>Si</v>
          </cell>
          <cell r="AJ53" t="str">
            <v>Lineare</v>
          </cell>
          <cell r="AK53" t="str">
            <v>T1</v>
          </cell>
          <cell r="AL53">
            <v>350</v>
          </cell>
          <cell r="AM53">
            <v>6.05</v>
          </cell>
          <cell r="AN53" t="str">
            <v>CASSETTO</v>
          </cell>
          <cell r="AO53">
            <v>31</v>
          </cell>
        </row>
        <row r="54">
          <cell r="A54" t="str">
            <v>NN_FS_385_LA_CAPS_000052</v>
          </cell>
          <cell r="B54" t="str">
            <v>NERO NOBILE</v>
          </cell>
          <cell r="C54" t="str">
            <v>FS_385</v>
          </cell>
          <cell r="D54" t="str">
            <v>LA_CAPS</v>
          </cell>
          <cell r="E54" t="str">
            <v>IMBCCNCONFLACAPS010</v>
          </cell>
          <cell r="F54" t="str">
            <v>IMB.CN LA CAPSULERIA CREME BRULEE FS0385</v>
          </cell>
          <cell r="G54" t="str">
            <v>-</v>
          </cell>
          <cell r="H54" t="str">
            <v>GC2</v>
          </cell>
          <cell r="I54">
            <v>270</v>
          </cell>
          <cell r="J54" t="str">
            <v>C</v>
          </cell>
          <cell r="K54" t="str">
            <v>M</v>
          </cell>
          <cell r="L54" t="str">
            <v>Y</v>
          </cell>
          <cell r="M54" t="str">
            <v>K</v>
          </cell>
          <cell r="N54" t="str">
            <v>BLACK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 t="str">
            <v>PO0011</v>
          </cell>
          <cell r="U54">
            <v>80</v>
          </cell>
          <cell r="V54" t="str">
            <v>VERNICE OPACA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 t="str">
            <v>FU1186</v>
          </cell>
          <cell r="AF54">
            <v>0</v>
          </cell>
          <cell r="AG54" t="str">
            <v>NO</v>
          </cell>
          <cell r="AH54">
            <v>0</v>
          </cell>
          <cell r="AI54" t="str">
            <v>Si</v>
          </cell>
          <cell r="AJ54" t="str">
            <v>Lineare</v>
          </cell>
          <cell r="AK54" t="str">
            <v>T1</v>
          </cell>
          <cell r="AL54">
            <v>350</v>
          </cell>
          <cell r="AM54">
            <v>6.05</v>
          </cell>
          <cell r="AN54" t="str">
            <v>CASSETTO</v>
          </cell>
          <cell r="AO54">
            <v>31</v>
          </cell>
        </row>
        <row r="55">
          <cell r="A55" t="str">
            <v>NN_FS_385_LA_CAPS_000053</v>
          </cell>
          <cell r="B55" t="str">
            <v>NERO NOBILE</v>
          </cell>
          <cell r="C55" t="str">
            <v>FS_385</v>
          </cell>
          <cell r="D55" t="str">
            <v>LA_CAPS</v>
          </cell>
          <cell r="E55" t="str">
            <v>IMBCCNCONFLACAPS011</v>
          </cell>
          <cell r="F55" t="str">
            <v>IMB.CN LA CAPSULERIA CIOCCOMENTA FS0385</v>
          </cell>
          <cell r="G55" t="str">
            <v>-</v>
          </cell>
          <cell r="H55" t="str">
            <v>GC2</v>
          </cell>
          <cell r="I55">
            <v>270</v>
          </cell>
          <cell r="J55" t="str">
            <v>C</v>
          </cell>
          <cell r="K55" t="str">
            <v>M</v>
          </cell>
          <cell r="L55" t="str">
            <v>Y</v>
          </cell>
          <cell r="M55" t="str">
            <v>K</v>
          </cell>
          <cell r="N55" t="str">
            <v>BLACK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 t="str">
            <v>PO0011</v>
          </cell>
          <cell r="U55">
            <v>80</v>
          </cell>
          <cell r="V55" t="str">
            <v>VERNICE OPACA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 t="str">
            <v>FU1186</v>
          </cell>
          <cell r="AF55">
            <v>0</v>
          </cell>
          <cell r="AG55" t="str">
            <v>NO</v>
          </cell>
          <cell r="AH55">
            <v>0</v>
          </cell>
          <cell r="AI55" t="str">
            <v>Si</v>
          </cell>
          <cell r="AJ55" t="str">
            <v>Lineare</v>
          </cell>
          <cell r="AK55" t="str">
            <v>T1</v>
          </cell>
          <cell r="AL55">
            <v>350</v>
          </cell>
          <cell r="AM55">
            <v>6.05</v>
          </cell>
          <cell r="AN55" t="str">
            <v>CASSETTO</v>
          </cell>
          <cell r="AO55">
            <v>31</v>
          </cell>
        </row>
        <row r="56">
          <cell r="A56" t="str">
            <v>NN_FS_385_LA_CAPS_000054</v>
          </cell>
          <cell r="B56" t="str">
            <v>NERO NOBILE</v>
          </cell>
          <cell r="C56" t="str">
            <v>FS_385</v>
          </cell>
          <cell r="D56" t="str">
            <v>LA_CAPS</v>
          </cell>
          <cell r="E56" t="str">
            <v>IMBCCNCONFLACAPS012</v>
          </cell>
          <cell r="F56" t="str">
            <v>IMB.CN LA CAPSULERIA CIOCCOLATA C. FS0385</v>
          </cell>
          <cell r="G56" t="str">
            <v>-</v>
          </cell>
          <cell r="H56" t="str">
            <v>GC2</v>
          </cell>
          <cell r="I56">
            <v>270</v>
          </cell>
          <cell r="J56" t="str">
            <v>C</v>
          </cell>
          <cell r="K56" t="str">
            <v>M</v>
          </cell>
          <cell r="L56" t="str">
            <v>Y</v>
          </cell>
          <cell r="M56" t="str">
            <v>K</v>
          </cell>
          <cell r="N56" t="str">
            <v>BLACK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 t="str">
            <v>PO0011</v>
          </cell>
          <cell r="U56">
            <v>80</v>
          </cell>
          <cell r="V56" t="str">
            <v>VERNICE OPACA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 t="str">
            <v>FU1186</v>
          </cell>
          <cell r="AF56">
            <v>0</v>
          </cell>
          <cell r="AG56" t="str">
            <v>NO</v>
          </cell>
          <cell r="AH56">
            <v>0</v>
          </cell>
          <cell r="AI56" t="str">
            <v>Si</v>
          </cell>
          <cell r="AJ56" t="str">
            <v>Lineare</v>
          </cell>
          <cell r="AK56" t="str">
            <v>T1</v>
          </cell>
          <cell r="AL56">
            <v>350</v>
          </cell>
          <cell r="AM56">
            <v>6.05</v>
          </cell>
          <cell r="AN56" t="str">
            <v>CASSETTO</v>
          </cell>
          <cell r="AO56">
            <v>31</v>
          </cell>
        </row>
        <row r="57">
          <cell r="A57" t="str">
            <v>NN_FS_385_LA_CAPS_000055</v>
          </cell>
          <cell r="B57" t="str">
            <v>NERO NOBILE</v>
          </cell>
          <cell r="C57" t="str">
            <v>FS_385</v>
          </cell>
          <cell r="D57" t="str">
            <v>LA_CAPS</v>
          </cell>
          <cell r="E57" t="str">
            <v>IMBCCNCONFLACAPS014</v>
          </cell>
          <cell r="F57" t="str">
            <v>IMB.CN LA CAPSULERIA CAPPUCCINO/V. FS0385</v>
          </cell>
          <cell r="G57" t="str">
            <v>-</v>
          </cell>
          <cell r="H57" t="str">
            <v>GC2</v>
          </cell>
          <cell r="I57">
            <v>270</v>
          </cell>
          <cell r="J57" t="str">
            <v>C</v>
          </cell>
          <cell r="K57" t="str">
            <v>M</v>
          </cell>
          <cell r="L57" t="str">
            <v>Y</v>
          </cell>
          <cell r="M57" t="str">
            <v>K</v>
          </cell>
          <cell r="N57" t="str">
            <v>BLACK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 t="str">
            <v>PO0011</v>
          </cell>
          <cell r="U57">
            <v>80</v>
          </cell>
          <cell r="V57" t="str">
            <v>VERNICE OPACA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 t="str">
            <v>FU1186</v>
          </cell>
          <cell r="AF57">
            <v>0</v>
          </cell>
          <cell r="AG57" t="str">
            <v>NO</v>
          </cell>
          <cell r="AH57">
            <v>0</v>
          </cell>
          <cell r="AI57" t="str">
            <v>Si</v>
          </cell>
          <cell r="AJ57" t="str">
            <v>Lineare</v>
          </cell>
          <cell r="AK57" t="str">
            <v>T1</v>
          </cell>
          <cell r="AL57">
            <v>350</v>
          </cell>
          <cell r="AM57">
            <v>6.05</v>
          </cell>
          <cell r="AN57" t="str">
            <v>CASSETTO</v>
          </cell>
          <cell r="AO57">
            <v>31</v>
          </cell>
        </row>
        <row r="58">
          <cell r="A58" t="str">
            <v>NN_FS_385_LA_CAPS_000056</v>
          </cell>
          <cell r="B58" t="str">
            <v>NERO NOBILE</v>
          </cell>
          <cell r="C58" t="str">
            <v>FS_385</v>
          </cell>
          <cell r="D58" t="str">
            <v>LA_CAPS</v>
          </cell>
          <cell r="E58" t="str">
            <v>IMBCCNCONFLACAPS015</v>
          </cell>
          <cell r="F58" t="str">
            <v>IMB.CN LA CAPSULERIA CAMOMILLA/M/AFS0385</v>
          </cell>
          <cell r="G58" t="str">
            <v>-</v>
          </cell>
          <cell r="H58" t="str">
            <v>GC2</v>
          </cell>
          <cell r="I58">
            <v>270</v>
          </cell>
          <cell r="J58" t="str">
            <v>C</v>
          </cell>
          <cell r="K58" t="str">
            <v>M</v>
          </cell>
          <cell r="L58" t="str">
            <v>Y</v>
          </cell>
          <cell r="M58" t="str">
            <v>K</v>
          </cell>
          <cell r="N58" t="str">
            <v>BLACK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 t="str">
            <v>PO0011</v>
          </cell>
          <cell r="U58">
            <v>80</v>
          </cell>
          <cell r="V58" t="str">
            <v>VERNICE OPACA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 t="str">
            <v>FU1186</v>
          </cell>
          <cell r="AF58">
            <v>0</v>
          </cell>
          <cell r="AG58" t="str">
            <v>NO</v>
          </cell>
          <cell r="AH58">
            <v>0</v>
          </cell>
          <cell r="AI58" t="str">
            <v>Si</v>
          </cell>
          <cell r="AJ58" t="str">
            <v>Lineare</v>
          </cell>
          <cell r="AK58" t="str">
            <v>T1</v>
          </cell>
          <cell r="AL58">
            <v>350</v>
          </cell>
          <cell r="AM58">
            <v>6.05</v>
          </cell>
          <cell r="AN58" t="str">
            <v>CASSETTO</v>
          </cell>
          <cell r="AO58">
            <v>31</v>
          </cell>
        </row>
        <row r="59">
          <cell r="A59" t="str">
            <v>NN_FS_385_LA_CAPS_000057</v>
          </cell>
          <cell r="B59" t="str">
            <v>NERO NOBILE</v>
          </cell>
          <cell r="C59" t="str">
            <v>FS_385</v>
          </cell>
          <cell r="D59" t="str">
            <v>LA_CAPS</v>
          </cell>
          <cell r="E59" t="str">
            <v>IMBCCNCONFLACAPS016</v>
          </cell>
          <cell r="F59" t="str">
            <v>IMB.CN LA CAPSULERIA BAILEYS C. FS0385</v>
          </cell>
          <cell r="G59" t="str">
            <v>-</v>
          </cell>
          <cell r="H59" t="str">
            <v>GC2</v>
          </cell>
          <cell r="I59">
            <v>270</v>
          </cell>
          <cell r="J59" t="str">
            <v>C</v>
          </cell>
          <cell r="K59" t="str">
            <v>M</v>
          </cell>
          <cell r="L59" t="str">
            <v>Y</v>
          </cell>
          <cell r="M59" t="str">
            <v>K</v>
          </cell>
          <cell r="N59" t="str">
            <v>BLACK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 t="str">
            <v>PO0011</v>
          </cell>
          <cell r="U59">
            <v>80</v>
          </cell>
          <cell r="V59" t="str">
            <v>VERNICE OPACA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 t="str">
            <v>FU1186</v>
          </cell>
          <cell r="AF59">
            <v>0</v>
          </cell>
          <cell r="AG59" t="str">
            <v>NO</v>
          </cell>
          <cell r="AH59">
            <v>0</v>
          </cell>
          <cell r="AI59" t="str">
            <v>Si</v>
          </cell>
          <cell r="AJ59" t="str">
            <v>Lineare</v>
          </cell>
          <cell r="AK59" t="str">
            <v>T1</v>
          </cell>
          <cell r="AL59">
            <v>350</v>
          </cell>
          <cell r="AM59">
            <v>6.05</v>
          </cell>
          <cell r="AN59" t="str">
            <v>CASSETTO</v>
          </cell>
          <cell r="AO59">
            <v>31</v>
          </cell>
        </row>
        <row r="60">
          <cell r="A60" t="str">
            <v>NN_FS_385_LA_CAPS_000058</v>
          </cell>
          <cell r="B60" t="str">
            <v>NERO NOBILE</v>
          </cell>
          <cell r="C60" t="str">
            <v>FS_385</v>
          </cell>
          <cell r="D60" t="str">
            <v>LA_CAPS</v>
          </cell>
          <cell r="E60" t="str">
            <v>IMBCCNCONFLACAPS018</v>
          </cell>
          <cell r="F60" t="str">
            <v>IMB.CN LA CAPSULERIA TE LIMONE D. FS0385</v>
          </cell>
          <cell r="G60" t="str">
            <v>-</v>
          </cell>
          <cell r="H60" t="str">
            <v>GC2</v>
          </cell>
          <cell r="I60">
            <v>270</v>
          </cell>
          <cell r="J60" t="str">
            <v>C</v>
          </cell>
          <cell r="K60" t="str">
            <v>M</v>
          </cell>
          <cell r="L60" t="str">
            <v>Y</v>
          </cell>
          <cell r="M60" t="str">
            <v>K</v>
          </cell>
          <cell r="N60" t="str">
            <v>BLACK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 t="str">
            <v>PO0011</v>
          </cell>
          <cell r="U60">
            <v>80</v>
          </cell>
          <cell r="V60" t="str">
            <v>VERNICE OPACA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 t="str">
            <v>FU1186</v>
          </cell>
          <cell r="AF60">
            <v>0</v>
          </cell>
          <cell r="AG60" t="str">
            <v>NO</v>
          </cell>
          <cell r="AH60">
            <v>0</v>
          </cell>
          <cell r="AI60" t="str">
            <v>Si</v>
          </cell>
          <cell r="AJ60" t="str">
            <v>Lineare</v>
          </cell>
          <cell r="AK60" t="str">
            <v>T1</v>
          </cell>
          <cell r="AL60">
            <v>350</v>
          </cell>
          <cell r="AM60">
            <v>6.05</v>
          </cell>
          <cell r="AN60" t="str">
            <v>CASSETTO</v>
          </cell>
          <cell r="AO60">
            <v>31</v>
          </cell>
        </row>
        <row r="61">
          <cell r="A61" t="str">
            <v>NN_FS_383_LA_CAPS_000059</v>
          </cell>
          <cell r="B61" t="str">
            <v>NERO NOBILE</v>
          </cell>
          <cell r="C61" t="str">
            <v>FS_383</v>
          </cell>
          <cell r="D61" t="str">
            <v>LA_CAPS</v>
          </cell>
          <cell r="E61" t="str">
            <v>IMBCCNCONFLACAPS020</v>
          </cell>
          <cell r="F61" t="str">
            <v>IMB.CN COMP.LACAPSULERIA LUNGO FS0383</v>
          </cell>
          <cell r="G61" t="str">
            <v>-</v>
          </cell>
          <cell r="H61" t="str">
            <v>GC2</v>
          </cell>
          <cell r="I61">
            <v>270</v>
          </cell>
          <cell r="J61" t="str">
            <v>C</v>
          </cell>
          <cell r="K61" t="str">
            <v>M</v>
          </cell>
          <cell r="L61" t="str">
            <v>Y</v>
          </cell>
          <cell r="M61" t="str">
            <v>K</v>
          </cell>
          <cell r="N61">
            <v>447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 t="str">
            <v>PO0039</v>
          </cell>
          <cell r="U61">
            <v>80</v>
          </cell>
          <cell r="V61" t="str">
            <v>VERNICE OPACA</v>
          </cell>
          <cell r="W61" t="str">
            <v>UV LUCIDO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 t="str">
            <v>FU0443</v>
          </cell>
          <cell r="AF61">
            <v>0</v>
          </cell>
          <cell r="AG61" t="str">
            <v>NO</v>
          </cell>
          <cell r="AH61">
            <v>0</v>
          </cell>
          <cell r="AI61" t="str">
            <v>Si</v>
          </cell>
          <cell r="AJ61" t="str">
            <v>Lineare</v>
          </cell>
          <cell r="AK61" t="str">
            <v>T1</v>
          </cell>
          <cell r="AL61">
            <v>325</v>
          </cell>
          <cell r="AM61">
            <v>6.65</v>
          </cell>
          <cell r="AN61" t="str">
            <v>CASSETTO</v>
          </cell>
          <cell r="AO61">
            <v>31</v>
          </cell>
        </row>
        <row r="62">
          <cell r="A62" t="str">
            <v>NN_FS_385_NN_000060</v>
          </cell>
          <cell r="B62" t="str">
            <v>NERO NOBILE</v>
          </cell>
          <cell r="C62" t="str">
            <v>FS_385</v>
          </cell>
          <cell r="D62" t="str">
            <v>NN</v>
          </cell>
          <cell r="E62" t="str">
            <v>IMBCCNCONFNN005</v>
          </cell>
          <cell r="F62" t="str">
            <v>IMB.CN CIOCC./ARANCIA C/OLANDESE FS0385</v>
          </cell>
          <cell r="G62" t="str">
            <v>-</v>
          </cell>
          <cell r="H62" t="str">
            <v>GC2</v>
          </cell>
          <cell r="I62">
            <v>270</v>
          </cell>
          <cell r="J62" t="str">
            <v>C</v>
          </cell>
          <cell r="K62" t="str">
            <v>M</v>
          </cell>
          <cell r="L62" t="str">
            <v>Y</v>
          </cell>
          <cell r="M62" t="str">
            <v>K</v>
          </cell>
          <cell r="N62">
            <v>871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 t="str">
            <v>PO0011</v>
          </cell>
          <cell r="U62">
            <v>80</v>
          </cell>
          <cell r="V62" t="str">
            <v>DRIP OFF</v>
          </cell>
          <cell r="W62" t="str">
            <v>UV LUCIDO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 t="str">
            <v>FU1186</v>
          </cell>
          <cell r="AF62">
            <v>0</v>
          </cell>
          <cell r="AG62" t="str">
            <v>NO</v>
          </cell>
          <cell r="AH62">
            <v>0</v>
          </cell>
          <cell r="AI62" t="str">
            <v>Si</v>
          </cell>
          <cell r="AJ62" t="str">
            <v>Lineare</v>
          </cell>
          <cell r="AK62" t="str">
            <v>T1</v>
          </cell>
          <cell r="AL62">
            <v>350</v>
          </cell>
          <cell r="AM62">
            <v>6.05</v>
          </cell>
          <cell r="AN62" t="str">
            <v>CASSETTO</v>
          </cell>
          <cell r="AO62">
            <v>31</v>
          </cell>
        </row>
        <row r="63">
          <cell r="A63" t="str">
            <v>NN_FS_385_NN_000061</v>
          </cell>
          <cell r="B63" t="str">
            <v>NERO NOBILE</v>
          </cell>
          <cell r="C63" t="str">
            <v>FS_385</v>
          </cell>
          <cell r="D63" t="str">
            <v>NN</v>
          </cell>
          <cell r="E63" t="str">
            <v>IMBCCNCONFNN009</v>
          </cell>
          <cell r="F63" t="str">
            <v>IMB.CN TE VERDE LIMONE C/OLANDESE FS0385</v>
          </cell>
          <cell r="G63" t="str">
            <v>-</v>
          </cell>
          <cell r="H63" t="str">
            <v>GC2</v>
          </cell>
          <cell r="I63">
            <v>270</v>
          </cell>
          <cell r="J63" t="str">
            <v>C</v>
          </cell>
          <cell r="K63" t="str">
            <v>M</v>
          </cell>
          <cell r="L63" t="str">
            <v>Y</v>
          </cell>
          <cell r="M63" t="str">
            <v>K</v>
          </cell>
          <cell r="N63">
            <v>871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 t="str">
            <v>PO0011</v>
          </cell>
          <cell r="U63">
            <v>80</v>
          </cell>
          <cell r="V63" t="str">
            <v>DRIP OFF</v>
          </cell>
          <cell r="W63" t="str">
            <v>UV LUCIDO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 t="str">
            <v>FU1186</v>
          </cell>
          <cell r="AF63">
            <v>0</v>
          </cell>
          <cell r="AG63" t="str">
            <v>NO</v>
          </cell>
          <cell r="AH63">
            <v>0</v>
          </cell>
          <cell r="AI63" t="str">
            <v>Si</v>
          </cell>
          <cell r="AJ63" t="str">
            <v>Lineare</v>
          </cell>
          <cell r="AK63" t="str">
            <v>T1</v>
          </cell>
          <cell r="AL63">
            <v>350</v>
          </cell>
          <cell r="AM63">
            <v>6.05</v>
          </cell>
          <cell r="AN63" t="str">
            <v>CASSETTO</v>
          </cell>
          <cell r="AO63">
            <v>31</v>
          </cell>
        </row>
        <row r="64">
          <cell r="A64" t="str">
            <v>NN_FS_385_NN_000062</v>
          </cell>
          <cell r="B64" t="str">
            <v>NERO NOBILE</v>
          </cell>
          <cell r="C64" t="str">
            <v>FS_385</v>
          </cell>
          <cell r="D64" t="str">
            <v>NN</v>
          </cell>
          <cell r="E64" t="str">
            <v>IMBCCNCONFNN013</v>
          </cell>
          <cell r="F64" t="str">
            <v>IMB.CN MOCACCINO C/OLANDESE FS0385</v>
          </cell>
          <cell r="G64" t="str">
            <v>-</v>
          </cell>
          <cell r="H64" t="str">
            <v>GC2</v>
          </cell>
          <cell r="I64">
            <v>270</v>
          </cell>
          <cell r="J64" t="str">
            <v>C</v>
          </cell>
          <cell r="K64" t="str">
            <v>M</v>
          </cell>
          <cell r="L64" t="str">
            <v>Y</v>
          </cell>
          <cell r="M64" t="str">
            <v>K</v>
          </cell>
          <cell r="N64">
            <v>871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 t="str">
            <v>PO0011</v>
          </cell>
          <cell r="U64">
            <v>80</v>
          </cell>
          <cell r="V64" t="str">
            <v>DRIP OFF</v>
          </cell>
          <cell r="W64" t="str">
            <v>UV LUCIDO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 t="str">
            <v>FU1186</v>
          </cell>
          <cell r="AF64">
            <v>0</v>
          </cell>
          <cell r="AG64" t="str">
            <v>NO</v>
          </cell>
          <cell r="AH64">
            <v>0</v>
          </cell>
          <cell r="AI64" t="str">
            <v>Si</v>
          </cell>
          <cell r="AJ64" t="str">
            <v>Lineare</v>
          </cell>
          <cell r="AK64" t="str">
            <v>T1</v>
          </cell>
          <cell r="AL64">
            <v>350</v>
          </cell>
          <cell r="AM64">
            <v>6.05</v>
          </cell>
          <cell r="AN64" t="str">
            <v>CASSETTO</v>
          </cell>
          <cell r="AO64">
            <v>31</v>
          </cell>
        </row>
        <row r="65">
          <cell r="A65" t="str">
            <v>NN_FS_385_NN_000063</v>
          </cell>
          <cell r="B65" t="str">
            <v>NERO NOBILE</v>
          </cell>
          <cell r="C65" t="str">
            <v>FS_385</v>
          </cell>
          <cell r="D65" t="str">
            <v>NN</v>
          </cell>
          <cell r="E65" t="str">
            <v>IMBCCNCONFNN016</v>
          </cell>
          <cell r="F65" t="str">
            <v>IMB.CN CIOCCOLATA C/OLANDESE FS0385</v>
          </cell>
          <cell r="G65" t="str">
            <v>-</v>
          </cell>
          <cell r="H65" t="str">
            <v>GC2</v>
          </cell>
          <cell r="I65">
            <v>270</v>
          </cell>
          <cell r="J65" t="str">
            <v>C</v>
          </cell>
          <cell r="K65" t="str">
            <v>M</v>
          </cell>
          <cell r="L65" t="str">
            <v>Y</v>
          </cell>
          <cell r="M65" t="str">
            <v>K</v>
          </cell>
          <cell r="N65">
            <v>871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 t="str">
            <v>PO0011</v>
          </cell>
          <cell r="U65">
            <v>80</v>
          </cell>
          <cell r="V65" t="str">
            <v>DRIP OFF</v>
          </cell>
          <cell r="W65" t="str">
            <v>UV LUCIDO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 t="str">
            <v>FU1186</v>
          </cell>
          <cell r="AF65">
            <v>0</v>
          </cell>
          <cell r="AG65" t="str">
            <v>NO</v>
          </cell>
          <cell r="AH65">
            <v>0</v>
          </cell>
          <cell r="AI65" t="str">
            <v>Si</v>
          </cell>
          <cell r="AJ65" t="str">
            <v>Lineare</v>
          </cell>
          <cell r="AK65" t="str">
            <v>T1</v>
          </cell>
          <cell r="AL65">
            <v>350</v>
          </cell>
          <cell r="AM65">
            <v>6.05</v>
          </cell>
          <cell r="AN65" t="str">
            <v>CASSETTO</v>
          </cell>
          <cell r="AO65">
            <v>31</v>
          </cell>
        </row>
        <row r="66">
          <cell r="A66" t="str">
            <v>NN_FS_385_NN_000064</v>
          </cell>
          <cell r="B66" t="str">
            <v>NERO NOBILE</v>
          </cell>
          <cell r="C66" t="str">
            <v>FS_385</v>
          </cell>
          <cell r="D66" t="str">
            <v>NN</v>
          </cell>
          <cell r="E66" t="str">
            <v>IMBCCNCONFNN018</v>
          </cell>
          <cell r="F66" t="str">
            <v>IMB.CN GINSENG C/OLANDESE FS0385</v>
          </cell>
          <cell r="G66" t="str">
            <v>-</v>
          </cell>
          <cell r="H66" t="str">
            <v>GC2</v>
          </cell>
          <cell r="I66">
            <v>270</v>
          </cell>
          <cell r="J66" t="str">
            <v>C</v>
          </cell>
          <cell r="K66" t="str">
            <v>M</v>
          </cell>
          <cell r="L66" t="str">
            <v>Y</v>
          </cell>
          <cell r="M66" t="str">
            <v>K</v>
          </cell>
          <cell r="N66">
            <v>871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 t="str">
            <v>PO0011</v>
          </cell>
          <cell r="U66">
            <v>80</v>
          </cell>
          <cell r="V66" t="str">
            <v>DRIP OFF</v>
          </cell>
          <cell r="W66" t="str">
            <v>UV LUCIDO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 t="str">
            <v>FU1186</v>
          </cell>
          <cell r="AF66">
            <v>0</v>
          </cell>
          <cell r="AG66" t="str">
            <v>NO</v>
          </cell>
          <cell r="AH66">
            <v>0</v>
          </cell>
          <cell r="AI66" t="str">
            <v>Si</v>
          </cell>
          <cell r="AJ66" t="str">
            <v>Lineare</v>
          </cell>
          <cell r="AK66" t="str">
            <v>T1</v>
          </cell>
          <cell r="AL66">
            <v>350</v>
          </cell>
          <cell r="AM66">
            <v>6.05</v>
          </cell>
          <cell r="AN66" t="str">
            <v>CASSETTO</v>
          </cell>
          <cell r="AO66">
            <v>31</v>
          </cell>
        </row>
        <row r="67">
          <cell r="A67" t="str">
            <v>NN_FS_385_NN_000065</v>
          </cell>
          <cell r="B67" t="str">
            <v>NERO NOBILE</v>
          </cell>
          <cell r="C67" t="str">
            <v>FS_385</v>
          </cell>
          <cell r="D67" t="str">
            <v>NN</v>
          </cell>
          <cell r="E67" t="str">
            <v>IMBCCNCONFNN017</v>
          </cell>
          <cell r="F67" t="str">
            <v>IMB.CN GINSENG EXTRAG. C/OLANDESE FS0385</v>
          </cell>
          <cell r="G67" t="str">
            <v>-</v>
          </cell>
          <cell r="H67" t="str">
            <v>GC2</v>
          </cell>
          <cell r="I67">
            <v>270</v>
          </cell>
          <cell r="J67" t="str">
            <v>C</v>
          </cell>
          <cell r="K67" t="str">
            <v>M</v>
          </cell>
          <cell r="L67" t="str">
            <v>Y</v>
          </cell>
          <cell r="M67" t="str">
            <v>K</v>
          </cell>
          <cell r="N67">
            <v>871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 t="str">
            <v>PO0011</v>
          </cell>
          <cell r="U67">
            <v>80</v>
          </cell>
          <cell r="V67" t="str">
            <v>DRIP OFF</v>
          </cell>
          <cell r="W67" t="str">
            <v>UV LUCIDO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 t="str">
            <v>FU1186</v>
          </cell>
          <cell r="AF67">
            <v>0</v>
          </cell>
          <cell r="AG67" t="str">
            <v>NO</v>
          </cell>
          <cell r="AH67">
            <v>0</v>
          </cell>
          <cell r="AI67" t="str">
            <v>Si</v>
          </cell>
          <cell r="AJ67" t="str">
            <v>Lineare</v>
          </cell>
          <cell r="AK67" t="str">
            <v>T1</v>
          </cell>
          <cell r="AL67">
            <v>350</v>
          </cell>
          <cell r="AM67">
            <v>6.05</v>
          </cell>
          <cell r="AN67" t="str">
            <v>CASSETTO</v>
          </cell>
          <cell r="AO67">
            <v>31</v>
          </cell>
        </row>
        <row r="68">
          <cell r="A68" t="str">
            <v>NN_FS_380_SCIONTI_000066</v>
          </cell>
          <cell r="B68" t="str">
            <v>NERO NOBILE</v>
          </cell>
          <cell r="C68" t="str">
            <v>FS_380</v>
          </cell>
          <cell r="D68" t="str">
            <v>SCIONTI</v>
          </cell>
          <cell r="E68" t="str">
            <v>IMBCCNCONFSCIONT002</v>
          </cell>
          <cell r="F68" t="str">
            <v>IMB.CNX50 SCIONTI VARIE REFERENZE FS0380</v>
          </cell>
          <cell r="G68" t="str">
            <v>-</v>
          </cell>
          <cell r="H68" t="str">
            <v>GC2</v>
          </cell>
          <cell r="I68">
            <v>270</v>
          </cell>
          <cell r="J68" t="str">
            <v>C</v>
          </cell>
          <cell r="K68" t="str">
            <v>M</v>
          </cell>
          <cell r="L68" t="str">
            <v>Y</v>
          </cell>
          <cell r="M68" t="str">
            <v>K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 t="str">
            <v>PO0001</v>
          </cell>
          <cell r="U68">
            <v>80</v>
          </cell>
          <cell r="V68" t="str">
            <v>DRIP OFF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 t="str">
            <v>FU1185</v>
          </cell>
          <cell r="AF68">
            <v>0</v>
          </cell>
          <cell r="AG68" t="str">
            <v>NO</v>
          </cell>
          <cell r="AH68">
            <v>0</v>
          </cell>
          <cell r="AI68" t="str">
            <v>Si</v>
          </cell>
          <cell r="AJ68" t="str">
            <v>Lineare</v>
          </cell>
          <cell r="AK68" t="str">
            <v>FS0380</v>
          </cell>
          <cell r="AL68">
            <v>250</v>
          </cell>
          <cell r="AM68">
            <v>8.35</v>
          </cell>
          <cell r="AN68" t="str">
            <v>CASSETTO</v>
          </cell>
          <cell r="AO68">
            <v>31</v>
          </cell>
        </row>
        <row r="69">
          <cell r="A69" t="str">
            <v>NN_FS_380_MGRAPPA_000067</v>
          </cell>
          <cell r="B69" t="str">
            <v>NERO NOBILE</v>
          </cell>
          <cell r="C69" t="str">
            <v>FS_380</v>
          </cell>
          <cell r="D69" t="str">
            <v>MGRAPPA</v>
          </cell>
          <cell r="E69" t="str">
            <v>IMBCDGCONFPIAVE003</v>
          </cell>
          <cell r="F69" t="str">
            <v>IMB.DG PIAVE MISCELA MONTEGRAPPA FS0380</v>
          </cell>
          <cell r="G69" t="str">
            <v>-</v>
          </cell>
          <cell r="H69" t="str">
            <v>GC2</v>
          </cell>
          <cell r="I69">
            <v>270</v>
          </cell>
          <cell r="J69" t="str">
            <v>C</v>
          </cell>
          <cell r="K69" t="str">
            <v>M</v>
          </cell>
          <cell r="L69" t="str">
            <v>Y</v>
          </cell>
          <cell r="M69" t="str">
            <v>K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 t="str">
            <v>PO0001</v>
          </cell>
          <cell r="U69">
            <v>80</v>
          </cell>
          <cell r="V69" t="str">
            <v>VERNICE OPACA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 t="str">
            <v>FU1185</v>
          </cell>
          <cell r="AF69">
            <v>0</v>
          </cell>
          <cell r="AG69" t="str">
            <v>NO</v>
          </cell>
          <cell r="AH69">
            <v>0</v>
          </cell>
          <cell r="AI69" t="str">
            <v>Si</v>
          </cell>
          <cell r="AJ69" t="str">
            <v>Lineare</v>
          </cell>
          <cell r="AK69" t="str">
            <v>FS0380</v>
          </cell>
          <cell r="AL69">
            <v>250</v>
          </cell>
          <cell r="AM69">
            <v>8.35</v>
          </cell>
          <cell r="AN69" t="str">
            <v>CASSETTO</v>
          </cell>
          <cell r="AO69">
            <v>31</v>
          </cell>
        </row>
        <row r="70">
          <cell r="A70" t="str">
            <v>NN_FS_380_YES_000068</v>
          </cell>
          <cell r="B70" t="str">
            <v>NERO NOBILE</v>
          </cell>
          <cell r="C70" t="str">
            <v>FS_380</v>
          </cell>
          <cell r="D70" t="str">
            <v>YES</v>
          </cell>
          <cell r="E70" t="str">
            <v>IMBCCNCONFYES015</v>
          </cell>
          <cell r="F70" t="str">
            <v>IMB. X50CN YESPRESSO CREMOSO FS0380</v>
          </cell>
          <cell r="G70" t="str">
            <v>-</v>
          </cell>
          <cell r="H70" t="str">
            <v>GC2</v>
          </cell>
          <cell r="I70">
            <v>270</v>
          </cell>
          <cell r="J70" t="str">
            <v>C</v>
          </cell>
          <cell r="K70" t="str">
            <v>M</v>
          </cell>
          <cell r="L70" t="str">
            <v>Y</v>
          </cell>
          <cell r="M70" t="str">
            <v>K</v>
          </cell>
          <cell r="N70" t="str">
            <v>BLACK 4C</v>
          </cell>
          <cell r="O70">
            <v>7533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 t="str">
            <v>PO0001</v>
          </cell>
          <cell r="U70">
            <v>80</v>
          </cell>
          <cell r="V70" t="str">
            <v>VERNICE OPACA</v>
          </cell>
          <cell r="W70" t="str">
            <v>UV LUCIDO</v>
          </cell>
          <cell r="X70" t="str">
            <v>UV0009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 t="str">
            <v>FU1185</v>
          </cell>
          <cell r="AF70">
            <v>0</v>
          </cell>
          <cell r="AG70" t="str">
            <v>NO</v>
          </cell>
          <cell r="AH70">
            <v>0</v>
          </cell>
          <cell r="AI70" t="str">
            <v>Si</v>
          </cell>
          <cell r="AJ70" t="str">
            <v>Lineare</v>
          </cell>
          <cell r="AK70" t="str">
            <v>FS0380</v>
          </cell>
          <cell r="AL70">
            <v>250</v>
          </cell>
          <cell r="AM70">
            <v>8.35</v>
          </cell>
          <cell r="AN70" t="str">
            <v>CASSETTO</v>
          </cell>
          <cell r="AO70">
            <v>31</v>
          </cell>
        </row>
        <row r="71">
          <cell r="A71" t="str">
            <v>NN_FS_380_YES_000069</v>
          </cell>
          <cell r="B71" t="str">
            <v>NERO NOBILE</v>
          </cell>
          <cell r="C71" t="str">
            <v>FS_380</v>
          </cell>
          <cell r="D71" t="str">
            <v>YES</v>
          </cell>
          <cell r="E71" t="str">
            <v>IMBCCNCONFYES016</v>
          </cell>
          <cell r="F71" t="str">
            <v>IMB. X50CN YESPRESSO DEKA FS0380</v>
          </cell>
          <cell r="G71" t="str">
            <v>-</v>
          </cell>
          <cell r="H71" t="str">
            <v>GC2</v>
          </cell>
          <cell r="I71">
            <v>270</v>
          </cell>
          <cell r="J71" t="str">
            <v>C</v>
          </cell>
          <cell r="K71" t="str">
            <v>M</v>
          </cell>
          <cell r="L71" t="str">
            <v>Y</v>
          </cell>
          <cell r="M71" t="str">
            <v>K</v>
          </cell>
          <cell r="N71" t="str">
            <v>BLACK 4C</v>
          </cell>
          <cell r="O71">
            <v>7533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 t="str">
            <v>PO0001</v>
          </cell>
          <cell r="U71">
            <v>80</v>
          </cell>
          <cell r="V71" t="str">
            <v>VERNICE OPACA</v>
          </cell>
          <cell r="W71" t="str">
            <v>UV LUCIDO</v>
          </cell>
          <cell r="X71" t="str">
            <v>UV0009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 t="str">
            <v>FU1185</v>
          </cell>
          <cell r="AF71">
            <v>0</v>
          </cell>
          <cell r="AG71" t="str">
            <v>NO</v>
          </cell>
          <cell r="AH71">
            <v>0</v>
          </cell>
          <cell r="AI71" t="str">
            <v>Si</v>
          </cell>
          <cell r="AJ71" t="str">
            <v>Lineare</v>
          </cell>
          <cell r="AK71" t="str">
            <v>FS0380</v>
          </cell>
          <cell r="AL71">
            <v>250</v>
          </cell>
          <cell r="AM71">
            <v>8.35</v>
          </cell>
          <cell r="AN71" t="str">
            <v>CASSETTO</v>
          </cell>
          <cell r="AO71">
            <v>31</v>
          </cell>
        </row>
        <row r="72">
          <cell r="A72" t="str">
            <v>RVG_KIDS__000070</v>
          </cell>
          <cell r="B72" t="str">
            <v>REVENGE</v>
          </cell>
          <cell r="C72" t="str">
            <v>KIDS</v>
          </cell>
          <cell r="D72">
            <v>0</v>
          </cell>
          <cell r="E72" t="str">
            <v>CVPOKI005</v>
          </cell>
          <cell r="F72" t="str">
            <v>CAVALLOTTO POOL KIDS BLUE DECATHLON</v>
          </cell>
          <cell r="G72" t="str">
            <v>-</v>
          </cell>
          <cell r="H72" t="str">
            <v>GC1</v>
          </cell>
          <cell r="I72">
            <v>295</v>
          </cell>
          <cell r="J72" t="str">
            <v>C</v>
          </cell>
          <cell r="K72" t="str">
            <v>M</v>
          </cell>
          <cell r="L72" t="str">
            <v>Y</v>
          </cell>
          <cell r="M72" t="str">
            <v>K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 t="str">
            <v>PO0111 + PO0019</v>
          </cell>
          <cell r="U72">
            <v>80</v>
          </cell>
          <cell r="V72" t="str">
            <v>DRIP OFF + V.CE RETRO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 t="str">
            <v>FU1042</v>
          </cell>
          <cell r="AF72">
            <v>0</v>
          </cell>
          <cell r="AG72" t="str">
            <v>NO</v>
          </cell>
          <cell r="AH72">
            <v>0</v>
          </cell>
          <cell r="AI72" t="str">
            <v>Si</v>
          </cell>
          <cell r="AJ72" t="str">
            <v>Appendini</v>
          </cell>
          <cell r="AK72" t="str">
            <v>PL</v>
          </cell>
          <cell r="AL72">
            <v>400</v>
          </cell>
          <cell r="AM72">
            <v>7.55</v>
          </cell>
          <cell r="AN72" t="str">
            <v>CASSETTO</v>
          </cell>
          <cell r="AO72">
            <v>31</v>
          </cell>
        </row>
        <row r="73">
          <cell r="A73" t="str">
            <v>RVG_CLASSIC__000071</v>
          </cell>
          <cell r="B73" t="str">
            <v>REVENGE</v>
          </cell>
          <cell r="C73" t="str">
            <v>CLASSIC</v>
          </cell>
          <cell r="D73">
            <v>0</v>
          </cell>
          <cell r="E73" t="str">
            <v>CVPOCL004</v>
          </cell>
          <cell r="F73" t="str">
            <v>CAVALLOTTO POOL CLASSIC BLUE DECATHLON</v>
          </cell>
          <cell r="G73" t="str">
            <v>-</v>
          </cell>
          <cell r="H73" t="str">
            <v>GC1</v>
          </cell>
          <cell r="I73">
            <v>295</v>
          </cell>
          <cell r="J73" t="str">
            <v>C</v>
          </cell>
          <cell r="K73" t="str">
            <v>M</v>
          </cell>
          <cell r="L73" t="str">
            <v>Y</v>
          </cell>
          <cell r="M73" t="str">
            <v>K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 t="str">
            <v>PO0112 + PO0019</v>
          </cell>
          <cell r="U73">
            <v>80</v>
          </cell>
          <cell r="V73" t="str">
            <v>DRIP OFF + V.CE RETRO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 t="str">
            <v>FU1043</v>
          </cell>
          <cell r="AF73">
            <v>0</v>
          </cell>
          <cell r="AG73" t="str">
            <v>NO</v>
          </cell>
          <cell r="AH73">
            <v>0</v>
          </cell>
          <cell r="AI73" t="str">
            <v>Si</v>
          </cell>
          <cell r="AJ73" t="str">
            <v>Appendini</v>
          </cell>
          <cell r="AK73">
            <v>6</v>
          </cell>
          <cell r="AL73">
            <v>500</v>
          </cell>
          <cell r="AM73">
            <v>8.6999999999999993</v>
          </cell>
          <cell r="AN73" t="str">
            <v>CASSETTO</v>
          </cell>
          <cell r="AO73">
            <v>31</v>
          </cell>
        </row>
        <row r="74">
          <cell r="A74" t="str">
            <v>DD_SCATOLE__000072</v>
          </cell>
          <cell r="B74" t="str">
            <v>DORE DORE</v>
          </cell>
          <cell r="C74" t="str">
            <v>SCATOLE</v>
          </cell>
          <cell r="D74">
            <v>0</v>
          </cell>
          <cell r="E74" t="str">
            <v>MA100710 [BOB53B]</v>
          </cell>
          <cell r="F74" t="str">
            <v xml:space="preserve">SCATOLE BOB53B </v>
          </cell>
          <cell r="G74" t="str">
            <v>-</v>
          </cell>
          <cell r="H74">
            <v>112</v>
          </cell>
          <cell r="I74">
            <v>400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 t="str">
            <v>FU0269</v>
          </cell>
          <cell r="AF74">
            <v>0</v>
          </cell>
          <cell r="AG74" t="str">
            <v>NO</v>
          </cell>
          <cell r="AH74">
            <v>0</v>
          </cell>
          <cell r="AI74" t="str">
            <v>Si</v>
          </cell>
          <cell r="AJ74" t="str">
            <v>Quattro angoli</v>
          </cell>
          <cell r="AK74">
            <v>6</v>
          </cell>
          <cell r="AL74">
            <v>200</v>
          </cell>
          <cell r="AM74">
            <v>8.6999999999999993</v>
          </cell>
          <cell r="AN74" t="str">
            <v>ARCHIVIO</v>
          </cell>
          <cell r="AO74">
            <v>1</v>
          </cell>
        </row>
        <row r="75">
          <cell r="A75" t="str">
            <v>DD_SCATOLE__000073</v>
          </cell>
          <cell r="B75" t="str">
            <v>DORE DORE</v>
          </cell>
          <cell r="C75" t="str">
            <v>SCATOLE</v>
          </cell>
          <cell r="D75">
            <v>0</v>
          </cell>
          <cell r="E75" t="str">
            <v>MA100704 [BOB33B]</v>
          </cell>
          <cell r="F75" t="str">
            <v xml:space="preserve">SCATOLE BOB33B </v>
          </cell>
          <cell r="G75" t="str">
            <v>-</v>
          </cell>
          <cell r="H75">
            <v>112</v>
          </cell>
          <cell r="I75">
            <v>400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 t="str">
            <v>FU0268</v>
          </cell>
          <cell r="AF75">
            <v>0</v>
          </cell>
          <cell r="AG75" t="str">
            <v>NO</v>
          </cell>
          <cell r="AH75">
            <v>0</v>
          </cell>
          <cell r="AI75" t="str">
            <v>Si</v>
          </cell>
          <cell r="AJ75" t="str">
            <v>Quattro angoli</v>
          </cell>
          <cell r="AK75">
            <v>7</v>
          </cell>
          <cell r="AL75">
            <v>150</v>
          </cell>
          <cell r="AM75">
            <v>7.5</v>
          </cell>
          <cell r="AN75" t="str">
            <v>ARCHIVIO</v>
          </cell>
          <cell r="AO75">
            <v>1</v>
          </cell>
        </row>
        <row r="76">
          <cell r="A76" t="str">
            <v>DD_SCATOLE__000074</v>
          </cell>
          <cell r="B76" t="str">
            <v>DORE DORE</v>
          </cell>
          <cell r="C76" t="str">
            <v>SCATOLE</v>
          </cell>
          <cell r="D76">
            <v>0</v>
          </cell>
          <cell r="E76" t="str">
            <v>MA100709 [BOB51B]</v>
          </cell>
          <cell r="F76" t="str">
            <v xml:space="preserve">SCATOLE BOB51B </v>
          </cell>
          <cell r="G76" t="str">
            <v>-</v>
          </cell>
          <cell r="H76">
            <v>112</v>
          </cell>
          <cell r="I76">
            <v>400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 t="str">
            <v>FU0165</v>
          </cell>
          <cell r="AF76">
            <v>0</v>
          </cell>
          <cell r="AG76" t="str">
            <v>NO</v>
          </cell>
          <cell r="AH76">
            <v>0</v>
          </cell>
          <cell r="AI76" t="str">
            <v>Si</v>
          </cell>
          <cell r="AJ76" t="str">
            <v>Quattro angoli</v>
          </cell>
          <cell r="AK76" t="str">
            <v>ALDI</v>
          </cell>
          <cell r="AL76">
            <v>175</v>
          </cell>
          <cell r="AM76">
            <v>5.8</v>
          </cell>
          <cell r="AN76" t="str">
            <v>ARCHIVIO</v>
          </cell>
          <cell r="AO76">
            <v>1</v>
          </cell>
        </row>
        <row r="77">
          <cell r="A77" t="str">
            <v>DD_SOLETTE__000075</v>
          </cell>
          <cell r="B77" t="str">
            <v>DORE DORE</v>
          </cell>
          <cell r="C77" t="str">
            <v>SOLETTE</v>
          </cell>
          <cell r="D77">
            <v>0</v>
          </cell>
          <cell r="E77" t="str">
            <v>MA400233 [SEG78CG]</v>
          </cell>
          <cell r="F77" t="str">
            <v>PIEDE NERO SOLETTA INI CARTONE DONNADISCRETION</v>
          </cell>
          <cell r="G77" t="str">
            <v>-</v>
          </cell>
          <cell r="H77" t="str">
            <v>EXE</v>
          </cell>
          <cell r="I77">
            <v>500</v>
          </cell>
          <cell r="J77">
            <v>0</v>
          </cell>
          <cell r="K77">
            <v>0</v>
          </cell>
          <cell r="L77">
            <v>0</v>
          </cell>
          <cell r="M77" t="str">
            <v>K</v>
          </cell>
          <cell r="N77">
            <v>1665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80</v>
          </cell>
          <cell r="V77" t="str">
            <v>PRIMER OPACO</v>
          </cell>
          <cell r="W77">
            <v>0</v>
          </cell>
          <cell r="X77">
            <v>0</v>
          </cell>
          <cell r="Y77" t="str">
            <v>TCP</v>
          </cell>
          <cell r="Z77" t="str">
            <v>PLASTICA OPACA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 t="str">
            <v>FU0130</v>
          </cell>
          <cell r="AF77">
            <v>0</v>
          </cell>
          <cell r="AG77" t="str">
            <v>NO</v>
          </cell>
          <cell r="AH77">
            <v>0</v>
          </cell>
          <cell r="AI77" t="str">
            <v>No</v>
          </cell>
          <cell r="AJ77">
            <v>0</v>
          </cell>
          <cell r="AK77" t="str">
            <v>TERMO</v>
          </cell>
          <cell r="AL77">
            <v>500</v>
          </cell>
          <cell r="AM77">
            <v>3.9</v>
          </cell>
          <cell r="AN77" t="str">
            <v>CASSETTO</v>
          </cell>
          <cell r="AO77">
            <v>31</v>
          </cell>
        </row>
        <row r="78">
          <cell r="A78" t="str">
            <v>DD_CAVALLOTTI__000076</v>
          </cell>
          <cell r="B78" t="str">
            <v>DORE DORE</v>
          </cell>
          <cell r="C78" t="str">
            <v>CAVALLOTTI</v>
          </cell>
          <cell r="D78">
            <v>0</v>
          </cell>
          <cell r="E78" t="str">
            <v>MA100226 [ETE38PP]</v>
          </cell>
          <cell r="F78" t="str">
            <v xml:space="preserve"> CAVALLOTTI COTON</v>
          </cell>
          <cell r="G78" t="str">
            <v>-</v>
          </cell>
          <cell r="H78" t="str">
            <v>GC1</v>
          </cell>
          <cell r="I78">
            <v>275</v>
          </cell>
          <cell r="J78">
            <v>0</v>
          </cell>
          <cell r="K78">
            <v>0</v>
          </cell>
          <cell r="L78">
            <v>0</v>
          </cell>
          <cell r="M78" t="str">
            <v>K</v>
          </cell>
          <cell r="N78">
            <v>1665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80</v>
          </cell>
          <cell r="V78" t="str">
            <v>VERNICE OPACA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 t="str">
            <v>NO</v>
          </cell>
          <cell r="AH78">
            <v>0</v>
          </cell>
          <cell r="AI78" t="str">
            <v/>
          </cell>
          <cell r="AJ78" t="str">
            <v/>
          </cell>
          <cell r="AK78" t="str">
            <v>TERMO</v>
          </cell>
          <cell r="AL78">
            <v>1000</v>
          </cell>
          <cell r="AM78">
            <v>3</v>
          </cell>
          <cell r="AN78" t="str">
            <v>CASSETTO</v>
          </cell>
          <cell r="AO78">
            <v>31</v>
          </cell>
        </row>
        <row r="79">
          <cell r="A79" t="str">
            <v>DD_CAVALLOTTI__000077</v>
          </cell>
          <cell r="B79" t="str">
            <v>DORE DORE</v>
          </cell>
          <cell r="C79" t="str">
            <v>CAVALLOTTI</v>
          </cell>
          <cell r="D79">
            <v>0</v>
          </cell>
          <cell r="E79" t="str">
            <v>MA100237 [ETE68-P]</v>
          </cell>
          <cell r="F79" t="str">
            <v>CAVALLOTTI LAINE DOUCE LYCRA ENFANT</v>
          </cell>
          <cell r="G79" t="str">
            <v>-</v>
          </cell>
          <cell r="H79" t="str">
            <v>GC1</v>
          </cell>
          <cell r="I79">
            <v>275</v>
          </cell>
          <cell r="J79">
            <v>0</v>
          </cell>
          <cell r="K79">
            <v>0</v>
          </cell>
          <cell r="L79">
            <v>0</v>
          </cell>
          <cell r="M79" t="str">
            <v>K</v>
          </cell>
          <cell r="N79">
            <v>1665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80</v>
          </cell>
          <cell r="V79" t="str">
            <v>VERNICE OPACA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 t="str">
            <v>NO</v>
          </cell>
          <cell r="AH79">
            <v>0</v>
          </cell>
          <cell r="AI79" t="str">
            <v/>
          </cell>
          <cell r="AJ79" t="str">
            <v/>
          </cell>
          <cell r="AK79" t="str">
            <v>TERMO</v>
          </cell>
          <cell r="AL79">
            <v>1000</v>
          </cell>
          <cell r="AM79">
            <v>3</v>
          </cell>
          <cell r="AN79" t="str">
            <v>CASSETTO</v>
          </cell>
          <cell r="AO79">
            <v>31</v>
          </cell>
        </row>
        <row r="80">
          <cell r="A80" t="str">
            <v>DD_CAVALLOTTI__000078</v>
          </cell>
          <cell r="B80" t="str">
            <v>DORE DORE</v>
          </cell>
          <cell r="C80" t="str">
            <v>CAVALLOTTI</v>
          </cell>
          <cell r="D80">
            <v>0</v>
          </cell>
          <cell r="E80" t="str">
            <v>MA1002240 [ETE751P]</v>
          </cell>
          <cell r="F80" t="str">
            <v xml:space="preserve"> CAVALLOTTI LAINE POLAIRE ENFANT</v>
          </cell>
          <cell r="G80" t="str">
            <v>-</v>
          </cell>
          <cell r="H80" t="str">
            <v>GC1</v>
          </cell>
          <cell r="I80">
            <v>275</v>
          </cell>
          <cell r="J80">
            <v>0</v>
          </cell>
          <cell r="K80">
            <v>0</v>
          </cell>
          <cell r="L80">
            <v>0</v>
          </cell>
          <cell r="M80" t="str">
            <v>K</v>
          </cell>
          <cell r="N80">
            <v>1665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80</v>
          </cell>
          <cell r="V80" t="str">
            <v>VERNICE OPACA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 t="str">
            <v>NO</v>
          </cell>
          <cell r="AH80">
            <v>0</v>
          </cell>
          <cell r="AI80" t="str">
            <v/>
          </cell>
          <cell r="AJ80" t="str">
            <v/>
          </cell>
          <cell r="AK80" t="str">
            <v>TERMO</v>
          </cell>
          <cell r="AL80">
            <v>1000</v>
          </cell>
          <cell r="AM80">
            <v>3</v>
          </cell>
          <cell r="AN80" t="str">
            <v>CASSETTO</v>
          </cell>
          <cell r="AO80">
            <v>31</v>
          </cell>
        </row>
        <row r="81">
          <cell r="A81" t="str">
            <v>DD_CAVALLOTTI__000079</v>
          </cell>
          <cell r="B81" t="str">
            <v>DORE DORE</v>
          </cell>
          <cell r="C81" t="str">
            <v>CAVALLOTTI</v>
          </cell>
          <cell r="D81">
            <v>0</v>
          </cell>
          <cell r="E81" t="str">
            <v>MA100258 [ETG68CG]</v>
          </cell>
          <cell r="F81" t="str">
            <v xml:space="preserve"> CAVALLOTTI LIGHT DD UOMO</v>
          </cell>
          <cell r="G81" t="str">
            <v>-</v>
          </cell>
          <cell r="H81" t="str">
            <v>GC1</v>
          </cell>
          <cell r="I81">
            <v>275</v>
          </cell>
          <cell r="J81">
            <v>0</v>
          </cell>
          <cell r="K81">
            <v>0</v>
          </cell>
          <cell r="L81">
            <v>0</v>
          </cell>
          <cell r="M81" t="str">
            <v>K</v>
          </cell>
          <cell r="N81">
            <v>1665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80</v>
          </cell>
          <cell r="V81" t="str">
            <v>VERNICE OPACA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 t="str">
            <v>NO</v>
          </cell>
          <cell r="AH81">
            <v>0</v>
          </cell>
          <cell r="AI81" t="str">
            <v/>
          </cell>
          <cell r="AJ81" t="str">
            <v/>
          </cell>
          <cell r="AK81" t="str">
            <v>TERMO</v>
          </cell>
          <cell r="AL81">
            <v>1000</v>
          </cell>
          <cell r="AM81">
            <v>3</v>
          </cell>
          <cell r="AN81" t="str">
            <v>CASSETTO</v>
          </cell>
          <cell r="AO81">
            <v>31</v>
          </cell>
        </row>
        <row r="82">
          <cell r="A82" t="str">
            <v>DD_CAVALLOTTI__000080</v>
          </cell>
          <cell r="B82" t="str">
            <v>DORE DORE</v>
          </cell>
          <cell r="C82" t="str">
            <v>CAVALLOTTI</v>
          </cell>
          <cell r="D82">
            <v>0</v>
          </cell>
          <cell r="E82" t="str">
            <v>MA100264 [ETG71CF3]</v>
          </cell>
          <cell r="F82" t="str">
            <v xml:space="preserve"> CAVALLOTTI EUREKA DD BAMBINO CORTO</v>
          </cell>
          <cell r="G82" t="str">
            <v>-</v>
          </cell>
          <cell r="H82" t="str">
            <v>GC1</v>
          </cell>
          <cell r="I82">
            <v>275</v>
          </cell>
          <cell r="J82">
            <v>0</v>
          </cell>
          <cell r="K82">
            <v>0</v>
          </cell>
          <cell r="L82">
            <v>0</v>
          </cell>
          <cell r="M82" t="str">
            <v>K</v>
          </cell>
          <cell r="N82">
            <v>1665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80</v>
          </cell>
          <cell r="V82" t="str">
            <v>VERNICE OPACA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 t="str">
            <v>NO</v>
          </cell>
          <cell r="AH82">
            <v>0</v>
          </cell>
          <cell r="AI82" t="str">
            <v/>
          </cell>
          <cell r="AJ82" t="str">
            <v/>
          </cell>
          <cell r="AK82" t="str">
            <v>TERMO</v>
          </cell>
          <cell r="AL82">
            <v>1000</v>
          </cell>
          <cell r="AM82">
            <v>3</v>
          </cell>
          <cell r="AN82" t="str">
            <v>CASSETTO</v>
          </cell>
          <cell r="AO82">
            <v>31</v>
          </cell>
        </row>
        <row r="83">
          <cell r="A83" t="str">
            <v>DD_CAVALLOTTI__000081</v>
          </cell>
          <cell r="B83" t="str">
            <v>DORE DORE</v>
          </cell>
          <cell r="C83" t="str">
            <v>CAVALLOTTI</v>
          </cell>
          <cell r="D83">
            <v>0</v>
          </cell>
          <cell r="E83" t="str">
            <v>MA100273 [ETG3CG8]</v>
          </cell>
          <cell r="F83" t="str">
            <v xml:space="preserve"> CAVALLOTTI SENSATION DONN CORTO E GAMBALE</v>
          </cell>
          <cell r="G83" t="str">
            <v>-</v>
          </cell>
          <cell r="H83" t="str">
            <v>GC1</v>
          </cell>
          <cell r="I83">
            <v>275</v>
          </cell>
          <cell r="J83">
            <v>0</v>
          </cell>
          <cell r="K83">
            <v>0</v>
          </cell>
          <cell r="L83">
            <v>0</v>
          </cell>
          <cell r="M83" t="str">
            <v>K</v>
          </cell>
          <cell r="N83">
            <v>1665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80</v>
          </cell>
          <cell r="V83" t="str">
            <v>VERNICE OPACA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 t="str">
            <v>NO</v>
          </cell>
          <cell r="AH83">
            <v>0</v>
          </cell>
          <cell r="AI83" t="str">
            <v/>
          </cell>
          <cell r="AJ83" t="str">
            <v/>
          </cell>
          <cell r="AK83" t="str">
            <v>TERMO</v>
          </cell>
          <cell r="AL83">
            <v>1000</v>
          </cell>
          <cell r="AM83">
            <v>3</v>
          </cell>
          <cell r="AN83" t="str">
            <v>CASSETTO</v>
          </cell>
          <cell r="AO83">
            <v>31</v>
          </cell>
        </row>
        <row r="84">
          <cell r="A84" t="str">
            <v>DD_CAVALLOTTI__000082</v>
          </cell>
          <cell r="B84" t="str">
            <v>DORE DORE</v>
          </cell>
          <cell r="C84" t="str">
            <v>CAVALLOTTI</v>
          </cell>
          <cell r="D84">
            <v>0</v>
          </cell>
          <cell r="E84" t="str">
            <v>MA100301 [ETH5--M]</v>
          </cell>
          <cell r="F84" t="str">
            <v xml:space="preserve"> CAVALLOTTI DD PURE LAINE MERINOS HOMME</v>
          </cell>
          <cell r="G84" t="str">
            <v>-</v>
          </cell>
          <cell r="H84" t="str">
            <v>GC1</v>
          </cell>
          <cell r="I84">
            <v>275</v>
          </cell>
          <cell r="J84">
            <v>0</v>
          </cell>
          <cell r="K84">
            <v>0</v>
          </cell>
          <cell r="L84">
            <v>0</v>
          </cell>
          <cell r="M84" t="str">
            <v>K</v>
          </cell>
          <cell r="N84">
            <v>1665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80</v>
          </cell>
          <cell r="V84" t="str">
            <v>VERNICE OPACA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 t="str">
            <v>FU0152</v>
          </cell>
          <cell r="AF84">
            <v>0</v>
          </cell>
          <cell r="AG84" t="str">
            <v>NO</v>
          </cell>
          <cell r="AH84">
            <v>0</v>
          </cell>
          <cell r="AI84" t="str">
            <v>No</v>
          </cell>
          <cell r="AJ84">
            <v>0</v>
          </cell>
          <cell r="AK84" t="str">
            <v>TERMO</v>
          </cell>
          <cell r="AL84">
            <v>1000</v>
          </cell>
          <cell r="AM84">
            <v>3</v>
          </cell>
          <cell r="AN84" t="str">
            <v>CASSETTO</v>
          </cell>
          <cell r="AO84">
            <v>31</v>
          </cell>
        </row>
        <row r="85">
          <cell r="A85" t="str">
            <v>DD_CAVALLOTTI__000083</v>
          </cell>
          <cell r="B85" t="str">
            <v>DORE DORE</v>
          </cell>
          <cell r="C85" t="str">
            <v>CAVALLOTTI</v>
          </cell>
          <cell r="D85">
            <v>0</v>
          </cell>
          <cell r="E85" t="str">
            <v>MA100303 [ETH6--M]</v>
          </cell>
          <cell r="F85" t="str">
            <v xml:space="preserve"> CAVALLOTTI DD LAINE MERINOS</v>
          </cell>
          <cell r="G85" t="str">
            <v>-</v>
          </cell>
          <cell r="H85" t="str">
            <v>GC1</v>
          </cell>
          <cell r="I85">
            <v>275</v>
          </cell>
          <cell r="J85">
            <v>0</v>
          </cell>
          <cell r="K85">
            <v>0</v>
          </cell>
          <cell r="L85">
            <v>0</v>
          </cell>
          <cell r="M85" t="str">
            <v>K</v>
          </cell>
          <cell r="N85">
            <v>1665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80</v>
          </cell>
          <cell r="V85" t="str">
            <v>VERNICE OPACA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 t="str">
            <v>FU0152</v>
          </cell>
          <cell r="AF85">
            <v>0</v>
          </cell>
          <cell r="AG85" t="str">
            <v>NO</v>
          </cell>
          <cell r="AH85">
            <v>0</v>
          </cell>
          <cell r="AI85" t="str">
            <v>No</v>
          </cell>
          <cell r="AJ85">
            <v>0</v>
          </cell>
          <cell r="AK85" t="str">
            <v>TERMO</v>
          </cell>
          <cell r="AL85">
            <v>1000</v>
          </cell>
          <cell r="AM85">
            <v>3</v>
          </cell>
          <cell r="AN85" t="str">
            <v>CASSETTO</v>
          </cell>
          <cell r="AO85">
            <v>31</v>
          </cell>
        </row>
        <row r="86">
          <cell r="A86" t="str">
            <v>DD_CAVALLOTTI__000084</v>
          </cell>
          <cell r="B86" t="str">
            <v>DORE DORE</v>
          </cell>
          <cell r="C86" t="str">
            <v>CAVALLOTTI</v>
          </cell>
          <cell r="D86">
            <v>0</v>
          </cell>
          <cell r="E86" t="str">
            <v>MA100327 [ETL18-P]</v>
          </cell>
          <cell r="F86" t="str">
            <v xml:space="preserve"> CAVALLOTTI FIL ECOSSE LAYETTE</v>
          </cell>
          <cell r="G86" t="str">
            <v>-</v>
          </cell>
          <cell r="H86" t="str">
            <v>GC1</v>
          </cell>
          <cell r="I86">
            <v>275</v>
          </cell>
          <cell r="J86">
            <v>0</v>
          </cell>
          <cell r="K86">
            <v>0</v>
          </cell>
          <cell r="L86">
            <v>0</v>
          </cell>
          <cell r="M86" t="str">
            <v>K</v>
          </cell>
          <cell r="N86">
            <v>1665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80</v>
          </cell>
          <cell r="V86" t="str">
            <v>VERNICE OPACA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 t="str">
            <v>NO</v>
          </cell>
          <cell r="AH86">
            <v>0</v>
          </cell>
          <cell r="AI86" t="str">
            <v/>
          </cell>
          <cell r="AJ86" t="str">
            <v/>
          </cell>
          <cell r="AK86" t="str">
            <v>TERMO</v>
          </cell>
          <cell r="AL86">
            <v>1000</v>
          </cell>
          <cell r="AM86">
            <v>3</v>
          </cell>
          <cell r="AN86" t="str">
            <v>CASSETTO</v>
          </cell>
          <cell r="AO86">
            <v>31</v>
          </cell>
        </row>
        <row r="87">
          <cell r="A87" t="str">
            <v>DD_CAVALLOTTI__000085</v>
          </cell>
          <cell r="B87" t="str">
            <v>DORE DORE</v>
          </cell>
          <cell r="C87" t="str">
            <v>CAVALLOTTI</v>
          </cell>
          <cell r="D87">
            <v>0</v>
          </cell>
          <cell r="E87" t="str">
            <v>MA507044</v>
          </cell>
          <cell r="F87" t="str">
            <v xml:space="preserve"> CAVALLOTTI COTON SEMELLE BOUCLETTE HOMME</v>
          </cell>
          <cell r="G87" t="str">
            <v>-</v>
          </cell>
          <cell r="H87" t="str">
            <v>GC1</v>
          </cell>
          <cell r="I87">
            <v>275</v>
          </cell>
          <cell r="J87">
            <v>0</v>
          </cell>
          <cell r="K87">
            <v>0</v>
          </cell>
          <cell r="L87">
            <v>0</v>
          </cell>
          <cell r="M87" t="str">
            <v>K</v>
          </cell>
          <cell r="N87">
            <v>1665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80</v>
          </cell>
          <cell r="V87" t="str">
            <v>VERNICE OPACA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 t="str">
            <v>NO</v>
          </cell>
          <cell r="AH87">
            <v>0</v>
          </cell>
          <cell r="AI87" t="str">
            <v/>
          </cell>
          <cell r="AJ87" t="str">
            <v/>
          </cell>
          <cell r="AK87" t="str">
            <v>TERMO</v>
          </cell>
          <cell r="AL87">
            <v>1000</v>
          </cell>
          <cell r="AM87">
            <v>3</v>
          </cell>
          <cell r="AN87" t="str">
            <v>CASSETTO</v>
          </cell>
          <cell r="AO87">
            <v>31</v>
          </cell>
        </row>
        <row r="88">
          <cell r="A88" t="str">
            <v>DD_CAVALLOTTI__000086</v>
          </cell>
          <cell r="B88" t="str">
            <v>DORE DORE</v>
          </cell>
          <cell r="C88" t="str">
            <v>CAVALLOTTI</v>
          </cell>
          <cell r="D88">
            <v>0</v>
          </cell>
          <cell r="E88" t="str">
            <v>MA500198 [PEG34C5F</v>
          </cell>
          <cell r="F88" t="str">
            <v>PENDAGLIO ACCESSORI DD</v>
          </cell>
          <cell r="G88" t="str">
            <v>-</v>
          </cell>
          <cell r="H88" t="str">
            <v>GC1</v>
          </cell>
          <cell r="I88">
            <v>275</v>
          </cell>
          <cell r="J88">
            <v>0</v>
          </cell>
          <cell r="K88">
            <v>0</v>
          </cell>
          <cell r="L88">
            <v>0</v>
          </cell>
          <cell r="M88" t="str">
            <v>K</v>
          </cell>
          <cell r="N88">
            <v>1665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80</v>
          </cell>
          <cell r="V88" t="str">
            <v>VERNICE OPACA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 t="str">
            <v>NO</v>
          </cell>
          <cell r="AH88">
            <v>0</v>
          </cell>
          <cell r="AI88" t="str">
            <v/>
          </cell>
          <cell r="AJ88" t="str">
            <v/>
          </cell>
          <cell r="AK88" t="str">
            <v>TERMO</v>
          </cell>
          <cell r="AL88">
            <v>1000</v>
          </cell>
          <cell r="AM88">
            <v>3</v>
          </cell>
          <cell r="AN88" t="str">
            <v>CASSETTO</v>
          </cell>
          <cell r="AO88">
            <v>31</v>
          </cell>
        </row>
        <row r="89">
          <cell r="A89" t="str">
            <v>GLL_CAVALLOTTI__000087</v>
          </cell>
          <cell r="B89" t="str">
            <v>GALLO</v>
          </cell>
          <cell r="C89" t="str">
            <v>CAVALLOTTI</v>
          </cell>
          <cell r="D89">
            <v>0</v>
          </cell>
          <cell r="E89" t="str">
            <v>MA100378 [086C01]</v>
          </cell>
          <cell r="F89" t="str">
            <v>CAVALLOTTO BORDEAUX+FORO</v>
          </cell>
          <cell r="G89" t="str">
            <v>-</v>
          </cell>
          <cell r="H89" t="str">
            <v>GC1</v>
          </cell>
          <cell r="I89">
            <v>275</v>
          </cell>
          <cell r="J89">
            <v>0</v>
          </cell>
          <cell r="K89">
            <v>0</v>
          </cell>
          <cell r="L89">
            <v>0</v>
          </cell>
          <cell r="M89" t="str">
            <v>K</v>
          </cell>
          <cell r="N89">
            <v>491</v>
          </cell>
          <cell r="O89">
            <v>9180</v>
          </cell>
          <cell r="P89">
            <v>172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80</v>
          </cell>
          <cell r="V89" t="str">
            <v>VERNICE OPACA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 t="str">
            <v>FU0651</v>
          </cell>
          <cell r="AF89">
            <v>0</v>
          </cell>
          <cell r="AG89" t="str">
            <v>NO</v>
          </cell>
          <cell r="AH89">
            <v>0</v>
          </cell>
          <cell r="AI89">
            <v>0</v>
          </cell>
          <cell r="AJ89">
            <v>0</v>
          </cell>
          <cell r="AK89" t="str">
            <v>TERMO</v>
          </cell>
          <cell r="AL89">
            <v>1000</v>
          </cell>
          <cell r="AM89">
            <v>3</v>
          </cell>
          <cell r="AN89" t="str">
            <v>CASSETTO</v>
          </cell>
          <cell r="AO89">
            <v>31</v>
          </cell>
        </row>
        <row r="90">
          <cell r="A90" t="str">
            <v>PLS_X_200_MORRISON_000088</v>
          </cell>
          <cell r="B90" t="str">
            <v>PASTA LENSI</v>
          </cell>
          <cell r="C90" t="str">
            <v>X_200</v>
          </cell>
          <cell r="D90" t="str">
            <v>MORRISON</v>
          </cell>
          <cell r="E90">
            <v>410279</v>
          </cell>
          <cell r="F90" t="str">
            <v>MOR*CTN PENNE RIG. 500G</v>
          </cell>
          <cell r="G90" t="str">
            <v>ISO22000</v>
          </cell>
          <cell r="H90">
            <v>962</v>
          </cell>
          <cell r="I90">
            <v>350</v>
          </cell>
          <cell r="J90" t="str">
            <v>C</v>
          </cell>
          <cell r="K90" t="str">
            <v>M</v>
          </cell>
          <cell r="L90" t="str">
            <v>Y</v>
          </cell>
          <cell r="M90" t="str">
            <v>K</v>
          </cell>
          <cell r="N90">
            <v>5255</v>
          </cell>
          <cell r="O90">
            <v>9043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 t="str">
            <v>PO0110</v>
          </cell>
          <cell r="U90">
            <v>80</v>
          </cell>
          <cell r="V90" t="str">
            <v>VERNICE OPACA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 t="str">
            <v>FU0565</v>
          </cell>
          <cell r="AF90">
            <v>0</v>
          </cell>
          <cell r="AG90" t="str">
            <v>NO</v>
          </cell>
          <cell r="AH90">
            <v>0</v>
          </cell>
          <cell r="AI90" t="str">
            <v>Si</v>
          </cell>
          <cell r="AJ90" t="str">
            <v>Lineare</v>
          </cell>
          <cell r="AK90" t="str">
            <v>PL</v>
          </cell>
          <cell r="AL90">
            <v>240</v>
          </cell>
          <cell r="AM90">
            <v>10.25</v>
          </cell>
          <cell r="AN90" t="str">
            <v>CASSETTO</v>
          </cell>
          <cell r="AO90">
            <v>31</v>
          </cell>
        </row>
        <row r="91">
          <cell r="A91" t="str">
            <v>BRG_TIPPY__000089</v>
          </cell>
          <cell r="B91" t="str">
            <v>BERGEN</v>
          </cell>
          <cell r="C91" t="str">
            <v>TIPPY</v>
          </cell>
          <cell r="D91">
            <v>0</v>
          </cell>
          <cell r="E91">
            <v>30510</v>
          </cell>
          <cell r="F91" t="str">
            <v>ATSUCCI LUCIDO NEUTRO</v>
          </cell>
          <cell r="G91" t="str">
            <v>-</v>
          </cell>
          <cell r="H91">
            <v>112</v>
          </cell>
          <cell r="I91">
            <v>385</v>
          </cell>
          <cell r="J91" t="str">
            <v>C</v>
          </cell>
          <cell r="K91" t="str">
            <v>M</v>
          </cell>
          <cell r="L91" t="str">
            <v>Y</v>
          </cell>
          <cell r="M91" t="str">
            <v>K</v>
          </cell>
          <cell r="N91">
            <v>871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 t="str">
            <v>PO0073</v>
          </cell>
          <cell r="U91">
            <v>80</v>
          </cell>
          <cell r="V91" t="str">
            <v>PRIMER</v>
          </cell>
          <cell r="W91" t="str">
            <v>UV LUCIDO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 t="str">
            <v>FU0029</v>
          </cell>
          <cell r="AF91">
            <v>0</v>
          </cell>
          <cell r="AG91" t="str">
            <v>NO</v>
          </cell>
          <cell r="AH91">
            <v>0</v>
          </cell>
          <cell r="AI91" t="str">
            <v>Si</v>
          </cell>
          <cell r="AJ91" t="str">
            <v>Lineare</v>
          </cell>
          <cell r="AK91" t="str">
            <v>ALC</v>
          </cell>
          <cell r="AL91">
            <v>750</v>
          </cell>
          <cell r="AM91">
            <v>9.3000000000000007</v>
          </cell>
          <cell r="AN91" t="str">
            <v>CASSETTO</v>
          </cell>
          <cell r="AO91">
            <v>30</v>
          </cell>
        </row>
        <row r="92">
          <cell r="A92" t="str">
            <v>BRG_TIPPY__000090</v>
          </cell>
          <cell r="B92" t="str">
            <v>BERGEN</v>
          </cell>
          <cell r="C92" t="str">
            <v>TIPPY</v>
          </cell>
          <cell r="D92">
            <v>0</v>
          </cell>
          <cell r="E92">
            <v>30500</v>
          </cell>
          <cell r="F92" t="str">
            <v>ATSUCCI LUCIDO MARRONE</v>
          </cell>
          <cell r="G92" t="str">
            <v>-</v>
          </cell>
          <cell r="H92">
            <v>112</v>
          </cell>
          <cell r="I92">
            <v>385</v>
          </cell>
          <cell r="J92" t="str">
            <v>C</v>
          </cell>
          <cell r="K92" t="str">
            <v>M</v>
          </cell>
          <cell r="L92" t="str">
            <v>Y</v>
          </cell>
          <cell r="M92" t="str">
            <v>K</v>
          </cell>
          <cell r="N92">
            <v>871</v>
          </cell>
          <cell r="O92">
            <v>4695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 t="str">
            <v>PO0073</v>
          </cell>
          <cell r="U92">
            <v>80</v>
          </cell>
          <cell r="V92" t="str">
            <v>PRIMER</v>
          </cell>
          <cell r="W92" t="str">
            <v>UV LUCIDO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 t="str">
            <v>FU0029</v>
          </cell>
          <cell r="AF92">
            <v>0</v>
          </cell>
          <cell r="AG92" t="str">
            <v>NO</v>
          </cell>
          <cell r="AH92">
            <v>0</v>
          </cell>
          <cell r="AI92" t="str">
            <v>Si</v>
          </cell>
          <cell r="AJ92" t="str">
            <v>Lineare</v>
          </cell>
          <cell r="AK92" t="str">
            <v>ALC</v>
          </cell>
          <cell r="AL92">
            <v>750</v>
          </cell>
          <cell r="AM92">
            <v>9.3000000000000007</v>
          </cell>
          <cell r="AN92" t="str">
            <v>CASSETTO</v>
          </cell>
          <cell r="AO92">
            <v>30</v>
          </cell>
        </row>
        <row r="93">
          <cell r="A93" t="str">
            <v>GNB_FASCETTE__000091</v>
          </cell>
          <cell r="B93" t="str">
            <v>GANDOLA BISCOTTI</v>
          </cell>
          <cell r="C93" t="str">
            <v>FASCETTE</v>
          </cell>
          <cell r="D93">
            <v>0</v>
          </cell>
          <cell r="E93" t="str">
            <v>-</v>
          </cell>
          <cell r="F93" t="str">
            <v>FASCETTA NEUTRA X2 "SCATOLE BISCOTTI"</v>
          </cell>
          <cell r="G93" t="str">
            <v>-</v>
          </cell>
          <cell r="H93">
            <v>962</v>
          </cell>
          <cell r="I93">
            <v>350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 t="str">
            <v>-</v>
          </cell>
          <cell r="AF93">
            <v>0</v>
          </cell>
          <cell r="AG93" t="str">
            <v>NO</v>
          </cell>
          <cell r="AH93">
            <v>0</v>
          </cell>
          <cell r="AI93" t="str">
            <v/>
          </cell>
          <cell r="AJ93" t="str">
            <v/>
          </cell>
          <cell r="AK93">
            <v>0</v>
          </cell>
          <cell r="AL93">
            <v>0</v>
          </cell>
          <cell r="AM93">
            <v>0</v>
          </cell>
          <cell r="AN93" t="str">
            <v>CASSETTO</v>
          </cell>
          <cell r="AO93">
            <v>30</v>
          </cell>
        </row>
        <row r="94">
          <cell r="A94" t="str">
            <v>GNN_CA_APP_2X_000092</v>
          </cell>
          <cell r="B94" t="str">
            <v>CALZ.GENNY</v>
          </cell>
          <cell r="C94" t="str">
            <v>CA</v>
          </cell>
          <cell r="D94" t="str">
            <v>APP_2X</v>
          </cell>
          <cell r="E94" t="str">
            <v>ART. J932 40 DEN 92/8</v>
          </cell>
          <cell r="F94" t="str">
            <v>APPENDINI C&amp;A BIMBA 2X - TG. 98-104</v>
          </cell>
          <cell r="G94" t="str">
            <v>-</v>
          </cell>
          <cell r="H94" t="str">
            <v>GC1</v>
          </cell>
          <cell r="I94">
            <v>325</v>
          </cell>
          <cell r="J94" t="str">
            <v>C</v>
          </cell>
          <cell r="K94" t="str">
            <v>M</v>
          </cell>
          <cell r="L94" t="str">
            <v>Y</v>
          </cell>
          <cell r="M94" t="str">
            <v>K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80</v>
          </cell>
          <cell r="V94" t="str">
            <v>VERNICE LUCIDA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 t="str">
            <v>FU0887</v>
          </cell>
          <cell r="AF94">
            <v>0</v>
          </cell>
          <cell r="AG94" t="str">
            <v>NO</v>
          </cell>
          <cell r="AH94">
            <v>0</v>
          </cell>
          <cell r="AI94" t="str">
            <v>No</v>
          </cell>
          <cell r="AJ94">
            <v>0</v>
          </cell>
          <cell r="AK94" t="str">
            <v>TERMO</v>
          </cell>
          <cell r="AL94">
            <v>500</v>
          </cell>
          <cell r="AM94">
            <v>4.5</v>
          </cell>
          <cell r="AN94" t="str">
            <v>CASSETTO</v>
          </cell>
          <cell r="AO94">
            <v>30</v>
          </cell>
        </row>
        <row r="95">
          <cell r="A95" t="str">
            <v>GNN_CA_APP_2X_000093</v>
          </cell>
          <cell r="B95" t="str">
            <v>CALZ.GENNY</v>
          </cell>
          <cell r="C95" t="str">
            <v>CA</v>
          </cell>
          <cell r="D95" t="str">
            <v>APP_2X</v>
          </cell>
          <cell r="E95" t="str">
            <v>ART. J932 40 DEN 92/8</v>
          </cell>
          <cell r="F95" t="str">
            <v>APPENDINI C&amp;A BIMBA 2X - TG. 110-116</v>
          </cell>
          <cell r="G95" t="str">
            <v>-</v>
          </cell>
          <cell r="H95" t="str">
            <v>GC1</v>
          </cell>
          <cell r="I95">
            <v>325</v>
          </cell>
          <cell r="J95" t="str">
            <v>C</v>
          </cell>
          <cell r="K95" t="str">
            <v>M</v>
          </cell>
          <cell r="L95" t="str">
            <v>Y</v>
          </cell>
          <cell r="M95" t="str">
            <v>K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80</v>
          </cell>
          <cell r="V95" t="str">
            <v>VERNICE LUCIDA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 t="str">
            <v>FU0887</v>
          </cell>
          <cell r="AF95">
            <v>0</v>
          </cell>
          <cell r="AG95" t="str">
            <v>NO</v>
          </cell>
          <cell r="AH95">
            <v>0</v>
          </cell>
          <cell r="AI95" t="str">
            <v>No</v>
          </cell>
          <cell r="AJ95">
            <v>0</v>
          </cell>
          <cell r="AK95" t="str">
            <v>TERMO</v>
          </cell>
          <cell r="AL95">
            <v>500</v>
          </cell>
          <cell r="AM95">
            <v>4.5</v>
          </cell>
          <cell r="AN95" t="str">
            <v>CASSETTO</v>
          </cell>
          <cell r="AO95">
            <v>30</v>
          </cell>
        </row>
        <row r="96">
          <cell r="A96" t="str">
            <v>GNN_CA_APP_2X_000094</v>
          </cell>
          <cell r="B96" t="str">
            <v>CALZ.GENNY</v>
          </cell>
          <cell r="C96" t="str">
            <v>CA</v>
          </cell>
          <cell r="D96" t="str">
            <v>APP_2X</v>
          </cell>
          <cell r="E96" t="str">
            <v>ART. J932 40 DEN 92/8</v>
          </cell>
          <cell r="F96" t="str">
            <v>APPENDINI C&amp;A BIMBA 2X - TG. 122-128</v>
          </cell>
          <cell r="G96" t="str">
            <v>-</v>
          </cell>
          <cell r="H96" t="str">
            <v>GC1</v>
          </cell>
          <cell r="I96">
            <v>325</v>
          </cell>
          <cell r="J96" t="str">
            <v>C</v>
          </cell>
          <cell r="K96" t="str">
            <v>M</v>
          </cell>
          <cell r="L96" t="str">
            <v>Y</v>
          </cell>
          <cell r="M96" t="str">
            <v>K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80</v>
          </cell>
          <cell r="V96" t="str">
            <v>VERNICE LUCIDA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 t="str">
            <v>FU0887</v>
          </cell>
          <cell r="AF96">
            <v>0</v>
          </cell>
          <cell r="AG96" t="str">
            <v>NO</v>
          </cell>
          <cell r="AH96">
            <v>0</v>
          </cell>
          <cell r="AI96" t="str">
            <v>No</v>
          </cell>
          <cell r="AJ96">
            <v>0</v>
          </cell>
          <cell r="AK96" t="str">
            <v>TERMO</v>
          </cell>
          <cell r="AL96">
            <v>500</v>
          </cell>
          <cell r="AM96">
            <v>4.5</v>
          </cell>
          <cell r="AN96" t="str">
            <v>CASSETTO</v>
          </cell>
          <cell r="AO96">
            <v>30</v>
          </cell>
        </row>
        <row r="97">
          <cell r="A97" t="str">
            <v>GNN_CA_APP_2X_000095</v>
          </cell>
          <cell r="B97" t="str">
            <v>CALZ.GENNY</v>
          </cell>
          <cell r="C97" t="str">
            <v>CA</v>
          </cell>
          <cell r="D97" t="str">
            <v>APP_2X</v>
          </cell>
          <cell r="E97" t="str">
            <v>ART. J932 40 DEN 92/8</v>
          </cell>
          <cell r="F97" t="str">
            <v>APPENDINI C&amp;A BIMBA 2X - TG. 134-140</v>
          </cell>
          <cell r="G97" t="str">
            <v>-</v>
          </cell>
          <cell r="H97" t="str">
            <v>GC1</v>
          </cell>
          <cell r="I97">
            <v>325</v>
          </cell>
          <cell r="J97" t="str">
            <v>C</v>
          </cell>
          <cell r="K97" t="str">
            <v>M</v>
          </cell>
          <cell r="L97" t="str">
            <v>Y</v>
          </cell>
          <cell r="M97" t="str">
            <v>K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80</v>
          </cell>
          <cell r="V97" t="str">
            <v>VERNICE LUCIDA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 t="str">
            <v>FU0887</v>
          </cell>
          <cell r="AF97">
            <v>0</v>
          </cell>
          <cell r="AG97" t="str">
            <v>NO</v>
          </cell>
          <cell r="AH97">
            <v>0</v>
          </cell>
          <cell r="AI97" t="str">
            <v>No</v>
          </cell>
          <cell r="AJ97">
            <v>0</v>
          </cell>
          <cell r="AK97" t="str">
            <v>TERMO</v>
          </cell>
          <cell r="AL97">
            <v>500</v>
          </cell>
          <cell r="AM97">
            <v>4.5</v>
          </cell>
          <cell r="AN97" t="str">
            <v>CASSETTO</v>
          </cell>
          <cell r="AO97">
            <v>30</v>
          </cell>
        </row>
        <row r="98">
          <cell r="A98" t="str">
            <v>GNN_CA_APP_2X_000096</v>
          </cell>
          <cell r="B98" t="str">
            <v>CALZ.GENNY</v>
          </cell>
          <cell r="C98" t="str">
            <v>CA</v>
          </cell>
          <cell r="D98" t="str">
            <v>APP_2X</v>
          </cell>
          <cell r="E98" t="str">
            <v>ART. J932 40 DEN 92/8</v>
          </cell>
          <cell r="F98" t="str">
            <v>APPENDINI C&amp;A BIMBA 2X - TG. 146-152</v>
          </cell>
          <cell r="G98" t="str">
            <v>-</v>
          </cell>
          <cell r="H98" t="str">
            <v>GC1</v>
          </cell>
          <cell r="I98">
            <v>325</v>
          </cell>
          <cell r="J98" t="str">
            <v>C</v>
          </cell>
          <cell r="K98" t="str">
            <v>M</v>
          </cell>
          <cell r="L98" t="str">
            <v>Y</v>
          </cell>
          <cell r="M98" t="str">
            <v>K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80</v>
          </cell>
          <cell r="V98" t="str">
            <v>VERNICE LUCIDA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 t="str">
            <v>FU0887</v>
          </cell>
          <cell r="AF98">
            <v>0</v>
          </cell>
          <cell r="AG98" t="str">
            <v>NO</v>
          </cell>
          <cell r="AH98">
            <v>0</v>
          </cell>
          <cell r="AI98" t="str">
            <v>No</v>
          </cell>
          <cell r="AJ98">
            <v>0</v>
          </cell>
          <cell r="AK98" t="str">
            <v>TERMO</v>
          </cell>
          <cell r="AL98">
            <v>500</v>
          </cell>
          <cell r="AM98">
            <v>4.5</v>
          </cell>
          <cell r="AN98" t="str">
            <v>CASSETTO</v>
          </cell>
          <cell r="AO98">
            <v>30</v>
          </cell>
        </row>
        <row r="99">
          <cell r="A99" t="str">
            <v>GNN_CA_APP_2X_000097</v>
          </cell>
          <cell r="B99" t="str">
            <v>CALZ.GENNY</v>
          </cell>
          <cell r="C99" t="str">
            <v>CA</v>
          </cell>
          <cell r="D99" t="str">
            <v>APP_2X</v>
          </cell>
          <cell r="E99" t="str">
            <v>ART. J932 40 DEN 92/8</v>
          </cell>
          <cell r="F99" t="str">
            <v>APPENDINI C&amp;A BIMBA 2X - TG. 158-164</v>
          </cell>
          <cell r="G99" t="str">
            <v>-</v>
          </cell>
          <cell r="H99" t="str">
            <v>GC1</v>
          </cell>
          <cell r="I99">
            <v>325</v>
          </cell>
          <cell r="J99" t="str">
            <v>C</v>
          </cell>
          <cell r="K99" t="str">
            <v>M</v>
          </cell>
          <cell r="L99" t="str">
            <v>Y</v>
          </cell>
          <cell r="M99" t="str">
            <v>K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80</v>
          </cell>
          <cell r="V99" t="str">
            <v>VERNICE LUCIDA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 t="str">
            <v>FU0887</v>
          </cell>
          <cell r="AF99">
            <v>0</v>
          </cell>
          <cell r="AG99" t="str">
            <v>NO</v>
          </cell>
          <cell r="AH99">
            <v>0</v>
          </cell>
          <cell r="AI99" t="str">
            <v>No</v>
          </cell>
          <cell r="AJ99">
            <v>0</v>
          </cell>
          <cell r="AK99" t="str">
            <v>TERMO</v>
          </cell>
          <cell r="AL99">
            <v>500</v>
          </cell>
          <cell r="AM99">
            <v>4.5</v>
          </cell>
          <cell r="AN99" t="str">
            <v>CASSETTO</v>
          </cell>
          <cell r="AO99">
            <v>30</v>
          </cell>
        </row>
        <row r="100">
          <cell r="A100" t="str">
            <v>GNN_CA_APP_2X_000098</v>
          </cell>
          <cell r="B100" t="str">
            <v>CALZ.GENNY</v>
          </cell>
          <cell r="C100" t="str">
            <v>CA</v>
          </cell>
          <cell r="D100" t="str">
            <v>APP_2X</v>
          </cell>
          <cell r="E100" t="str">
            <v>ART. J932 40 DEN 55/40/5</v>
          </cell>
          <cell r="F100" t="str">
            <v>APPENDINI C&amp;A BIMBA 2X - TG. 98-104</v>
          </cell>
          <cell r="G100" t="str">
            <v>-</v>
          </cell>
          <cell r="H100" t="str">
            <v>GC1</v>
          </cell>
          <cell r="I100">
            <v>325</v>
          </cell>
          <cell r="J100" t="str">
            <v>C</v>
          </cell>
          <cell r="K100" t="str">
            <v>M</v>
          </cell>
          <cell r="L100" t="str">
            <v>Y</v>
          </cell>
          <cell r="M100" t="str">
            <v>K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80</v>
          </cell>
          <cell r="V100" t="str">
            <v>VERNICE LUCIDA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 t="str">
            <v>FU0887</v>
          </cell>
          <cell r="AF100">
            <v>0</v>
          </cell>
          <cell r="AG100" t="str">
            <v>NO</v>
          </cell>
          <cell r="AH100">
            <v>0</v>
          </cell>
          <cell r="AI100" t="str">
            <v>No</v>
          </cell>
          <cell r="AJ100">
            <v>0</v>
          </cell>
          <cell r="AK100" t="str">
            <v>TERMO</v>
          </cell>
          <cell r="AL100">
            <v>500</v>
          </cell>
          <cell r="AM100">
            <v>4.5</v>
          </cell>
          <cell r="AN100" t="str">
            <v>CASSETTO</v>
          </cell>
          <cell r="AO100">
            <v>30</v>
          </cell>
        </row>
        <row r="101">
          <cell r="A101" t="str">
            <v>GNN_CA_APP_2X_000099</v>
          </cell>
          <cell r="B101" t="str">
            <v>CALZ.GENNY</v>
          </cell>
          <cell r="C101" t="str">
            <v>CA</v>
          </cell>
          <cell r="D101" t="str">
            <v>APP_2X</v>
          </cell>
          <cell r="E101" t="str">
            <v>ART. J932 40 DEN 55/40/5</v>
          </cell>
          <cell r="F101" t="str">
            <v>APPENDINI C&amp;A BIMBA 2X - TG. 110-116</v>
          </cell>
          <cell r="G101" t="str">
            <v>-</v>
          </cell>
          <cell r="H101" t="str">
            <v>GC1</v>
          </cell>
          <cell r="I101">
            <v>325</v>
          </cell>
          <cell r="J101" t="str">
            <v>C</v>
          </cell>
          <cell r="K101" t="str">
            <v>M</v>
          </cell>
          <cell r="L101" t="str">
            <v>Y</v>
          </cell>
          <cell r="M101" t="str">
            <v>K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80</v>
          </cell>
          <cell r="V101" t="str">
            <v>VERNICE LUCIDA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 t="str">
            <v>FU0887</v>
          </cell>
          <cell r="AF101">
            <v>0</v>
          </cell>
          <cell r="AG101" t="str">
            <v>NO</v>
          </cell>
          <cell r="AH101">
            <v>0</v>
          </cell>
          <cell r="AI101" t="str">
            <v>No</v>
          </cell>
          <cell r="AJ101">
            <v>0</v>
          </cell>
          <cell r="AK101" t="str">
            <v>TERMO</v>
          </cell>
          <cell r="AL101">
            <v>500</v>
          </cell>
          <cell r="AM101">
            <v>4.5</v>
          </cell>
          <cell r="AN101" t="str">
            <v>CASSETTO</v>
          </cell>
          <cell r="AO101">
            <v>30</v>
          </cell>
        </row>
        <row r="102">
          <cell r="A102" t="str">
            <v>GNN_CA_APP_2X_000100</v>
          </cell>
          <cell r="B102" t="str">
            <v>CALZ.GENNY</v>
          </cell>
          <cell r="C102" t="str">
            <v>CA</v>
          </cell>
          <cell r="D102" t="str">
            <v>APP_2X</v>
          </cell>
          <cell r="E102" t="str">
            <v>ART. J932 40 DEN 55/40/5</v>
          </cell>
          <cell r="F102" t="str">
            <v>APPENDINI C&amp;A BIMBA 2X - TG. 122-128</v>
          </cell>
          <cell r="G102" t="str">
            <v>-</v>
          </cell>
          <cell r="H102" t="str">
            <v>GC1</v>
          </cell>
          <cell r="I102">
            <v>325</v>
          </cell>
          <cell r="J102" t="str">
            <v>C</v>
          </cell>
          <cell r="K102" t="str">
            <v>M</v>
          </cell>
          <cell r="L102" t="str">
            <v>Y</v>
          </cell>
          <cell r="M102" t="str">
            <v>K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80</v>
          </cell>
          <cell r="V102" t="str">
            <v>VERNICE LUCIDA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 t="str">
            <v>FU0887</v>
          </cell>
          <cell r="AF102">
            <v>0</v>
          </cell>
          <cell r="AG102" t="str">
            <v>NO</v>
          </cell>
          <cell r="AH102">
            <v>0</v>
          </cell>
          <cell r="AI102" t="str">
            <v>No</v>
          </cell>
          <cell r="AJ102">
            <v>0</v>
          </cell>
          <cell r="AK102" t="str">
            <v>TERMO</v>
          </cell>
          <cell r="AL102">
            <v>500</v>
          </cell>
          <cell r="AM102">
            <v>4.5</v>
          </cell>
          <cell r="AN102" t="str">
            <v>CASSETTO</v>
          </cell>
          <cell r="AO102">
            <v>30</v>
          </cell>
        </row>
        <row r="103">
          <cell r="A103" t="str">
            <v>GNN_CA_APP_2X_000101</v>
          </cell>
          <cell r="B103" t="str">
            <v>CALZ.GENNY</v>
          </cell>
          <cell r="C103" t="str">
            <v>CA</v>
          </cell>
          <cell r="D103" t="str">
            <v>APP_2X</v>
          </cell>
          <cell r="E103" t="str">
            <v>ART. J932 40 DEN 55/40/5</v>
          </cell>
          <cell r="F103" t="str">
            <v>APPENDINI C&amp;A BIMBA 2X - TG. 134-140</v>
          </cell>
          <cell r="G103" t="str">
            <v>-</v>
          </cell>
          <cell r="H103" t="str">
            <v>GC1</v>
          </cell>
          <cell r="I103">
            <v>325</v>
          </cell>
          <cell r="J103" t="str">
            <v>C</v>
          </cell>
          <cell r="K103" t="str">
            <v>M</v>
          </cell>
          <cell r="L103" t="str">
            <v>Y</v>
          </cell>
          <cell r="M103" t="str">
            <v>K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80</v>
          </cell>
          <cell r="V103" t="str">
            <v>VERNICE LUCIDA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 t="str">
            <v>FU0887</v>
          </cell>
          <cell r="AF103">
            <v>0</v>
          </cell>
          <cell r="AG103" t="str">
            <v>NO</v>
          </cell>
          <cell r="AH103">
            <v>0</v>
          </cell>
          <cell r="AI103" t="str">
            <v>No</v>
          </cell>
          <cell r="AJ103">
            <v>0</v>
          </cell>
          <cell r="AK103" t="str">
            <v>TERMO</v>
          </cell>
          <cell r="AL103">
            <v>500</v>
          </cell>
          <cell r="AM103">
            <v>4.5</v>
          </cell>
          <cell r="AN103" t="str">
            <v>CASSETTO</v>
          </cell>
          <cell r="AO103">
            <v>30</v>
          </cell>
        </row>
        <row r="104">
          <cell r="A104" t="str">
            <v>GNN_CA_APP_2X_000102</v>
          </cell>
          <cell r="B104" t="str">
            <v>CALZ.GENNY</v>
          </cell>
          <cell r="C104" t="str">
            <v>CA</v>
          </cell>
          <cell r="D104" t="str">
            <v>APP_2X</v>
          </cell>
          <cell r="E104" t="str">
            <v>ART. J932 40 DEN 55/40/5</v>
          </cell>
          <cell r="F104" t="str">
            <v>APPENDINI C&amp;A BIMBA 2X - TG. 146-152</v>
          </cell>
          <cell r="G104" t="str">
            <v>-</v>
          </cell>
          <cell r="H104" t="str">
            <v>GC1</v>
          </cell>
          <cell r="I104">
            <v>325</v>
          </cell>
          <cell r="J104" t="str">
            <v>C</v>
          </cell>
          <cell r="K104" t="str">
            <v>M</v>
          </cell>
          <cell r="L104" t="str">
            <v>Y</v>
          </cell>
          <cell r="M104" t="str">
            <v>K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80</v>
          </cell>
          <cell r="V104" t="str">
            <v>VERNICE LUCIDA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 t="str">
            <v>FU0887</v>
          </cell>
          <cell r="AF104">
            <v>0</v>
          </cell>
          <cell r="AG104" t="str">
            <v>NO</v>
          </cell>
          <cell r="AH104">
            <v>0</v>
          </cell>
          <cell r="AI104" t="str">
            <v>No</v>
          </cell>
          <cell r="AJ104">
            <v>0</v>
          </cell>
          <cell r="AK104" t="str">
            <v>TERMO</v>
          </cell>
          <cell r="AL104">
            <v>500</v>
          </cell>
          <cell r="AM104">
            <v>4.5</v>
          </cell>
          <cell r="AN104" t="str">
            <v>CASSETTO</v>
          </cell>
          <cell r="AO104">
            <v>30</v>
          </cell>
        </row>
        <row r="105">
          <cell r="A105" t="str">
            <v>GNN_CA_APP_2X_000103</v>
          </cell>
          <cell r="B105" t="str">
            <v>CALZ.GENNY</v>
          </cell>
          <cell r="C105" t="str">
            <v>CA</v>
          </cell>
          <cell r="D105" t="str">
            <v>APP_2X</v>
          </cell>
          <cell r="E105" t="str">
            <v>ART. J932 40 DEN 55/40/5</v>
          </cell>
          <cell r="F105" t="str">
            <v>APPENDINI C&amp;A BIMBA 2X - TG. 158-164</v>
          </cell>
          <cell r="G105" t="str">
            <v>-</v>
          </cell>
          <cell r="H105" t="str">
            <v>GC1</v>
          </cell>
          <cell r="I105">
            <v>325</v>
          </cell>
          <cell r="J105" t="str">
            <v>C</v>
          </cell>
          <cell r="K105" t="str">
            <v>M</v>
          </cell>
          <cell r="L105" t="str">
            <v>Y</v>
          </cell>
          <cell r="M105" t="str">
            <v>K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80</v>
          </cell>
          <cell r="V105" t="str">
            <v>VERNICE LUCIDA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 t="str">
            <v>FU0887</v>
          </cell>
          <cell r="AF105">
            <v>0</v>
          </cell>
          <cell r="AG105" t="str">
            <v>NO</v>
          </cell>
          <cell r="AH105">
            <v>0</v>
          </cell>
          <cell r="AI105" t="str">
            <v>No</v>
          </cell>
          <cell r="AJ105">
            <v>0</v>
          </cell>
          <cell r="AK105" t="str">
            <v>TERMO</v>
          </cell>
          <cell r="AL105">
            <v>500</v>
          </cell>
          <cell r="AM105">
            <v>4.5</v>
          </cell>
          <cell r="AN105" t="str">
            <v>CASSETTO</v>
          </cell>
          <cell r="AO105">
            <v>30</v>
          </cell>
        </row>
        <row r="106">
          <cell r="A106" t="str">
            <v>GNN_CA_APP_3X_000104</v>
          </cell>
          <cell r="B106" t="str">
            <v>CALZ.GENNY</v>
          </cell>
          <cell r="C106" t="str">
            <v>CA</v>
          </cell>
          <cell r="D106" t="str">
            <v>APP_3X</v>
          </cell>
          <cell r="E106" t="str">
            <v>ART. J940 40 DEN 92/8</v>
          </cell>
          <cell r="F106" t="str">
            <v>APPENDINI C&amp;A BIMBA 3X - TG. 98-104</v>
          </cell>
          <cell r="G106" t="str">
            <v>-</v>
          </cell>
          <cell r="H106" t="str">
            <v>GC1</v>
          </cell>
          <cell r="I106">
            <v>350</v>
          </cell>
          <cell r="J106" t="str">
            <v>C</v>
          </cell>
          <cell r="K106" t="str">
            <v>M</v>
          </cell>
          <cell r="L106" t="str">
            <v>Y</v>
          </cell>
          <cell r="M106" t="str">
            <v>K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80</v>
          </cell>
          <cell r="V106" t="str">
            <v>VERNICE LUCIDA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 t="str">
            <v>FU0331</v>
          </cell>
          <cell r="AF106">
            <v>0</v>
          </cell>
          <cell r="AG106" t="str">
            <v>NO</v>
          </cell>
          <cell r="AH106">
            <v>0</v>
          </cell>
          <cell r="AI106" t="str">
            <v>No</v>
          </cell>
          <cell r="AJ106">
            <v>0</v>
          </cell>
          <cell r="AK106" t="str">
            <v>TERMO</v>
          </cell>
          <cell r="AL106">
            <v>500</v>
          </cell>
          <cell r="AM106">
            <v>6.5</v>
          </cell>
          <cell r="AN106" t="str">
            <v>CASSETTO</v>
          </cell>
          <cell r="AO106">
            <v>30</v>
          </cell>
        </row>
        <row r="107">
          <cell r="A107" t="str">
            <v>GNN_CA_APP_3X_000105</v>
          </cell>
          <cell r="B107" t="str">
            <v>CALZ.GENNY</v>
          </cell>
          <cell r="C107" t="str">
            <v>CA</v>
          </cell>
          <cell r="D107" t="str">
            <v>APP_3X</v>
          </cell>
          <cell r="E107" t="str">
            <v>ART. J940 40 DEN 92/8</v>
          </cell>
          <cell r="F107" t="str">
            <v>APPENDINI C&amp;A BIMBA 3X - TG. 110-116</v>
          </cell>
          <cell r="G107" t="str">
            <v>-</v>
          </cell>
          <cell r="H107" t="str">
            <v>GC1</v>
          </cell>
          <cell r="I107">
            <v>350</v>
          </cell>
          <cell r="J107" t="str">
            <v>C</v>
          </cell>
          <cell r="K107" t="str">
            <v>M</v>
          </cell>
          <cell r="L107" t="str">
            <v>Y</v>
          </cell>
          <cell r="M107" t="str">
            <v>K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80</v>
          </cell>
          <cell r="V107" t="str">
            <v>VERNICE LUCIDA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 t="str">
            <v>FU0331</v>
          </cell>
          <cell r="AF107">
            <v>0</v>
          </cell>
          <cell r="AG107" t="str">
            <v>NO</v>
          </cell>
          <cell r="AH107">
            <v>0</v>
          </cell>
          <cell r="AI107" t="str">
            <v>No</v>
          </cell>
          <cell r="AJ107">
            <v>0</v>
          </cell>
          <cell r="AK107" t="str">
            <v>TERMO</v>
          </cell>
          <cell r="AL107">
            <v>500</v>
          </cell>
          <cell r="AM107">
            <v>6.5</v>
          </cell>
          <cell r="AN107" t="str">
            <v>CASSETTO</v>
          </cell>
          <cell r="AO107">
            <v>30</v>
          </cell>
        </row>
        <row r="108">
          <cell r="A108" t="str">
            <v>GNN_CA_APP_3X_000106</v>
          </cell>
          <cell r="B108" t="str">
            <v>CALZ.GENNY</v>
          </cell>
          <cell r="C108" t="str">
            <v>CA</v>
          </cell>
          <cell r="D108" t="str">
            <v>APP_3X</v>
          </cell>
          <cell r="E108" t="str">
            <v>ART. J940 40 DEN 92/8</v>
          </cell>
          <cell r="F108" t="str">
            <v>APPENDINI C&amp;A BIMBA 3X - TG. 122-128</v>
          </cell>
          <cell r="G108" t="str">
            <v>-</v>
          </cell>
          <cell r="H108" t="str">
            <v>GC1</v>
          </cell>
          <cell r="I108">
            <v>350</v>
          </cell>
          <cell r="J108" t="str">
            <v>C</v>
          </cell>
          <cell r="K108" t="str">
            <v>M</v>
          </cell>
          <cell r="L108" t="str">
            <v>Y</v>
          </cell>
          <cell r="M108" t="str">
            <v>K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80</v>
          </cell>
          <cell r="V108" t="str">
            <v>VERNICE LUCIDA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 t="str">
            <v>FU0331</v>
          </cell>
          <cell r="AF108">
            <v>0</v>
          </cell>
          <cell r="AG108" t="str">
            <v>NO</v>
          </cell>
          <cell r="AH108">
            <v>0</v>
          </cell>
          <cell r="AI108" t="str">
            <v>No</v>
          </cell>
          <cell r="AJ108">
            <v>0</v>
          </cell>
          <cell r="AK108" t="str">
            <v>TERMO</v>
          </cell>
          <cell r="AL108">
            <v>500</v>
          </cell>
          <cell r="AM108">
            <v>6.5</v>
          </cell>
          <cell r="AN108" t="str">
            <v>CASSETTO</v>
          </cell>
          <cell r="AO108">
            <v>30</v>
          </cell>
        </row>
        <row r="109">
          <cell r="A109" t="str">
            <v>GNN_CA_APP_3X_000107</v>
          </cell>
          <cell r="B109" t="str">
            <v>CALZ.GENNY</v>
          </cell>
          <cell r="C109" t="str">
            <v>CA</v>
          </cell>
          <cell r="D109" t="str">
            <v>APP_3X</v>
          </cell>
          <cell r="E109" t="str">
            <v>ART. J940 40 DEN 92/8</v>
          </cell>
          <cell r="F109" t="str">
            <v>APPENDINI C&amp;A BIMBA 3X - TG. 134-140</v>
          </cell>
          <cell r="G109" t="str">
            <v>-</v>
          </cell>
          <cell r="H109" t="str">
            <v>GC1</v>
          </cell>
          <cell r="I109">
            <v>350</v>
          </cell>
          <cell r="J109" t="str">
            <v>C</v>
          </cell>
          <cell r="K109" t="str">
            <v>M</v>
          </cell>
          <cell r="L109" t="str">
            <v>Y</v>
          </cell>
          <cell r="M109" t="str">
            <v>K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80</v>
          </cell>
          <cell r="V109" t="str">
            <v>VERNICE LUCIDA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 t="str">
            <v>FU0331</v>
          </cell>
          <cell r="AF109">
            <v>0</v>
          </cell>
          <cell r="AG109" t="str">
            <v>NO</v>
          </cell>
          <cell r="AH109">
            <v>0</v>
          </cell>
          <cell r="AI109" t="str">
            <v>No</v>
          </cell>
          <cell r="AJ109">
            <v>0</v>
          </cell>
          <cell r="AK109" t="str">
            <v>TERMO</v>
          </cell>
          <cell r="AL109">
            <v>500</v>
          </cell>
          <cell r="AM109">
            <v>6.5</v>
          </cell>
          <cell r="AN109" t="str">
            <v>CASSETTO</v>
          </cell>
          <cell r="AO109">
            <v>30</v>
          </cell>
        </row>
        <row r="110">
          <cell r="A110" t="str">
            <v>GNN_CA_APP_3X_000108</v>
          </cell>
          <cell r="B110" t="str">
            <v>CALZ.GENNY</v>
          </cell>
          <cell r="C110" t="str">
            <v>CA</v>
          </cell>
          <cell r="D110" t="str">
            <v>APP_3X</v>
          </cell>
          <cell r="E110" t="str">
            <v>ART. J940 40 DEN 92/8</v>
          </cell>
          <cell r="F110" t="str">
            <v>APPENDINI C&amp;A BIMBA 3X - TG. 146-152</v>
          </cell>
          <cell r="G110" t="str">
            <v>-</v>
          </cell>
          <cell r="H110" t="str">
            <v>GC1</v>
          </cell>
          <cell r="I110">
            <v>350</v>
          </cell>
          <cell r="J110" t="str">
            <v>C</v>
          </cell>
          <cell r="K110" t="str">
            <v>M</v>
          </cell>
          <cell r="L110" t="str">
            <v>Y</v>
          </cell>
          <cell r="M110" t="str">
            <v>K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80</v>
          </cell>
          <cell r="V110" t="str">
            <v>VERNICE LUCIDA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 t="str">
            <v>FU0331</v>
          </cell>
          <cell r="AF110">
            <v>0</v>
          </cell>
          <cell r="AG110" t="str">
            <v>NO</v>
          </cell>
          <cell r="AH110">
            <v>0</v>
          </cell>
          <cell r="AI110" t="str">
            <v>No</v>
          </cell>
          <cell r="AJ110">
            <v>0</v>
          </cell>
          <cell r="AK110" t="str">
            <v>TERMO</v>
          </cell>
          <cell r="AL110">
            <v>500</v>
          </cell>
          <cell r="AM110">
            <v>6.5</v>
          </cell>
          <cell r="AN110" t="str">
            <v>CASSETTO</v>
          </cell>
          <cell r="AO110">
            <v>30</v>
          </cell>
        </row>
        <row r="111">
          <cell r="A111" t="str">
            <v>GNN_CA_APP_3X_000109</v>
          </cell>
          <cell r="B111" t="str">
            <v>CALZ.GENNY</v>
          </cell>
          <cell r="C111" t="str">
            <v>CA</v>
          </cell>
          <cell r="D111" t="str">
            <v>APP_3X</v>
          </cell>
          <cell r="E111" t="str">
            <v>ART. J940 40 DEN 92/8</v>
          </cell>
          <cell r="F111" t="str">
            <v>APPENDINI C&amp;A BIMBA 3X - TG. 158-164</v>
          </cell>
          <cell r="G111" t="str">
            <v>-</v>
          </cell>
          <cell r="H111" t="str">
            <v>GC1</v>
          </cell>
          <cell r="I111">
            <v>350</v>
          </cell>
          <cell r="J111" t="str">
            <v>C</v>
          </cell>
          <cell r="K111" t="str">
            <v>M</v>
          </cell>
          <cell r="L111" t="str">
            <v>Y</v>
          </cell>
          <cell r="M111" t="str">
            <v>K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80</v>
          </cell>
          <cell r="V111" t="str">
            <v>VERNICE LUCIDA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 t="str">
            <v>FU0331</v>
          </cell>
          <cell r="AF111">
            <v>0</v>
          </cell>
          <cell r="AG111" t="str">
            <v>NO</v>
          </cell>
          <cell r="AH111">
            <v>0</v>
          </cell>
          <cell r="AI111" t="str">
            <v>No</v>
          </cell>
          <cell r="AJ111">
            <v>0</v>
          </cell>
          <cell r="AK111" t="str">
            <v>TERMO</v>
          </cell>
          <cell r="AL111">
            <v>500</v>
          </cell>
          <cell r="AM111">
            <v>6.5</v>
          </cell>
          <cell r="AN111" t="str">
            <v>CASSETTO</v>
          </cell>
          <cell r="AO111">
            <v>30</v>
          </cell>
        </row>
        <row r="112">
          <cell r="A112" t="str">
            <v>GNN_CA_APP_3X_000110</v>
          </cell>
          <cell r="B112" t="str">
            <v>CALZ.GENNY</v>
          </cell>
          <cell r="C112" t="str">
            <v>CA</v>
          </cell>
          <cell r="D112" t="str">
            <v>APP_3X</v>
          </cell>
          <cell r="E112" t="str">
            <v>ART. J940 40 DEN 55/40/5</v>
          </cell>
          <cell r="F112" t="str">
            <v>APPENDINI C&amp;A BIMBA 3X - TG. 122-128</v>
          </cell>
          <cell r="G112" t="str">
            <v>-</v>
          </cell>
          <cell r="H112" t="str">
            <v>GC1</v>
          </cell>
          <cell r="I112">
            <v>350</v>
          </cell>
          <cell r="J112" t="str">
            <v>C</v>
          </cell>
          <cell r="K112" t="str">
            <v>M</v>
          </cell>
          <cell r="L112" t="str">
            <v>Y</v>
          </cell>
          <cell r="M112" t="str">
            <v>K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80</v>
          </cell>
          <cell r="V112" t="str">
            <v>VERNICE LUCIDA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 t="str">
            <v>FU0331</v>
          </cell>
          <cell r="AF112">
            <v>0</v>
          </cell>
          <cell r="AG112" t="str">
            <v>NO</v>
          </cell>
          <cell r="AH112">
            <v>0</v>
          </cell>
          <cell r="AI112" t="str">
            <v>No</v>
          </cell>
          <cell r="AJ112">
            <v>0</v>
          </cell>
          <cell r="AK112" t="str">
            <v>TERMO</v>
          </cell>
          <cell r="AL112">
            <v>500</v>
          </cell>
          <cell r="AM112">
            <v>6.5</v>
          </cell>
          <cell r="AN112" t="str">
            <v>CASSETTO</v>
          </cell>
          <cell r="AO112">
            <v>30</v>
          </cell>
        </row>
        <row r="113">
          <cell r="A113" t="str">
            <v>GNN_CA_APP_3X_000111</v>
          </cell>
          <cell r="B113" t="str">
            <v>CALZ.GENNY</v>
          </cell>
          <cell r="C113" t="str">
            <v>CA</v>
          </cell>
          <cell r="D113" t="str">
            <v>APP_3X</v>
          </cell>
          <cell r="E113" t="str">
            <v>ART. J940 40 DEN 55/40/5</v>
          </cell>
          <cell r="F113" t="str">
            <v>APPENDINI C&amp;A BIMBA 3X - TG. 134-140</v>
          </cell>
          <cell r="G113" t="str">
            <v>-</v>
          </cell>
          <cell r="H113" t="str">
            <v>GC1</v>
          </cell>
          <cell r="I113">
            <v>350</v>
          </cell>
          <cell r="J113" t="str">
            <v>C</v>
          </cell>
          <cell r="K113" t="str">
            <v>M</v>
          </cell>
          <cell r="L113" t="str">
            <v>Y</v>
          </cell>
          <cell r="M113" t="str">
            <v>K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80</v>
          </cell>
          <cell r="V113" t="str">
            <v>VERNICE LUCIDA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 t="str">
            <v>FU0331</v>
          </cell>
          <cell r="AF113">
            <v>0</v>
          </cell>
          <cell r="AG113" t="str">
            <v>NO</v>
          </cell>
          <cell r="AH113">
            <v>0</v>
          </cell>
          <cell r="AI113" t="str">
            <v>No</v>
          </cell>
          <cell r="AJ113">
            <v>0</v>
          </cell>
          <cell r="AK113" t="str">
            <v>TERMO</v>
          </cell>
          <cell r="AL113">
            <v>500</v>
          </cell>
          <cell r="AM113">
            <v>6.5</v>
          </cell>
          <cell r="AN113" t="str">
            <v>CASSETTO</v>
          </cell>
          <cell r="AO113">
            <v>30</v>
          </cell>
        </row>
        <row r="114">
          <cell r="A114" t="str">
            <v>GNN_CA_APP_3X_000112</v>
          </cell>
          <cell r="B114" t="str">
            <v>CALZ.GENNY</v>
          </cell>
          <cell r="C114" t="str">
            <v>CA</v>
          </cell>
          <cell r="D114" t="str">
            <v>APP_3X</v>
          </cell>
          <cell r="E114" t="str">
            <v>ART. J940 40 DEN 55/40/5</v>
          </cell>
          <cell r="F114" t="str">
            <v>APPENDINI C&amp;A BIMBA 3X - TG. 146-152</v>
          </cell>
          <cell r="G114" t="str">
            <v>-</v>
          </cell>
          <cell r="H114" t="str">
            <v>GC1</v>
          </cell>
          <cell r="I114">
            <v>350</v>
          </cell>
          <cell r="J114" t="str">
            <v>C</v>
          </cell>
          <cell r="K114" t="str">
            <v>M</v>
          </cell>
          <cell r="L114" t="str">
            <v>Y</v>
          </cell>
          <cell r="M114" t="str">
            <v>K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80</v>
          </cell>
          <cell r="V114" t="str">
            <v>VERNICE LUCIDA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 t="str">
            <v>FU0331</v>
          </cell>
          <cell r="AF114">
            <v>0</v>
          </cell>
          <cell r="AG114" t="str">
            <v>NO</v>
          </cell>
          <cell r="AH114">
            <v>0</v>
          </cell>
          <cell r="AI114" t="str">
            <v>No</v>
          </cell>
          <cell r="AJ114">
            <v>0</v>
          </cell>
          <cell r="AK114" t="str">
            <v>TERMO</v>
          </cell>
          <cell r="AL114">
            <v>500</v>
          </cell>
          <cell r="AM114">
            <v>6.5</v>
          </cell>
          <cell r="AN114" t="str">
            <v>CASSETTO</v>
          </cell>
          <cell r="AO114">
            <v>30</v>
          </cell>
        </row>
        <row r="115">
          <cell r="A115" t="str">
            <v>GNN_CA_AUTO_000113</v>
          </cell>
          <cell r="B115" t="str">
            <v>CALZ.GENNY</v>
          </cell>
          <cell r="C115" t="str">
            <v>CA</v>
          </cell>
          <cell r="D115" t="str">
            <v>AUTO</v>
          </cell>
          <cell r="E115" t="str">
            <v>ART. I031 15 DEN 89/11</v>
          </cell>
          <cell r="F115" t="str">
            <v>APPENDINI C&amp;A AUTOREGGENTE - TG. S/M</v>
          </cell>
          <cell r="G115" t="str">
            <v>-</v>
          </cell>
          <cell r="H115" t="str">
            <v>GC1</v>
          </cell>
          <cell r="I115">
            <v>325</v>
          </cell>
          <cell r="J115" t="str">
            <v>C</v>
          </cell>
          <cell r="K115" t="str">
            <v>M</v>
          </cell>
          <cell r="L115" t="str">
            <v>Y</v>
          </cell>
          <cell r="M115" t="str">
            <v>K</v>
          </cell>
          <cell r="N115">
            <v>446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80</v>
          </cell>
          <cell r="V115" t="str">
            <v>VERNICE LUCIDA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 t="str">
            <v>FU1057</v>
          </cell>
          <cell r="AF115">
            <v>0</v>
          </cell>
          <cell r="AG115" t="str">
            <v>NO</v>
          </cell>
          <cell r="AH115">
            <v>0</v>
          </cell>
          <cell r="AI115" t="str">
            <v>No</v>
          </cell>
          <cell r="AJ115">
            <v>0</v>
          </cell>
          <cell r="AK115" t="str">
            <v>TERMO</v>
          </cell>
          <cell r="AL115">
            <v>500</v>
          </cell>
          <cell r="AM115">
            <v>10.85</v>
          </cell>
          <cell r="AN115" t="str">
            <v>CASSETTO</v>
          </cell>
          <cell r="AO115">
            <v>30</v>
          </cell>
        </row>
        <row r="116">
          <cell r="A116" t="str">
            <v>GNN_CA_AUTO_000114</v>
          </cell>
          <cell r="B116" t="str">
            <v>CALZ.GENNY</v>
          </cell>
          <cell r="C116" t="str">
            <v>CA</v>
          </cell>
          <cell r="D116" t="str">
            <v>AUTO</v>
          </cell>
          <cell r="E116" t="str">
            <v>ART. I031 15 DEN 89/11</v>
          </cell>
          <cell r="F116" t="str">
            <v>APPENDINI C&amp;A AUTOREGGENTE - TG. L/XL</v>
          </cell>
          <cell r="G116" t="str">
            <v>-</v>
          </cell>
          <cell r="H116" t="str">
            <v>GC1</v>
          </cell>
          <cell r="I116">
            <v>325</v>
          </cell>
          <cell r="J116" t="str">
            <v>C</v>
          </cell>
          <cell r="K116" t="str">
            <v>M</v>
          </cell>
          <cell r="L116" t="str">
            <v>Y</v>
          </cell>
          <cell r="M116" t="str">
            <v>K</v>
          </cell>
          <cell r="N116">
            <v>446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80</v>
          </cell>
          <cell r="V116" t="str">
            <v>VERNICE LUCIDA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 t="str">
            <v>FU1057</v>
          </cell>
          <cell r="AF116">
            <v>0</v>
          </cell>
          <cell r="AG116" t="str">
            <v>NO</v>
          </cell>
          <cell r="AH116">
            <v>0</v>
          </cell>
          <cell r="AI116" t="str">
            <v>No</v>
          </cell>
          <cell r="AJ116">
            <v>0</v>
          </cell>
          <cell r="AK116" t="str">
            <v>TERMO</v>
          </cell>
          <cell r="AL116">
            <v>500</v>
          </cell>
          <cell r="AM116">
            <v>10.85</v>
          </cell>
          <cell r="AN116" t="str">
            <v>CASSETTO</v>
          </cell>
          <cell r="AO116">
            <v>30</v>
          </cell>
        </row>
        <row r="117">
          <cell r="A117" t="str">
            <v>PNT_BIPA_SCATOLE_000115</v>
          </cell>
          <cell r="B117" t="str">
            <v>PANTYTEX</v>
          </cell>
          <cell r="C117" t="str">
            <v>BIPA</v>
          </cell>
          <cell r="D117" t="str">
            <v>SCATOLE</v>
          </cell>
          <cell r="E117" t="str">
            <v>F.TO 130 X 225 X H80</v>
          </cell>
          <cell r="F117" t="str">
            <v>SCATOLA 4 ANGOLI NEUTRA</v>
          </cell>
          <cell r="G117" t="str">
            <v>-</v>
          </cell>
          <cell r="H117">
            <v>112</v>
          </cell>
          <cell r="I117">
            <v>385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 t="str">
            <v/>
          </cell>
          <cell r="AJ117" t="str">
            <v/>
          </cell>
          <cell r="AK117">
            <v>0</v>
          </cell>
          <cell r="AL117">
            <v>0</v>
          </cell>
          <cell r="AM117">
            <v>0</v>
          </cell>
          <cell r="AN117" t="str">
            <v>ARCHIVIO</v>
          </cell>
          <cell r="AO117">
            <v>1</v>
          </cell>
        </row>
        <row r="118">
          <cell r="A118" t="str">
            <v>QRT_EUROSPIN_AST_000116</v>
          </cell>
          <cell r="B118" t="str">
            <v>QUARANTA</v>
          </cell>
          <cell r="C118" t="str">
            <v>EUROSPIN</v>
          </cell>
          <cell r="D118" t="str">
            <v>AST</v>
          </cell>
          <cell r="E118">
            <v>10060</v>
          </cell>
          <cell r="F118" t="str">
            <v>ASTUCCIO STECCHE TORRONE MANDORLA 200G - EUROSPIN</v>
          </cell>
          <cell r="G118" t="str">
            <v>-</v>
          </cell>
          <cell r="H118">
            <v>113</v>
          </cell>
          <cell r="I118">
            <v>350</v>
          </cell>
          <cell r="J118" t="str">
            <v>C</v>
          </cell>
          <cell r="K118" t="str">
            <v>M</v>
          </cell>
          <cell r="L118" t="str">
            <v>Y</v>
          </cell>
          <cell r="M118" t="str">
            <v>K</v>
          </cell>
          <cell r="N118">
            <v>702</v>
          </cell>
          <cell r="O118">
            <v>873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 t="str">
            <v>PO0113</v>
          </cell>
          <cell r="U118">
            <v>80</v>
          </cell>
          <cell r="V118" t="str">
            <v>VERNICE LUCIDA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 t="str">
            <v>FU1217</v>
          </cell>
          <cell r="AF118">
            <v>0</v>
          </cell>
          <cell r="AG118" t="str">
            <v>NO</v>
          </cell>
          <cell r="AH118">
            <v>0</v>
          </cell>
          <cell r="AI118" t="str">
            <v>Si</v>
          </cell>
          <cell r="AJ118" t="str">
            <v>Lineare</v>
          </cell>
          <cell r="AK118" t="str">
            <v>PL</v>
          </cell>
          <cell r="AL118">
            <v>450</v>
          </cell>
          <cell r="AM118">
            <v>11.1</v>
          </cell>
          <cell r="AN118" t="str">
            <v>CASSETTO</v>
          </cell>
          <cell r="AO118">
            <v>30</v>
          </cell>
        </row>
        <row r="119">
          <cell r="A119" t="str">
            <v>QRT_EUROSPIN_AST_000117</v>
          </cell>
          <cell r="B119" t="str">
            <v>QUARANTA</v>
          </cell>
          <cell r="C119" t="str">
            <v>EUROSPIN</v>
          </cell>
          <cell r="D119" t="str">
            <v>AST</v>
          </cell>
          <cell r="E119">
            <v>10067</v>
          </cell>
          <cell r="F119" t="str">
            <v>ASTUCCIO STECCHE TORRONE MANDORLA 200G - EUROSPIN</v>
          </cell>
          <cell r="G119" t="str">
            <v>-</v>
          </cell>
          <cell r="H119">
            <v>113</v>
          </cell>
          <cell r="I119">
            <v>350</v>
          </cell>
          <cell r="J119" t="str">
            <v>C</v>
          </cell>
          <cell r="K119" t="str">
            <v>M</v>
          </cell>
          <cell r="L119" t="str">
            <v>Y</v>
          </cell>
          <cell r="M119" t="str">
            <v>K</v>
          </cell>
          <cell r="N119">
            <v>557</v>
          </cell>
          <cell r="O119">
            <v>873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 t="str">
            <v>PO0113</v>
          </cell>
          <cell r="U119">
            <v>80</v>
          </cell>
          <cell r="V119" t="str">
            <v>VERNICE LUCIDA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 t="str">
            <v>FU1217</v>
          </cell>
          <cell r="AF119">
            <v>0</v>
          </cell>
          <cell r="AG119" t="str">
            <v>NO</v>
          </cell>
          <cell r="AH119">
            <v>0</v>
          </cell>
          <cell r="AI119" t="str">
            <v>Si</v>
          </cell>
          <cell r="AJ119" t="str">
            <v>Lineare</v>
          </cell>
          <cell r="AK119" t="str">
            <v>PL</v>
          </cell>
          <cell r="AL119">
            <v>450</v>
          </cell>
          <cell r="AM119">
            <v>11.1</v>
          </cell>
          <cell r="AN119" t="str">
            <v>CASSETTO</v>
          </cell>
          <cell r="AO119">
            <v>30</v>
          </cell>
        </row>
        <row r="120">
          <cell r="A120" t="str">
            <v>RCM_NEE_ASTUCCI_000118</v>
          </cell>
          <cell r="B120" t="str">
            <v>R.C.M.</v>
          </cell>
          <cell r="C120" t="str">
            <v>NEE</v>
          </cell>
          <cell r="D120" t="str">
            <v>ASTUCCI</v>
          </cell>
          <cell r="E120" t="str">
            <v>C.NE.AST.MINI.SIZ.01</v>
          </cell>
          <cell r="F120" t="str">
            <v>ASTUCCIO NERO MINI SIZE - AST 83</v>
          </cell>
          <cell r="G120" t="str">
            <v>-</v>
          </cell>
          <cell r="H120" t="str">
            <v>GC1</v>
          </cell>
          <cell r="I120">
            <v>300</v>
          </cell>
          <cell r="J120">
            <v>0</v>
          </cell>
          <cell r="K120">
            <v>0</v>
          </cell>
          <cell r="L120">
            <v>0</v>
          </cell>
          <cell r="M120" t="str">
            <v>K</v>
          </cell>
          <cell r="N120" t="str">
            <v>BLACK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80</v>
          </cell>
          <cell r="V120" t="str">
            <v>PRIMER OPACO</v>
          </cell>
          <cell r="W120">
            <v>0</v>
          </cell>
          <cell r="X120">
            <v>0</v>
          </cell>
          <cell r="Y120" t="str">
            <v>TCP</v>
          </cell>
          <cell r="Z120" t="str">
            <v>PLASTICA OPACA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 t="str">
            <v>NO</v>
          </cell>
          <cell r="AH120">
            <v>0</v>
          </cell>
          <cell r="AI120" t="str">
            <v/>
          </cell>
          <cell r="AJ120" t="str">
            <v/>
          </cell>
          <cell r="AK120">
            <v>0</v>
          </cell>
          <cell r="AL120">
            <v>0</v>
          </cell>
          <cell r="AM120">
            <v>0</v>
          </cell>
          <cell r="AN120" t="str">
            <v>CASSETTO</v>
          </cell>
          <cell r="AO120">
            <v>30</v>
          </cell>
        </row>
        <row r="121">
          <cell r="A121" t="str">
            <v>RCM_NEE_SIM_000119</v>
          </cell>
          <cell r="B121" t="str">
            <v>R.C.M.</v>
          </cell>
          <cell r="C121" t="str">
            <v>NEE</v>
          </cell>
          <cell r="D121" t="str">
            <v>SIM</v>
          </cell>
          <cell r="E121" t="str">
            <v>C.NE.SIM.MINI.SIZ.01</v>
          </cell>
          <cell r="F121" t="str">
            <v>SCATOLA BIANCA 3 PZ MINI SIZE - SIM 83</v>
          </cell>
          <cell r="G121" t="str">
            <v>-</v>
          </cell>
          <cell r="H121" t="str">
            <v>GC1</v>
          </cell>
          <cell r="I121">
            <v>300</v>
          </cell>
          <cell r="J121">
            <v>0</v>
          </cell>
          <cell r="K121">
            <v>0</v>
          </cell>
          <cell r="L121">
            <v>0</v>
          </cell>
          <cell r="M121" t="str">
            <v>K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80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 t="str">
            <v>NO</v>
          </cell>
          <cell r="AH121">
            <v>0</v>
          </cell>
          <cell r="AI121" t="str">
            <v/>
          </cell>
          <cell r="AJ121" t="str">
            <v/>
          </cell>
          <cell r="AK121">
            <v>0</v>
          </cell>
          <cell r="AL121">
            <v>0</v>
          </cell>
          <cell r="AM121">
            <v>0</v>
          </cell>
          <cell r="AN121" t="str">
            <v>CASSETTO</v>
          </cell>
          <cell r="AO121">
            <v>30</v>
          </cell>
        </row>
        <row r="122">
          <cell r="A122" t="str">
            <v>RCM_NEE_SIM_000120</v>
          </cell>
          <cell r="B122" t="str">
            <v>R.C.M.</v>
          </cell>
          <cell r="C122" t="str">
            <v>NEE</v>
          </cell>
          <cell r="D122" t="str">
            <v>SIM</v>
          </cell>
          <cell r="E122" t="str">
            <v>C.NE.SIM.FOUND.MOU.03</v>
          </cell>
          <cell r="F122" t="str">
            <v>SCATOLA BIANCA 6 PZ F.TINTA MOUSSE NEW - SIM 41</v>
          </cell>
          <cell r="G122" t="str">
            <v>-</v>
          </cell>
          <cell r="H122" t="str">
            <v>GC1</v>
          </cell>
          <cell r="I122">
            <v>300</v>
          </cell>
          <cell r="J122">
            <v>0</v>
          </cell>
          <cell r="K122">
            <v>0</v>
          </cell>
          <cell r="L122">
            <v>0</v>
          </cell>
          <cell r="M122" t="str">
            <v>K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80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 t="str">
            <v>NO</v>
          </cell>
          <cell r="AH122">
            <v>0</v>
          </cell>
          <cell r="AI122" t="str">
            <v/>
          </cell>
          <cell r="AJ122" t="str">
            <v/>
          </cell>
          <cell r="AK122">
            <v>0</v>
          </cell>
          <cell r="AL122">
            <v>0</v>
          </cell>
          <cell r="AM122">
            <v>0</v>
          </cell>
          <cell r="AN122" t="str">
            <v>CASSETTO</v>
          </cell>
          <cell r="AO122">
            <v>30</v>
          </cell>
        </row>
        <row r="123">
          <cell r="A123" t="str">
            <v>RCM_NEE_SIM_000121</v>
          </cell>
          <cell r="B123" t="str">
            <v>R.C.M.</v>
          </cell>
          <cell r="C123" t="str">
            <v>NEE</v>
          </cell>
          <cell r="D123" t="str">
            <v>SIM</v>
          </cell>
          <cell r="E123" t="str">
            <v>C.NE.SIM.NEW.FOUN.01</v>
          </cell>
          <cell r="F123" t="str">
            <v>SCATOLA BIANCA 6 PZ ABSOLUTE FOUNDATION - SIM 57</v>
          </cell>
          <cell r="G123" t="str">
            <v>-</v>
          </cell>
          <cell r="H123" t="str">
            <v>GC1</v>
          </cell>
          <cell r="I123">
            <v>300</v>
          </cell>
          <cell r="J123">
            <v>0</v>
          </cell>
          <cell r="K123">
            <v>0</v>
          </cell>
          <cell r="L123">
            <v>0</v>
          </cell>
          <cell r="M123" t="str">
            <v>K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80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 t="str">
            <v>NO</v>
          </cell>
          <cell r="AH123">
            <v>0</v>
          </cell>
          <cell r="AI123" t="str">
            <v/>
          </cell>
          <cell r="AJ123" t="str">
            <v/>
          </cell>
          <cell r="AK123">
            <v>0</v>
          </cell>
          <cell r="AL123">
            <v>0</v>
          </cell>
          <cell r="AM123">
            <v>0</v>
          </cell>
          <cell r="AN123" t="str">
            <v>CASSETTO</v>
          </cell>
          <cell r="AO123">
            <v>30</v>
          </cell>
        </row>
        <row r="124">
          <cell r="A124" t="str">
            <v>RCM_EVRL_FASCETTE_000122</v>
          </cell>
          <cell r="B124" t="str">
            <v>R.C.M.</v>
          </cell>
          <cell r="C124" t="str">
            <v>EVRL</v>
          </cell>
          <cell r="D124" t="str">
            <v>FASCETTE</v>
          </cell>
          <cell r="E124" t="str">
            <v>C.EV.FASC.LAC.ECO.01</v>
          </cell>
          <cell r="F124" t="str">
            <v>FASCETTA LACCA ECO 200ML</v>
          </cell>
          <cell r="G124" t="str">
            <v>-</v>
          </cell>
          <cell r="H124" t="str">
            <v>GC1</v>
          </cell>
          <cell r="I124">
            <v>300</v>
          </cell>
          <cell r="J124">
            <v>0</v>
          </cell>
          <cell r="K124">
            <v>0</v>
          </cell>
          <cell r="L124">
            <v>0</v>
          </cell>
          <cell r="M124" t="str">
            <v>K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80</v>
          </cell>
          <cell r="V124">
            <v>0</v>
          </cell>
          <cell r="W124">
            <v>0</v>
          </cell>
          <cell r="X124">
            <v>0</v>
          </cell>
          <cell r="Y124" t="str">
            <v>TCP</v>
          </cell>
          <cell r="Z124" t="str">
            <v>PLASTICA OPACA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 t="str">
            <v>NO</v>
          </cell>
          <cell r="AH124">
            <v>0</v>
          </cell>
          <cell r="AI124" t="str">
            <v/>
          </cell>
          <cell r="AJ124" t="str">
            <v/>
          </cell>
          <cell r="AK124">
            <v>0</v>
          </cell>
          <cell r="AL124">
            <v>0</v>
          </cell>
          <cell r="AM124">
            <v>0</v>
          </cell>
          <cell r="AN124" t="str">
            <v>CASSETTO</v>
          </cell>
          <cell r="AO124">
            <v>30</v>
          </cell>
        </row>
        <row r="125">
          <cell r="A125" t="str">
            <v>RCM_EVRL_FASCETTE_000123</v>
          </cell>
          <cell r="B125" t="str">
            <v>R.C.M.</v>
          </cell>
          <cell r="C125" t="str">
            <v>EVRL</v>
          </cell>
          <cell r="D125" t="str">
            <v>FASCETTE</v>
          </cell>
          <cell r="E125" t="str">
            <v>C.EV.FASC.LAT.TER.01</v>
          </cell>
          <cell r="F125" t="str">
            <v>FASCETTA LATTE TERMOPROTETTIVO 150 ML</v>
          </cell>
          <cell r="G125" t="str">
            <v>-</v>
          </cell>
          <cell r="H125" t="str">
            <v>GC1</v>
          </cell>
          <cell r="I125">
            <v>300</v>
          </cell>
          <cell r="J125">
            <v>0</v>
          </cell>
          <cell r="K125">
            <v>0</v>
          </cell>
          <cell r="L125">
            <v>0</v>
          </cell>
          <cell r="M125" t="str">
            <v>K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80</v>
          </cell>
          <cell r="V125">
            <v>0</v>
          </cell>
          <cell r="W125">
            <v>0</v>
          </cell>
          <cell r="X125">
            <v>0</v>
          </cell>
          <cell r="Y125" t="str">
            <v>TCP</v>
          </cell>
          <cell r="Z125" t="str">
            <v>PLASTICA OPACA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 t="str">
            <v>NO</v>
          </cell>
          <cell r="AH125">
            <v>0</v>
          </cell>
          <cell r="AI125" t="str">
            <v/>
          </cell>
          <cell r="AJ125" t="str">
            <v/>
          </cell>
          <cell r="AK125">
            <v>0</v>
          </cell>
          <cell r="AL125">
            <v>0</v>
          </cell>
          <cell r="AM125">
            <v>0</v>
          </cell>
          <cell r="AN125" t="str">
            <v>CASSETTO</v>
          </cell>
          <cell r="AO125">
            <v>30</v>
          </cell>
        </row>
      </sheetData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Stampa"/>
      <sheetName val="DB_Ordini"/>
      <sheetName val="DB_Carico"/>
      <sheetName val="DB_Giacenza"/>
      <sheetName val="DB_Scarico"/>
    </sheetNames>
    <sheetDataSet>
      <sheetData sheetId="0"/>
      <sheetData sheetId="1"/>
      <sheetData sheetId="2"/>
      <sheetData sheetId="3"/>
      <sheetData sheetId="4">
        <row r="3">
          <cell r="A3" t="str">
            <v>CR0177</v>
          </cell>
          <cell r="B3" t="str">
            <v>DuemmePack</v>
          </cell>
          <cell r="C3" t="str">
            <v>523/2022</v>
          </cell>
          <cell r="D3" t="str">
            <v>5234 - 12/10/2022</v>
          </cell>
          <cell r="E3" t="str">
            <v>Creator Star</v>
          </cell>
          <cell r="F3">
            <v>170</v>
          </cell>
          <cell r="G3">
            <v>62</v>
          </cell>
          <cell r="H3" t="str">
            <v>x</v>
          </cell>
          <cell r="I3">
            <v>92</v>
          </cell>
          <cell r="J3">
            <v>-100</v>
          </cell>
          <cell r="K3" t="str">
            <v>Tradigo</v>
          </cell>
          <cell r="L3" t="str">
            <v>Inserti Pellelife</v>
          </cell>
          <cell r="M3" t="str">
            <v>Arti Grafiche</v>
          </cell>
          <cell r="N3">
            <v>1650</v>
          </cell>
          <cell r="O3" t="str">
            <v>Esaurito</v>
          </cell>
        </row>
        <row r="4">
          <cell r="A4" t="str">
            <v>CR0001</v>
          </cell>
          <cell r="B4" t="str">
            <v>DuemmePack</v>
          </cell>
          <cell r="C4" t="str">
            <v>1484 - 14/03/2022</v>
          </cell>
          <cell r="D4" t="str">
            <v>2164 - 21/04/2022</v>
          </cell>
          <cell r="E4" t="str">
            <v>Creator Silk</v>
          </cell>
          <cell r="F4">
            <v>200</v>
          </cell>
          <cell r="G4">
            <v>89</v>
          </cell>
          <cell r="H4" t="str">
            <v>x</v>
          </cell>
          <cell r="I4">
            <v>52</v>
          </cell>
          <cell r="J4">
            <v>-100</v>
          </cell>
          <cell r="K4" t="str">
            <v>Pantytex</v>
          </cell>
          <cell r="L4" t="str">
            <v>Inserti desiree</v>
          </cell>
          <cell r="M4" t="str">
            <v>Arti Grafiche</v>
          </cell>
          <cell r="N4">
            <v>1300</v>
          </cell>
          <cell r="O4" t="str">
            <v>Esaurito</v>
          </cell>
        </row>
        <row r="5">
          <cell r="A5" t="str">
            <v>CR0002</v>
          </cell>
          <cell r="B5" t="str">
            <v>Cartiera Monzese</v>
          </cell>
          <cell r="C5" t="str">
            <v>403/2022</v>
          </cell>
          <cell r="D5" t="str">
            <v>480194694 - 12/09/2022</v>
          </cell>
          <cell r="E5" t="str">
            <v>Garda Opaca</v>
          </cell>
          <cell r="F5">
            <v>200</v>
          </cell>
          <cell r="G5">
            <v>89</v>
          </cell>
          <cell r="H5" t="str">
            <v>x</v>
          </cell>
          <cell r="I5">
            <v>52</v>
          </cell>
          <cell r="J5">
            <v>35320</v>
          </cell>
          <cell r="K5" t="str">
            <v>Pantytex/Genny</v>
          </cell>
          <cell r="L5" t="str">
            <v>Inserti C&amp;A</v>
          </cell>
          <cell r="M5" t="str">
            <v>Arti Grafiche</v>
          </cell>
          <cell r="N5">
            <v>1360</v>
          </cell>
          <cell r="O5" t="str">
            <v/>
          </cell>
        </row>
        <row r="6">
          <cell r="A6" t="str">
            <v>CR0003</v>
          </cell>
          <cell r="B6" t="str">
            <v>Polyedra</v>
          </cell>
          <cell r="C6" t="str">
            <v>7408/2021</v>
          </cell>
          <cell r="D6" t="str">
            <v>01023326 - 09/02/2022</v>
          </cell>
          <cell r="E6" t="str">
            <v>GC2 Tamfold</v>
          </cell>
          <cell r="F6">
            <v>240</v>
          </cell>
          <cell r="G6">
            <v>71</v>
          </cell>
          <cell r="H6" t="str">
            <v>x</v>
          </cell>
          <cell r="I6">
            <v>91.5</v>
          </cell>
          <cell r="J6">
            <v>71200</v>
          </cell>
          <cell r="K6" t="str">
            <v>Prontofoods</v>
          </cell>
          <cell r="L6" t="str">
            <v>Dolcificanti 60</v>
          </cell>
          <cell r="M6" t="str">
            <v>Immobiliare</v>
          </cell>
          <cell r="N6">
            <v>1555</v>
          </cell>
          <cell r="O6" t="str">
            <v/>
          </cell>
        </row>
        <row r="7">
          <cell r="A7" t="str">
            <v>CR0144</v>
          </cell>
          <cell r="B7" t="str">
            <v>Cartiera Lombarda</v>
          </cell>
          <cell r="C7" t="str">
            <v>1182/2022</v>
          </cell>
          <cell r="D7" t="str">
            <v>876 - 07/10/2022</v>
          </cell>
          <cell r="E7" t="str">
            <v>GC1 Performa White</v>
          </cell>
          <cell r="F7">
            <v>240</v>
          </cell>
          <cell r="G7">
            <v>88</v>
          </cell>
          <cell r="H7" t="str">
            <v>x</v>
          </cell>
          <cell r="I7">
            <v>55</v>
          </cell>
          <cell r="J7">
            <v>20000</v>
          </cell>
          <cell r="K7" t="str">
            <v>Pantytex</v>
          </cell>
          <cell r="L7" t="str">
            <v>Buste Hema Soffietto</v>
          </cell>
          <cell r="M7" t="str">
            <v>Immobiliare</v>
          </cell>
          <cell r="N7">
            <v>1521</v>
          </cell>
          <cell r="O7" t="str">
            <v/>
          </cell>
        </row>
        <row r="8">
          <cell r="A8" t="str">
            <v>CR0004</v>
          </cell>
          <cell r="B8" t="str">
            <v>Polyedra</v>
          </cell>
          <cell r="C8" t="str">
            <v>61/2021</v>
          </cell>
          <cell r="D8">
            <v>0</v>
          </cell>
          <cell r="E8" t="str">
            <v>GC2 Tamfold</v>
          </cell>
          <cell r="F8">
            <v>240</v>
          </cell>
          <cell r="G8">
            <v>93.5</v>
          </cell>
          <cell r="H8" t="str">
            <v>x</v>
          </cell>
          <cell r="I8">
            <v>65.5</v>
          </cell>
          <cell r="J8">
            <v>28400</v>
          </cell>
          <cell r="K8" t="str">
            <v>Prontofoods</v>
          </cell>
          <cell r="L8" t="str">
            <v>Camomille</v>
          </cell>
          <cell r="M8" t="str">
            <v>Immobiliare</v>
          </cell>
          <cell r="N8">
            <v>1160</v>
          </cell>
          <cell r="O8" t="str">
            <v/>
          </cell>
        </row>
        <row r="9">
          <cell r="A9" t="str">
            <v>CR0134</v>
          </cell>
          <cell r="B9" t="str">
            <v>Polyedra</v>
          </cell>
          <cell r="C9" t="str">
            <v>246/2022</v>
          </cell>
          <cell r="D9" t="str">
            <v>01030026 - 28/10/2022</v>
          </cell>
          <cell r="E9" t="str">
            <v>GC2 Tamfold</v>
          </cell>
          <cell r="F9">
            <v>240</v>
          </cell>
          <cell r="G9">
            <v>93.5</v>
          </cell>
          <cell r="H9" t="str">
            <v>x</v>
          </cell>
          <cell r="I9">
            <v>65.5</v>
          </cell>
          <cell r="J9">
            <v>83900</v>
          </cell>
          <cell r="K9" t="str">
            <v>Prontofoods</v>
          </cell>
          <cell r="L9" t="str">
            <v>Astucci Camomille</v>
          </cell>
          <cell r="M9" t="str">
            <v>Immobiliare</v>
          </cell>
          <cell r="N9">
            <v>1470</v>
          </cell>
          <cell r="O9" t="str">
            <v/>
          </cell>
        </row>
        <row r="10">
          <cell r="A10" t="str">
            <v>CR0145</v>
          </cell>
          <cell r="B10" t="str">
            <v>Cartiera Lombarda</v>
          </cell>
          <cell r="C10" t="str">
            <v>1182/2022</v>
          </cell>
          <cell r="D10" t="str">
            <v>903 - 17/10/2022</v>
          </cell>
          <cell r="E10" t="str">
            <v>GC1 Performa White</v>
          </cell>
          <cell r="F10">
            <v>240</v>
          </cell>
          <cell r="G10">
            <v>94.5</v>
          </cell>
          <cell r="H10" t="str">
            <v>x</v>
          </cell>
          <cell r="I10">
            <v>52</v>
          </cell>
          <cell r="J10">
            <v>9300</v>
          </cell>
          <cell r="K10" t="str">
            <v>Pantytex</v>
          </cell>
          <cell r="L10" t="str">
            <v>Buste Hema Disco</v>
          </cell>
          <cell r="M10" t="str">
            <v>Immobiliare</v>
          </cell>
          <cell r="N10">
            <v>1521</v>
          </cell>
          <cell r="O10" t="str">
            <v/>
          </cell>
        </row>
        <row r="11">
          <cell r="A11" t="str">
            <v>CR0005</v>
          </cell>
          <cell r="B11" t="str">
            <v>Cartularia</v>
          </cell>
          <cell r="C11" t="str">
            <v>378/2022</v>
          </cell>
          <cell r="D11" t="str">
            <v>3331 - 05/09/2022</v>
          </cell>
          <cell r="E11" t="str">
            <v>GC1 Perfoma White</v>
          </cell>
          <cell r="F11">
            <v>240</v>
          </cell>
          <cell r="G11">
            <v>102</v>
          </cell>
          <cell r="H11" t="str">
            <v>x</v>
          </cell>
          <cell r="I11">
            <v>56</v>
          </cell>
          <cell r="J11">
            <v>25900</v>
          </cell>
          <cell r="K11" t="str">
            <v>Pantytex</v>
          </cell>
          <cell r="L11" t="str">
            <v>Buste HKM Soffietto</v>
          </cell>
          <cell r="M11" t="str">
            <v>Immobiliare</v>
          </cell>
          <cell r="N11">
            <v>1530</v>
          </cell>
          <cell r="O11" t="str">
            <v/>
          </cell>
        </row>
        <row r="12">
          <cell r="A12" t="str">
            <v>CR0006</v>
          </cell>
          <cell r="B12" t="str">
            <v>Cartularia</v>
          </cell>
          <cell r="C12" t="str">
            <v>359/2021</v>
          </cell>
          <cell r="D12" t="str">
            <v>3331 - 05/09/2022</v>
          </cell>
          <cell r="E12" t="str">
            <v>GC1 Perfoma White</v>
          </cell>
          <cell r="F12">
            <v>240</v>
          </cell>
          <cell r="G12">
            <v>102</v>
          </cell>
          <cell r="H12" t="str">
            <v>x</v>
          </cell>
          <cell r="I12">
            <v>59</v>
          </cell>
          <cell r="J12">
            <v>-100</v>
          </cell>
          <cell r="K12" t="str">
            <v>Pantytex</v>
          </cell>
          <cell r="L12" t="str">
            <v>Buste HKM Disco</v>
          </cell>
          <cell r="M12" t="str">
            <v>Immobiliare</v>
          </cell>
          <cell r="N12">
            <v>1530</v>
          </cell>
          <cell r="O12" t="str">
            <v>Esaurito</v>
          </cell>
        </row>
        <row r="13">
          <cell r="A13" t="str">
            <v>CR0179</v>
          </cell>
          <cell r="B13" t="str">
            <v>Cartularia</v>
          </cell>
          <cell r="C13" t="str">
            <v>518/2022</v>
          </cell>
          <cell r="D13" t="str">
            <v>3935 - 11/10/2022</v>
          </cell>
          <cell r="E13" t="str">
            <v>GC1 Perfoma White</v>
          </cell>
          <cell r="F13">
            <v>240</v>
          </cell>
          <cell r="G13">
            <v>102</v>
          </cell>
          <cell r="H13" t="str">
            <v>x</v>
          </cell>
          <cell r="I13">
            <v>59</v>
          </cell>
          <cell r="J13">
            <v>35800</v>
          </cell>
          <cell r="K13" t="str">
            <v>Pantytex</v>
          </cell>
          <cell r="L13" t="str">
            <v>Buste HKM Disco</v>
          </cell>
          <cell r="M13" t="str">
            <v>Immobiliare</v>
          </cell>
          <cell r="N13">
            <v>1530</v>
          </cell>
          <cell r="O13" t="str">
            <v/>
          </cell>
        </row>
        <row r="14">
          <cell r="A14" t="str">
            <v>CR0008</v>
          </cell>
          <cell r="B14" t="str">
            <v>ProntoPack</v>
          </cell>
          <cell r="C14" t="str">
            <v>233/2022</v>
          </cell>
          <cell r="D14" t="str">
            <v>1000006404 - 31/05/2022</v>
          </cell>
          <cell r="E14" t="str">
            <v>GC1 Pro Bright</v>
          </cell>
          <cell r="F14">
            <v>245</v>
          </cell>
          <cell r="G14">
            <v>52</v>
          </cell>
          <cell r="H14" t="str">
            <v>x</v>
          </cell>
          <cell r="I14">
            <v>94.5</v>
          </cell>
          <cell r="J14">
            <v>7000</v>
          </cell>
          <cell r="K14" t="str">
            <v>Pantytex</v>
          </cell>
          <cell r="L14" t="str">
            <v>Buste Hema Disco</v>
          </cell>
          <cell r="M14" t="str">
            <v>Immobiliare</v>
          </cell>
          <cell r="N14">
            <v>1820</v>
          </cell>
          <cell r="O14" t="str">
            <v/>
          </cell>
        </row>
        <row r="15">
          <cell r="A15" t="str">
            <v>CR0011</v>
          </cell>
          <cell r="B15" t="str">
            <v>ProntoPack</v>
          </cell>
          <cell r="C15" t="str">
            <v>30597/2022</v>
          </cell>
          <cell r="D15" t="str">
            <v>1000006864 - 14/06/2022</v>
          </cell>
          <cell r="E15" t="str">
            <v>GC1 Pro Bright</v>
          </cell>
          <cell r="F15">
            <v>245</v>
          </cell>
          <cell r="G15">
            <v>54</v>
          </cell>
          <cell r="H15" t="str">
            <v>x</v>
          </cell>
          <cell r="I15">
            <v>92.5</v>
          </cell>
          <cell r="J15">
            <v>15200</v>
          </cell>
          <cell r="K15" t="str">
            <v>Pantytex</v>
          </cell>
          <cell r="L15" t="str">
            <v>Astucci Kruidvart D12</v>
          </cell>
          <cell r="M15" t="str">
            <v>Arti Grafiche</v>
          </cell>
          <cell r="N15">
            <v>1820</v>
          </cell>
          <cell r="O15" t="str">
            <v/>
          </cell>
        </row>
        <row r="16">
          <cell r="A16" t="str">
            <v>CR0121</v>
          </cell>
          <cell r="B16" t="str">
            <v>ProntoPack</v>
          </cell>
          <cell r="C16" t="str">
            <v>30603/2022</v>
          </cell>
          <cell r="D16" t="str">
            <v>1000010651 - 15/09/2022</v>
          </cell>
          <cell r="E16" t="str">
            <v>MB Pro FBB Bright</v>
          </cell>
          <cell r="F16">
            <v>245</v>
          </cell>
          <cell r="G16">
            <v>54</v>
          </cell>
          <cell r="H16" t="str">
            <v>x</v>
          </cell>
          <cell r="I16">
            <v>92.5</v>
          </cell>
          <cell r="J16">
            <v>40130</v>
          </cell>
          <cell r="K16" t="str">
            <v>Pantytex</v>
          </cell>
          <cell r="L16" t="str">
            <v>Astucci Kruidvat D12</v>
          </cell>
          <cell r="M16" t="str">
            <v>Arti Grafiche</v>
          </cell>
          <cell r="N16">
            <v>1820</v>
          </cell>
          <cell r="O16" t="str">
            <v/>
          </cell>
        </row>
        <row r="17">
          <cell r="A17" t="str">
            <v>CR0009</v>
          </cell>
          <cell r="B17" t="str">
            <v>ProntoPack</v>
          </cell>
          <cell r="C17" t="str">
            <v>233/2022</v>
          </cell>
          <cell r="D17" t="str">
            <v>1000006470 - 01/06/2022</v>
          </cell>
          <cell r="E17" t="str">
            <v>GC1 Pro Bright</v>
          </cell>
          <cell r="F17">
            <v>245</v>
          </cell>
          <cell r="G17">
            <v>55</v>
          </cell>
          <cell r="H17" t="str">
            <v>x</v>
          </cell>
          <cell r="I17">
            <v>88</v>
          </cell>
          <cell r="J17">
            <v>6500</v>
          </cell>
          <cell r="K17" t="str">
            <v>Pantytex</v>
          </cell>
          <cell r="L17" t="str">
            <v>Buste Hema Soffietto</v>
          </cell>
          <cell r="M17" t="str">
            <v>Immobiliare</v>
          </cell>
          <cell r="N17">
            <v>1795</v>
          </cell>
          <cell r="O17" t="str">
            <v/>
          </cell>
        </row>
        <row r="18">
          <cell r="A18" t="str">
            <v>CR0113</v>
          </cell>
          <cell r="B18" t="str">
            <v>ProntoPack</v>
          </cell>
          <cell r="C18" t="str">
            <v>30600/2022</v>
          </cell>
          <cell r="D18" t="str">
            <v>1000010650 - 15/09/2022</v>
          </cell>
          <cell r="E18" t="str">
            <v>MB Pro FBB Bright</v>
          </cell>
          <cell r="F18">
            <v>245</v>
          </cell>
          <cell r="G18">
            <v>56</v>
          </cell>
          <cell r="H18" t="str">
            <v>x</v>
          </cell>
          <cell r="I18">
            <v>95.5</v>
          </cell>
          <cell r="J18">
            <v>30000</v>
          </cell>
          <cell r="K18" t="str">
            <v>Pantytex</v>
          </cell>
          <cell r="L18" t="str">
            <v>Astucci Kruidvat D20</v>
          </cell>
          <cell r="M18" t="str">
            <v>Arti Grafiche</v>
          </cell>
          <cell r="N18">
            <v>1820</v>
          </cell>
          <cell r="O18" t="str">
            <v/>
          </cell>
        </row>
        <row r="19">
          <cell r="A19" t="str">
            <v>CR0120</v>
          </cell>
          <cell r="B19" t="str">
            <v>ProntoPack</v>
          </cell>
          <cell r="C19" t="str">
            <v>30603/2022</v>
          </cell>
          <cell r="D19" t="str">
            <v>1000010651 - 15/09/2022</v>
          </cell>
          <cell r="E19" t="str">
            <v>MB Pro FBB Bright</v>
          </cell>
          <cell r="F19">
            <v>245</v>
          </cell>
          <cell r="G19">
            <v>57.5</v>
          </cell>
          <cell r="H19" t="str">
            <v>x</v>
          </cell>
          <cell r="I19">
            <v>103</v>
          </cell>
          <cell r="J19">
            <v>20000</v>
          </cell>
          <cell r="K19" t="str">
            <v>Pantytex</v>
          </cell>
          <cell r="L19" t="str">
            <v>Astucci Kruidvat D25</v>
          </cell>
          <cell r="M19" t="str">
            <v>Arti Grafiche</v>
          </cell>
          <cell r="N19">
            <v>1820</v>
          </cell>
          <cell r="O19" t="str">
            <v/>
          </cell>
        </row>
        <row r="20">
          <cell r="A20" t="str">
            <v>CR0014</v>
          </cell>
          <cell r="B20" t="str">
            <v>ProntoPack</v>
          </cell>
          <cell r="C20" t="str">
            <v>3315/2022</v>
          </cell>
          <cell r="D20" t="str">
            <v>1000010133 - 07/09/2022</v>
          </cell>
          <cell r="E20" t="str">
            <v>MB Pro FBB Bright</v>
          </cell>
          <cell r="F20">
            <v>245</v>
          </cell>
          <cell r="G20">
            <v>58.5</v>
          </cell>
          <cell r="H20" t="str">
            <v>x</v>
          </cell>
          <cell r="I20">
            <v>81</v>
          </cell>
          <cell r="J20">
            <v>20000</v>
          </cell>
          <cell r="K20" t="str">
            <v>Pantytex</v>
          </cell>
          <cell r="L20" t="str">
            <v>Astucci Hema Bassi</v>
          </cell>
          <cell r="M20" t="str">
            <v>Arti Grafiche</v>
          </cell>
          <cell r="N20">
            <v>1855</v>
          </cell>
          <cell r="O20" t="str">
            <v/>
          </cell>
        </row>
        <row r="21">
          <cell r="A21" t="str">
            <v>CR0012</v>
          </cell>
          <cell r="B21" t="str">
            <v>ProntoPack</v>
          </cell>
          <cell r="C21" t="str">
            <v>245/2022</v>
          </cell>
          <cell r="D21" t="str">
            <v>1000009205 - 02/08/2022</v>
          </cell>
          <cell r="E21" t="str">
            <v>GC1 Pro Bright</v>
          </cell>
          <cell r="F21">
            <v>245</v>
          </cell>
          <cell r="G21">
            <v>59</v>
          </cell>
          <cell r="H21" t="str">
            <v>x</v>
          </cell>
          <cell r="I21">
            <v>102</v>
          </cell>
          <cell r="J21">
            <v>15000</v>
          </cell>
          <cell r="K21" t="str">
            <v>Pantytex</v>
          </cell>
          <cell r="L21" t="str">
            <v>Buste HKM Disco</v>
          </cell>
          <cell r="M21" t="str">
            <v>Immobiliare</v>
          </cell>
          <cell r="N21">
            <v>1820</v>
          </cell>
          <cell r="O21" t="str">
            <v/>
          </cell>
        </row>
        <row r="22">
          <cell r="A22" t="str">
            <v>CR0013</v>
          </cell>
          <cell r="B22" t="str">
            <v>ProntoPack</v>
          </cell>
          <cell r="C22" t="str">
            <v>31596/2022</v>
          </cell>
          <cell r="D22" t="str">
            <v>1000009885 - 05/09/2022</v>
          </cell>
          <cell r="E22" t="str">
            <v>MB Pro FBB Bright</v>
          </cell>
          <cell r="F22">
            <v>245</v>
          </cell>
          <cell r="G22">
            <v>95</v>
          </cell>
          <cell r="H22" t="str">
            <v>x</v>
          </cell>
          <cell r="I22">
            <v>58</v>
          </cell>
          <cell r="J22">
            <v>16200</v>
          </cell>
          <cell r="K22" t="str">
            <v>Pantytex</v>
          </cell>
          <cell r="L22" t="str">
            <v>Buste Hema Gambaletto</v>
          </cell>
          <cell r="M22" t="str">
            <v>Immobiliare</v>
          </cell>
          <cell r="N22">
            <v>1820</v>
          </cell>
          <cell r="O22" t="str">
            <v/>
          </cell>
        </row>
        <row r="23">
          <cell r="A23" t="str">
            <v>CR0124</v>
          </cell>
          <cell r="B23" t="str">
            <v>C86 Distribuzione</v>
          </cell>
          <cell r="C23" t="str">
            <v>490/2022</v>
          </cell>
          <cell r="D23" t="str">
            <v>4842/22 - 16/09/22</v>
          </cell>
          <cell r="E23" t="str">
            <v>GC1 Zenith</v>
          </cell>
          <cell r="F23">
            <v>250</v>
          </cell>
          <cell r="G23">
            <v>55.5</v>
          </cell>
          <cell r="H23" t="str">
            <v>x</v>
          </cell>
          <cell r="I23">
            <v>59.5</v>
          </cell>
          <cell r="J23">
            <v>-100</v>
          </cell>
          <cell r="K23" t="str">
            <v>Jbs</v>
          </cell>
          <cell r="L23" t="str">
            <v>Buste Decoy gambaletti</v>
          </cell>
          <cell r="M23" t="str">
            <v>Arti Grafiche</v>
          </cell>
          <cell r="N23">
            <v>1950</v>
          </cell>
          <cell r="O23" t="str">
            <v>Esaurito</v>
          </cell>
        </row>
        <row r="24">
          <cell r="A24" t="str">
            <v>CR0170</v>
          </cell>
          <cell r="B24" t="str">
            <v>Emmaus</v>
          </cell>
          <cell r="C24" t="str">
            <v>515/2022</v>
          </cell>
          <cell r="D24" t="str">
            <v>27/0/6176 - 05/10</v>
          </cell>
          <cell r="E24" t="str">
            <v>115 B/G</v>
          </cell>
          <cell r="F24">
            <v>250</v>
          </cell>
          <cell r="G24">
            <v>59</v>
          </cell>
          <cell r="H24" t="str">
            <v>x</v>
          </cell>
          <cell r="I24">
            <v>71</v>
          </cell>
          <cell r="J24">
            <v>-100</v>
          </cell>
          <cell r="K24" t="str">
            <v>O.R.</v>
          </cell>
          <cell r="L24" t="str">
            <v>Scatole 10/4 Italy</v>
          </cell>
          <cell r="M24" t="str">
            <v>Arti Grafiche</v>
          </cell>
          <cell r="N24">
            <v>1255</v>
          </cell>
          <cell r="O24" t="str">
            <v>Esaurito</v>
          </cell>
        </row>
        <row r="25">
          <cell r="A25" t="str">
            <v>CR0169</v>
          </cell>
          <cell r="B25" t="str">
            <v>Emmaus</v>
          </cell>
          <cell r="C25" t="str">
            <v>515/2022</v>
          </cell>
          <cell r="D25" t="str">
            <v>27/0/6176 - 05/10</v>
          </cell>
          <cell r="E25" t="str">
            <v>115 B/G</v>
          </cell>
          <cell r="F25">
            <v>250</v>
          </cell>
          <cell r="G25">
            <v>59.5</v>
          </cell>
          <cell r="H25" t="str">
            <v>x</v>
          </cell>
          <cell r="I25">
            <v>76</v>
          </cell>
          <cell r="J25">
            <v>-100</v>
          </cell>
          <cell r="K25" t="str">
            <v>O.R.</v>
          </cell>
          <cell r="L25" t="str">
            <v>Scatole Alba 10/4</v>
          </cell>
          <cell r="M25" t="str">
            <v>Arti Grafiche</v>
          </cell>
          <cell r="N25">
            <v>1255</v>
          </cell>
          <cell r="O25" t="str">
            <v>Esaurito</v>
          </cell>
        </row>
        <row r="26">
          <cell r="A26" t="str">
            <v>CR0022</v>
          </cell>
          <cell r="B26" t="str">
            <v>Emmaus</v>
          </cell>
          <cell r="C26" t="str">
            <v>476/2022</v>
          </cell>
          <cell r="D26" t="str">
            <v>27/0/5633 - 09/09/2022</v>
          </cell>
          <cell r="E26" t="str">
            <v>GC2 RCT</v>
          </cell>
          <cell r="F26">
            <v>250</v>
          </cell>
          <cell r="G26">
            <v>61</v>
          </cell>
          <cell r="H26" t="str">
            <v>x</v>
          </cell>
          <cell r="I26">
            <v>98</v>
          </cell>
          <cell r="J26">
            <v>-100</v>
          </cell>
          <cell r="K26" t="str">
            <v>Tracy</v>
          </cell>
          <cell r="L26" t="str">
            <v>Appendini Gemo</v>
          </cell>
          <cell r="M26" t="str">
            <v>Arti Grafiche</v>
          </cell>
          <cell r="N26">
            <v>1470</v>
          </cell>
          <cell r="O26" t="str">
            <v>Esaurito</v>
          </cell>
        </row>
        <row r="27">
          <cell r="A27" t="str">
            <v>CR0010</v>
          </cell>
          <cell r="B27" t="str">
            <v>ProntoPack</v>
          </cell>
          <cell r="C27" t="str">
            <v>30124/20222</v>
          </cell>
          <cell r="D27" t="str">
            <v>1000006596 - 06/06/2022</v>
          </cell>
          <cell r="E27" t="str">
            <v>GC1 Pro Bright</v>
          </cell>
          <cell r="F27">
            <v>245</v>
          </cell>
          <cell r="G27">
            <v>102</v>
          </cell>
          <cell r="H27" t="str">
            <v>x</v>
          </cell>
          <cell r="I27">
            <v>56</v>
          </cell>
          <cell r="J27">
            <v>6300</v>
          </cell>
          <cell r="K27" t="str">
            <v>Pantytex</v>
          </cell>
          <cell r="L27" t="str">
            <v>Buste HKM Soffietto</v>
          </cell>
          <cell r="M27" t="str">
            <v>Immobiliare</v>
          </cell>
          <cell r="N27">
            <v>1820</v>
          </cell>
          <cell r="O27" t="str">
            <v/>
          </cell>
        </row>
        <row r="28">
          <cell r="A28" t="str">
            <v>CR0112</v>
          </cell>
          <cell r="B28" t="str">
            <v>Fedrigoni</v>
          </cell>
          <cell r="C28" t="str">
            <v>458/2022</v>
          </cell>
          <cell r="D28" t="str">
            <v>-</v>
          </cell>
          <cell r="E28" t="str">
            <v xml:space="preserve">Splendidlux </v>
          </cell>
          <cell r="F28">
            <v>250</v>
          </cell>
          <cell r="G28">
            <v>70</v>
          </cell>
          <cell r="H28" t="str">
            <v>x</v>
          </cell>
          <cell r="I28">
            <v>100</v>
          </cell>
          <cell r="J28">
            <v>-100</v>
          </cell>
          <cell r="K28" t="str">
            <v>Pantytex</v>
          </cell>
          <cell r="L28" t="str">
            <v>Hema Tirelle</v>
          </cell>
          <cell r="M28" t="str">
            <v>Arti Grafiche</v>
          </cell>
          <cell r="N28">
            <v>1932</v>
          </cell>
          <cell r="O28" t="str">
            <v>Esaurito</v>
          </cell>
        </row>
        <row r="29">
          <cell r="A29" t="str">
            <v>CR0019</v>
          </cell>
          <cell r="B29" t="str">
            <v>ProntoPack</v>
          </cell>
          <cell r="C29" t="str">
            <v>188/2022</v>
          </cell>
          <cell r="D29" t="str">
            <v>54-524-10-01773 - 07/04/2022</v>
          </cell>
          <cell r="E29" t="str">
            <v>GC2 Maule</v>
          </cell>
          <cell r="F29">
            <v>250</v>
          </cell>
          <cell r="G29">
            <v>63</v>
          </cell>
          <cell r="H29" t="str">
            <v>x</v>
          </cell>
          <cell r="I29">
            <v>90</v>
          </cell>
          <cell r="J29">
            <v>-100</v>
          </cell>
          <cell r="K29" t="str">
            <v>Pantytex</v>
          </cell>
          <cell r="L29" t="str">
            <v>Astucci Hema D50</v>
          </cell>
          <cell r="M29" t="str">
            <v>Immobiliare</v>
          </cell>
          <cell r="N29">
            <v>1580</v>
          </cell>
          <cell r="O29" t="str">
            <v>Esaurito</v>
          </cell>
        </row>
        <row r="30">
          <cell r="A30" t="str">
            <v>CR0015</v>
          </cell>
          <cell r="B30" t="str">
            <v>Abbondi</v>
          </cell>
          <cell r="C30" t="str">
            <v>348/2022</v>
          </cell>
          <cell r="D30" t="str">
            <v>348 - 12/05/2022</v>
          </cell>
          <cell r="E30" t="str">
            <v>GC1 Aegle White</v>
          </cell>
          <cell r="F30">
            <v>250</v>
          </cell>
          <cell r="G30">
            <v>72</v>
          </cell>
          <cell r="H30" t="str">
            <v>x</v>
          </cell>
          <cell r="I30">
            <v>102</v>
          </cell>
          <cell r="J30">
            <v>-400</v>
          </cell>
          <cell r="K30">
            <v>0</v>
          </cell>
          <cell r="L30">
            <v>0</v>
          </cell>
          <cell r="M30" t="str">
            <v>Immobiliare</v>
          </cell>
          <cell r="N30">
            <v>1750</v>
          </cell>
          <cell r="O30" t="str">
            <v>Esaurito</v>
          </cell>
        </row>
        <row r="31">
          <cell r="A31" t="str">
            <v>CR0153</v>
          </cell>
          <cell r="B31" t="str">
            <v>Emmaus</v>
          </cell>
          <cell r="C31" t="str">
            <v>498/2022</v>
          </cell>
          <cell r="D31" t="str">
            <v>27/0/5840 - 19/09/2022</v>
          </cell>
          <cell r="E31" t="str">
            <v>115 B/G</v>
          </cell>
          <cell r="F31">
            <v>250</v>
          </cell>
          <cell r="G31">
            <v>73</v>
          </cell>
          <cell r="H31" t="str">
            <v>x</v>
          </cell>
          <cell r="I31">
            <v>60</v>
          </cell>
          <cell r="J31">
            <v>-100</v>
          </cell>
          <cell r="K31" t="str">
            <v>Quaranta</v>
          </cell>
          <cell r="L31" t="str">
            <v>Contenitori Quaranta</v>
          </cell>
          <cell r="M31" t="str">
            <v>Arti Grafiche</v>
          </cell>
          <cell r="N31">
            <v>1235</v>
          </cell>
          <cell r="O31" t="str">
            <v>Esaurito</v>
          </cell>
        </row>
        <row r="32">
          <cell r="A32" t="str">
            <v>CR0173</v>
          </cell>
          <cell r="B32" t="str">
            <v>Emmaus</v>
          </cell>
          <cell r="C32" t="str">
            <v>529/2022</v>
          </cell>
          <cell r="D32" t="str">
            <v>27/0/6336 - 12/10/2022</v>
          </cell>
          <cell r="E32" t="str">
            <v>115 B/G</v>
          </cell>
          <cell r="F32">
            <v>250</v>
          </cell>
          <cell r="G32">
            <v>73.5</v>
          </cell>
          <cell r="H32" t="str">
            <v>x</v>
          </cell>
          <cell r="I32">
            <v>50</v>
          </cell>
          <cell r="J32">
            <v>-100</v>
          </cell>
          <cell r="K32" t="str">
            <v>O.R.</v>
          </cell>
          <cell r="L32" t="str">
            <v>Scatole Alba 12/5</v>
          </cell>
          <cell r="M32" t="str">
            <v>Arti Grafiche</v>
          </cell>
          <cell r="N32">
            <v>1255</v>
          </cell>
          <cell r="O32" t="str">
            <v>Esaurito</v>
          </cell>
        </row>
        <row r="33">
          <cell r="A33" t="str">
            <v>CR0016</v>
          </cell>
          <cell r="B33" t="str">
            <v>Abbondi</v>
          </cell>
          <cell r="C33">
            <v>0</v>
          </cell>
          <cell r="D33">
            <v>0</v>
          </cell>
          <cell r="E33" t="str">
            <v>GC1 Zenith</v>
          </cell>
          <cell r="F33">
            <v>250</v>
          </cell>
          <cell r="G33">
            <v>72</v>
          </cell>
          <cell r="H33" t="str">
            <v>x</v>
          </cell>
          <cell r="I33">
            <v>102</v>
          </cell>
          <cell r="J33">
            <v>13050</v>
          </cell>
          <cell r="K33">
            <v>0</v>
          </cell>
          <cell r="L33">
            <v>0</v>
          </cell>
          <cell r="M33" t="str">
            <v>Immobiliare</v>
          </cell>
          <cell r="N33">
            <v>1750</v>
          </cell>
          <cell r="O33" t="str">
            <v/>
          </cell>
        </row>
        <row r="34">
          <cell r="A34" t="str">
            <v>CR0023</v>
          </cell>
          <cell r="B34" t="str">
            <v>Emmaus</v>
          </cell>
          <cell r="C34" t="str">
            <v>487/2022</v>
          </cell>
          <cell r="D34" t="str">
            <v>27/0/5707 - 13/09/2022</v>
          </cell>
          <cell r="E34" t="str">
            <v>112 B/G</v>
          </cell>
          <cell r="F34">
            <v>250</v>
          </cell>
          <cell r="G34">
            <v>85.5</v>
          </cell>
          <cell r="H34" t="str">
            <v>x</v>
          </cell>
          <cell r="I34">
            <v>55</v>
          </cell>
          <cell r="J34">
            <v>-100</v>
          </cell>
          <cell r="K34" t="str">
            <v>O.erre</v>
          </cell>
          <cell r="L34" t="str">
            <v>Diverso 80</v>
          </cell>
          <cell r="M34" t="str">
            <v>Arti Grafiche</v>
          </cell>
          <cell r="N34">
            <v>1255</v>
          </cell>
          <cell r="O34" t="str">
            <v>Esaurito</v>
          </cell>
        </row>
        <row r="35">
          <cell r="A35" t="str">
            <v>CR0149</v>
          </cell>
          <cell r="B35" t="str">
            <v>Emmaus</v>
          </cell>
          <cell r="C35" t="str">
            <v>495/2022</v>
          </cell>
          <cell r="D35" t="str">
            <v>27/0/5840 - 19/09/2022</v>
          </cell>
          <cell r="E35" t="str">
            <v>115 B/G</v>
          </cell>
          <cell r="F35">
            <v>250</v>
          </cell>
          <cell r="G35">
            <v>89</v>
          </cell>
          <cell r="H35" t="str">
            <v>x</v>
          </cell>
          <cell r="I35">
            <v>50</v>
          </cell>
          <cell r="J35">
            <v>-100</v>
          </cell>
          <cell r="K35" t="str">
            <v>Quaranta</v>
          </cell>
          <cell r="L35" t="str">
            <v>Espositore Nuts Patinata</v>
          </cell>
          <cell r="M35" t="str">
            <v>Arti Grafiche</v>
          </cell>
          <cell r="N35">
            <v>1255</v>
          </cell>
          <cell r="O35" t="str">
            <v>Esaurito</v>
          </cell>
        </row>
        <row r="36">
          <cell r="A36" t="str">
            <v>CR0126</v>
          </cell>
          <cell r="B36" t="str">
            <v>C86 Distribuzione</v>
          </cell>
          <cell r="C36" t="str">
            <v>490/2022</v>
          </cell>
          <cell r="D36" t="str">
            <v>4842/22 - 16/09/22</v>
          </cell>
          <cell r="E36" t="str">
            <v>GC1 Zenith</v>
          </cell>
          <cell r="F36">
            <v>250</v>
          </cell>
          <cell r="G36">
            <v>75</v>
          </cell>
          <cell r="H36" t="str">
            <v>x</v>
          </cell>
          <cell r="I36">
            <v>61.5</v>
          </cell>
          <cell r="J36">
            <v>3000</v>
          </cell>
          <cell r="K36" t="str">
            <v>Jbs</v>
          </cell>
          <cell r="L36" t="str">
            <v>VRS Medium</v>
          </cell>
          <cell r="M36" t="str">
            <v>Arti Grafiche</v>
          </cell>
          <cell r="N36">
            <v>1950</v>
          </cell>
          <cell r="O36" t="str">
            <v/>
          </cell>
        </row>
        <row r="37">
          <cell r="A37" t="str">
            <v>CR0125</v>
          </cell>
          <cell r="B37" t="str">
            <v>C86 Distribuzione</v>
          </cell>
          <cell r="C37" t="str">
            <v>490/2022</v>
          </cell>
          <cell r="D37" t="str">
            <v>4842/22 - 16/09/22</v>
          </cell>
          <cell r="E37" t="str">
            <v>GC1 Zenith</v>
          </cell>
          <cell r="F37">
            <v>250</v>
          </cell>
          <cell r="G37">
            <v>90</v>
          </cell>
          <cell r="H37" t="str">
            <v>x</v>
          </cell>
          <cell r="I37">
            <v>58.5</v>
          </cell>
          <cell r="J37">
            <v>4000</v>
          </cell>
          <cell r="K37" t="str">
            <v>Jbs</v>
          </cell>
          <cell r="L37" t="str">
            <v>VRS Small</v>
          </cell>
          <cell r="M37" t="str">
            <v>Arti Grafiche</v>
          </cell>
          <cell r="N37">
            <v>1950</v>
          </cell>
          <cell r="O37" t="str">
            <v/>
          </cell>
        </row>
        <row r="38">
          <cell r="A38" t="str">
            <v>CR0188</v>
          </cell>
          <cell r="B38" t="str">
            <v>Emmaus</v>
          </cell>
          <cell r="C38" t="str">
            <v>536/2022</v>
          </cell>
          <cell r="D38" t="str">
            <v>27/0/6368 - 14/10/2022</v>
          </cell>
          <cell r="E38" t="str">
            <v>115 B/G</v>
          </cell>
          <cell r="F38">
            <v>250</v>
          </cell>
          <cell r="G38">
            <v>96</v>
          </cell>
          <cell r="H38" t="str">
            <v>x</v>
          </cell>
          <cell r="I38">
            <v>50</v>
          </cell>
          <cell r="J38">
            <v>-100</v>
          </cell>
          <cell r="K38" t="str">
            <v>Gandola</v>
          </cell>
          <cell r="L38" t="str">
            <v>Contenitore Lindt</v>
          </cell>
          <cell r="M38" t="str">
            <v>Arti Grafiche</v>
          </cell>
          <cell r="N38">
            <v>1375</v>
          </cell>
          <cell r="O38" t="str">
            <v>Esaurito</v>
          </cell>
        </row>
        <row r="39">
          <cell r="A39" t="str">
            <v>CR0018</v>
          </cell>
          <cell r="B39" t="str">
            <v>ProntoPack</v>
          </cell>
          <cell r="C39" t="str">
            <v>119/2021</v>
          </cell>
          <cell r="D39" t="str">
            <v>1000003415 - 18/03/2022</v>
          </cell>
          <cell r="E39" t="str">
            <v>GC1 Pro Bright</v>
          </cell>
          <cell r="F39">
            <v>250</v>
          </cell>
          <cell r="G39">
            <v>94.5</v>
          </cell>
          <cell r="H39" t="str">
            <v>x</v>
          </cell>
          <cell r="I39">
            <v>52</v>
          </cell>
          <cell r="J39">
            <v>7400</v>
          </cell>
          <cell r="K39" t="str">
            <v>Pantytex</v>
          </cell>
          <cell r="L39" t="str">
            <v>Buste Hema Disco</v>
          </cell>
          <cell r="M39" t="str">
            <v>Immobiliare</v>
          </cell>
          <cell r="N39">
            <v>1640</v>
          </cell>
          <cell r="O39" t="str">
            <v/>
          </cell>
        </row>
        <row r="40">
          <cell r="A40" t="str">
            <v>CR0021</v>
          </cell>
          <cell r="B40" t="str">
            <v>Emmaus</v>
          </cell>
          <cell r="C40" t="str">
            <v>470/2022</v>
          </cell>
          <cell r="D40" t="str">
            <v>27/0/5509 - 06/09/2022</v>
          </cell>
          <cell r="E40" t="str">
            <v>115 B/G</v>
          </cell>
          <cell r="F40">
            <v>250</v>
          </cell>
          <cell r="G40">
            <v>101.5</v>
          </cell>
          <cell r="H40" t="str">
            <v>x</v>
          </cell>
          <cell r="I40">
            <v>69</v>
          </cell>
          <cell r="J40">
            <v>-100</v>
          </cell>
          <cell r="K40" t="str">
            <v>Fortis</v>
          </cell>
          <cell r="L40" t="str">
            <v>Bauletti DEGT</v>
          </cell>
          <cell r="M40" t="str">
            <v>Arti Grafiche</v>
          </cell>
          <cell r="N40">
            <v>1085</v>
          </cell>
          <cell r="O40" t="str">
            <v>Esaurito</v>
          </cell>
        </row>
        <row r="41">
          <cell r="A41" t="str">
            <v>CR0020</v>
          </cell>
          <cell r="B41" t="str">
            <v>Emmaus</v>
          </cell>
          <cell r="C41" t="str">
            <v>C22 004859</v>
          </cell>
          <cell r="D41" t="str">
            <v>27/0/4489 01/07/2022</v>
          </cell>
          <cell r="E41" t="str">
            <v>GC2 RCT</v>
          </cell>
          <cell r="F41">
            <v>250</v>
          </cell>
          <cell r="G41">
            <v>99.5</v>
          </cell>
          <cell r="H41" t="str">
            <v>x</v>
          </cell>
          <cell r="I41">
            <v>57.5</v>
          </cell>
          <cell r="J41">
            <v>17200</v>
          </cell>
          <cell r="K41" t="str">
            <v>Pantytex</v>
          </cell>
          <cell r="L41" t="str">
            <v>Appendini Action</v>
          </cell>
          <cell r="M41" t="str">
            <v>Immobiliare</v>
          </cell>
          <cell r="N41">
            <v>1420</v>
          </cell>
          <cell r="O41" t="str">
            <v/>
          </cell>
        </row>
        <row r="42">
          <cell r="A42" t="str">
            <v>CR0017</v>
          </cell>
          <cell r="B42" t="str">
            <v>ProntoPack</v>
          </cell>
          <cell r="C42">
            <v>26904</v>
          </cell>
          <cell r="D42" t="str">
            <v>1000003827 - 29/03/2022</v>
          </cell>
          <cell r="E42" t="str">
            <v>GC1 Pro Bright</v>
          </cell>
          <cell r="F42">
            <v>250</v>
          </cell>
          <cell r="G42">
            <v>102</v>
          </cell>
          <cell r="H42" t="str">
            <v>x</v>
          </cell>
          <cell r="I42">
            <v>59</v>
          </cell>
          <cell r="J42">
            <v>19000</v>
          </cell>
          <cell r="K42" t="str">
            <v>Pantytex</v>
          </cell>
          <cell r="L42" t="str">
            <v>Buste HKM Disco</v>
          </cell>
          <cell r="M42" t="str">
            <v>Immobiliare</v>
          </cell>
          <cell r="N42">
            <v>1615</v>
          </cell>
          <cell r="O42" t="str">
            <v/>
          </cell>
        </row>
        <row r="43">
          <cell r="A43" t="str">
            <v>CR0026</v>
          </cell>
          <cell r="B43" t="str">
            <v>C86 Distribuzione</v>
          </cell>
          <cell r="C43" t="str">
            <v>25/2022</v>
          </cell>
          <cell r="D43" t="str">
            <v>786 - 12/02/2022</v>
          </cell>
          <cell r="E43" t="str">
            <v>GC1 Aegle White</v>
          </cell>
          <cell r="F43">
            <v>255</v>
          </cell>
          <cell r="G43">
            <v>61</v>
          </cell>
          <cell r="H43" t="str">
            <v>x</v>
          </cell>
          <cell r="I43">
            <v>68</v>
          </cell>
          <cell r="J43">
            <v>3800</v>
          </cell>
          <cell r="K43" t="str">
            <v>Pantytex</v>
          </cell>
          <cell r="L43" t="str">
            <v>Astucci To Go</v>
          </cell>
          <cell r="M43" t="str">
            <v>Immobiliare</v>
          </cell>
          <cell r="N43">
            <v>1600</v>
          </cell>
          <cell r="O43" t="str">
            <v/>
          </cell>
        </row>
        <row r="44">
          <cell r="A44" t="str">
            <v>CR0028</v>
          </cell>
          <cell r="B44" t="str">
            <v>Polyedra</v>
          </cell>
          <cell r="C44">
            <v>0</v>
          </cell>
          <cell r="D44">
            <v>0</v>
          </cell>
          <cell r="E44" t="str">
            <v>GC1 Poplar Super</v>
          </cell>
          <cell r="F44">
            <v>255</v>
          </cell>
          <cell r="G44">
            <v>66</v>
          </cell>
          <cell r="H44" t="str">
            <v>x</v>
          </cell>
          <cell r="I44">
            <v>86</v>
          </cell>
          <cell r="J44">
            <v>35000</v>
          </cell>
          <cell r="K44" t="str">
            <v>Valledoro</v>
          </cell>
          <cell r="L44" t="str">
            <v>Astucci Zulu</v>
          </cell>
          <cell r="M44" t="str">
            <v>Immobiliare</v>
          </cell>
          <cell r="N44">
            <v>1120</v>
          </cell>
          <cell r="O44" t="str">
            <v/>
          </cell>
        </row>
        <row r="45">
          <cell r="A45" t="str">
            <v>CR0024</v>
          </cell>
          <cell r="B45" t="str">
            <v>Roxcel</v>
          </cell>
          <cell r="C45" t="str">
            <v>553/2021</v>
          </cell>
          <cell r="D45" t="str">
            <v>7889 - 22/11/2021</v>
          </cell>
          <cell r="E45" t="str">
            <v>GC1 Poplar Super</v>
          </cell>
          <cell r="F45">
            <v>255</v>
          </cell>
          <cell r="G45">
            <v>72</v>
          </cell>
          <cell r="H45" t="str">
            <v>x</v>
          </cell>
          <cell r="I45">
            <v>102</v>
          </cell>
          <cell r="J45">
            <v>5600</v>
          </cell>
          <cell r="K45">
            <v>0</v>
          </cell>
          <cell r="L45">
            <v>0</v>
          </cell>
          <cell r="M45" t="str">
            <v>Immobiliare</v>
          </cell>
          <cell r="N45">
            <v>1120</v>
          </cell>
          <cell r="O45" t="str">
            <v/>
          </cell>
        </row>
        <row r="46">
          <cell r="A46" t="str">
            <v>CR0027</v>
          </cell>
          <cell r="B46" t="str">
            <v>ProntoPack</v>
          </cell>
          <cell r="C46" t="str">
            <v>30490/2022</v>
          </cell>
          <cell r="D46" t="str">
            <v>1000007824 - 04/07/2022</v>
          </cell>
          <cell r="E46" t="str">
            <v>GC1 Pro Bright</v>
          </cell>
          <cell r="F46">
            <v>255</v>
          </cell>
          <cell r="G46">
            <v>95.5</v>
          </cell>
          <cell r="H46" t="str">
            <v>x</v>
          </cell>
          <cell r="I46">
            <v>58</v>
          </cell>
          <cell r="J46">
            <v>22000</v>
          </cell>
          <cell r="K46" t="str">
            <v>Pantytex</v>
          </cell>
          <cell r="L46" t="str">
            <v>Buste Hema Gambaletto</v>
          </cell>
          <cell r="M46" t="str">
            <v>Immobiliare</v>
          </cell>
          <cell r="N46">
            <v>1795</v>
          </cell>
          <cell r="O46" t="str">
            <v/>
          </cell>
        </row>
        <row r="47">
          <cell r="A47" t="str">
            <v>CR0160</v>
          </cell>
          <cell r="B47" t="str">
            <v>Cartiera Lombarda</v>
          </cell>
          <cell r="C47" t="str">
            <v>502/2022</v>
          </cell>
          <cell r="D47" t="str">
            <v>856 - 30/09/2022</v>
          </cell>
          <cell r="E47" t="str">
            <v>GC1 Perfoma White</v>
          </cell>
          <cell r="F47">
            <v>260</v>
          </cell>
          <cell r="G47">
            <v>44</v>
          </cell>
          <cell r="H47" t="str">
            <v>x</v>
          </cell>
          <cell r="I47">
            <v>73</v>
          </cell>
          <cell r="J47">
            <v>-60</v>
          </cell>
          <cell r="K47" t="str">
            <v>Quaranta</v>
          </cell>
          <cell r="L47" t="str">
            <v>Cavallotti Quaranta</v>
          </cell>
          <cell r="M47" t="str">
            <v>Arti Grafiche</v>
          </cell>
          <cell r="N47">
            <v>1553</v>
          </cell>
          <cell r="O47" t="str">
            <v>Esaurito</v>
          </cell>
        </row>
        <row r="48">
          <cell r="A48" t="str">
            <v>CR0025</v>
          </cell>
          <cell r="B48" t="str">
            <v>C86 Distribuzione</v>
          </cell>
          <cell r="C48" t="str">
            <v>895/2021</v>
          </cell>
          <cell r="D48" t="str">
            <v>350/22 - 24/01/2022</v>
          </cell>
          <cell r="E48" t="str">
            <v>GC1 Aegle White</v>
          </cell>
          <cell r="F48">
            <v>255</v>
          </cell>
          <cell r="G48">
            <v>102</v>
          </cell>
          <cell r="H48" t="str">
            <v>x</v>
          </cell>
          <cell r="I48">
            <v>65</v>
          </cell>
          <cell r="J48">
            <v>11300</v>
          </cell>
          <cell r="K48" t="str">
            <v>Pantytex</v>
          </cell>
          <cell r="L48" t="str">
            <v>Appendini Hema D15</v>
          </cell>
          <cell r="M48" t="str">
            <v>Immobiliare</v>
          </cell>
          <cell r="N48">
            <v>1550</v>
          </cell>
          <cell r="O48" t="str">
            <v/>
          </cell>
        </row>
        <row r="49">
          <cell r="A49" t="str">
            <v>CR0029</v>
          </cell>
          <cell r="B49" t="str">
            <v>Cartularia</v>
          </cell>
          <cell r="C49" t="str">
            <v>337/2022</v>
          </cell>
          <cell r="D49" t="str">
            <v>2966 - 27/07/2022</v>
          </cell>
          <cell r="E49" t="str">
            <v>GC1 Performa Light</v>
          </cell>
          <cell r="F49">
            <v>260</v>
          </cell>
          <cell r="G49">
            <v>56</v>
          </cell>
          <cell r="H49" t="str">
            <v>x</v>
          </cell>
          <cell r="I49">
            <v>99.5</v>
          </cell>
          <cell r="J49">
            <v>20000</v>
          </cell>
          <cell r="K49" t="str">
            <v>Pantytex</v>
          </cell>
          <cell r="L49" t="str">
            <v>Astucci Kruidvart D20</v>
          </cell>
          <cell r="M49" t="str">
            <v>Arti Grafiche</v>
          </cell>
          <cell r="N49">
            <v>1540</v>
          </cell>
          <cell r="O49" t="str">
            <v/>
          </cell>
        </row>
        <row r="50">
          <cell r="A50" t="str">
            <v>CR0110</v>
          </cell>
          <cell r="B50" t="str">
            <v>Nova Papyra</v>
          </cell>
          <cell r="C50" t="str">
            <v>935/2021</v>
          </cell>
          <cell r="D50" t="str">
            <v>2022 -DDTL-0030961</v>
          </cell>
          <cell r="E50" t="str">
            <v>GC2 Maule</v>
          </cell>
          <cell r="F50">
            <v>260</v>
          </cell>
          <cell r="G50">
            <v>56.5</v>
          </cell>
          <cell r="H50" t="str">
            <v>x</v>
          </cell>
          <cell r="I50">
            <v>75.5</v>
          </cell>
          <cell r="J50">
            <v>35400</v>
          </cell>
          <cell r="K50" t="str">
            <v>Prontofoods</v>
          </cell>
          <cell r="L50" t="str">
            <v>Astucci 10 Buste</v>
          </cell>
          <cell r="M50" t="str">
            <v>Immobiliare</v>
          </cell>
          <cell r="N50">
            <v>1380</v>
          </cell>
          <cell r="O50" t="str">
            <v/>
          </cell>
        </row>
        <row r="51">
          <cell r="A51" t="str">
            <v>CR0030</v>
          </cell>
          <cell r="B51" t="str">
            <v>Nova Papyra</v>
          </cell>
          <cell r="C51" t="str">
            <v>828/2022</v>
          </cell>
          <cell r="D51" t="str">
            <v>909/00 - 08/04/2022</v>
          </cell>
          <cell r="E51" t="str">
            <v>GC2 Maule</v>
          </cell>
          <cell r="F51">
            <v>260</v>
          </cell>
          <cell r="G51">
            <v>56.5</v>
          </cell>
          <cell r="H51" t="str">
            <v>x</v>
          </cell>
          <cell r="I51">
            <v>75</v>
          </cell>
          <cell r="J51">
            <v>4300</v>
          </cell>
          <cell r="K51" t="str">
            <v>Prontofoods</v>
          </cell>
          <cell r="L51" t="str">
            <v>Astucci 10 Buste</v>
          </cell>
          <cell r="M51" t="str">
            <v>Immobiliare</v>
          </cell>
          <cell r="N51">
            <v>1220</v>
          </cell>
          <cell r="O51" t="str">
            <v/>
          </cell>
        </row>
        <row r="52">
          <cell r="A52" t="str">
            <v>CR0033</v>
          </cell>
          <cell r="B52" t="str">
            <v>FOLBB</v>
          </cell>
          <cell r="C52" t="str">
            <v>420/2022</v>
          </cell>
          <cell r="D52" t="str">
            <v>2551124-0001-0130/08/2022</v>
          </cell>
          <cell r="E52" t="str">
            <v>GC2 Accurate Top Strong</v>
          </cell>
          <cell r="F52">
            <v>260</v>
          </cell>
          <cell r="G52">
            <v>62</v>
          </cell>
          <cell r="H52" t="str">
            <v>x</v>
          </cell>
          <cell r="I52">
            <v>100.5</v>
          </cell>
          <cell r="J52">
            <v>-100</v>
          </cell>
          <cell r="K52" t="str">
            <v>Nero Noblie</v>
          </cell>
          <cell r="L52" t="str">
            <v>Astucci Astucci FS0380</v>
          </cell>
          <cell r="M52" t="str">
            <v>Immobiliare</v>
          </cell>
          <cell r="N52">
            <v>1560</v>
          </cell>
          <cell r="O52" t="str">
            <v>Esaurito</v>
          </cell>
        </row>
        <row r="53">
          <cell r="A53" t="str">
            <v>CR0109</v>
          </cell>
          <cell r="B53" t="str">
            <v>Nova Papyra</v>
          </cell>
          <cell r="C53" t="str">
            <v>935/2021</v>
          </cell>
          <cell r="D53" t="str">
            <v>2022 -DDTL-0030961</v>
          </cell>
          <cell r="E53" t="str">
            <v>GC2 Maule</v>
          </cell>
          <cell r="F53">
            <v>260</v>
          </cell>
          <cell r="G53">
            <v>62</v>
          </cell>
          <cell r="H53" t="str">
            <v>x</v>
          </cell>
          <cell r="I53">
            <v>100.5</v>
          </cell>
          <cell r="J53">
            <v>-1000</v>
          </cell>
          <cell r="K53" t="str">
            <v>Nero Nobile</v>
          </cell>
          <cell r="L53" t="str">
            <v>Astucci Astucci FS0380</v>
          </cell>
          <cell r="M53" t="str">
            <v>Immobiliare</v>
          </cell>
          <cell r="N53">
            <v>1380</v>
          </cell>
          <cell r="O53" t="str">
            <v>Esaurito</v>
          </cell>
        </row>
        <row r="54">
          <cell r="A54" t="str">
            <v>CR0138</v>
          </cell>
          <cell r="B54" t="str">
            <v>FOLBB</v>
          </cell>
          <cell r="C54" t="str">
            <v>477/2022</v>
          </cell>
          <cell r="D54" t="str">
            <v>2555463-0001-01</v>
          </cell>
          <cell r="E54" t="str">
            <v>GC2 Accurate Top Strong</v>
          </cell>
          <cell r="F54">
            <v>260</v>
          </cell>
          <cell r="G54">
            <v>62</v>
          </cell>
          <cell r="H54" t="str">
            <v>x</v>
          </cell>
          <cell r="I54">
            <v>100.5</v>
          </cell>
          <cell r="J54">
            <v>63000</v>
          </cell>
          <cell r="K54" t="str">
            <v>Nero Nobile</v>
          </cell>
          <cell r="L54" t="str">
            <v>Astucci FS0380</v>
          </cell>
          <cell r="M54" t="str">
            <v>Immobiliare</v>
          </cell>
          <cell r="N54">
            <v>1560</v>
          </cell>
          <cell r="O54" t="str">
            <v/>
          </cell>
        </row>
        <row r="55">
          <cell r="A55" t="str">
            <v>CR0139</v>
          </cell>
          <cell r="B55" t="str">
            <v>Cartiera Lombarda</v>
          </cell>
          <cell r="C55" t="str">
            <v>1139/2022</v>
          </cell>
          <cell r="D55" t="str">
            <v>990 - 15/11/2022</v>
          </cell>
          <cell r="E55" t="str">
            <v>GC2 Tambrite</v>
          </cell>
          <cell r="F55">
            <v>260</v>
          </cell>
          <cell r="G55">
            <v>62</v>
          </cell>
          <cell r="H55" t="str">
            <v>x</v>
          </cell>
          <cell r="I55">
            <v>100.5</v>
          </cell>
          <cell r="J55">
            <v>23190</v>
          </cell>
          <cell r="K55" t="str">
            <v>Nero Nobile</v>
          </cell>
          <cell r="L55" t="str">
            <v>Astucci FS0380</v>
          </cell>
          <cell r="M55" t="str">
            <v>Immobiliare</v>
          </cell>
          <cell r="N55">
            <v>1417</v>
          </cell>
          <cell r="O55" t="str">
            <v/>
          </cell>
        </row>
        <row r="56">
          <cell r="A56" t="str">
            <v>CR0111</v>
          </cell>
          <cell r="B56" t="str">
            <v>Nova Papyra</v>
          </cell>
          <cell r="C56" t="str">
            <v>935/2021</v>
          </cell>
          <cell r="D56" t="str">
            <v>2022 -DDTL-0030961</v>
          </cell>
          <cell r="E56" t="str">
            <v>GC2 Maule</v>
          </cell>
          <cell r="F56">
            <v>260</v>
          </cell>
          <cell r="G56">
            <v>65.5</v>
          </cell>
          <cell r="H56" t="str">
            <v>x</v>
          </cell>
          <cell r="I56">
            <v>86.5</v>
          </cell>
          <cell r="J56">
            <v>19700</v>
          </cell>
          <cell r="K56" t="str">
            <v>Prontofoods</v>
          </cell>
          <cell r="L56" t="str">
            <v>Astucci 5 Buste</v>
          </cell>
          <cell r="M56" t="str">
            <v>Immobiliare</v>
          </cell>
          <cell r="N56">
            <v>1380</v>
          </cell>
          <cell r="O56" t="str">
            <v/>
          </cell>
        </row>
        <row r="57">
          <cell r="A57" t="str">
            <v>CR0031</v>
          </cell>
          <cell r="B57" t="str">
            <v>Nova Papyra</v>
          </cell>
          <cell r="C57" t="str">
            <v>533/2021</v>
          </cell>
          <cell r="D57" t="str">
            <v>2021-DDTL-0031139 - 14/12/21</v>
          </cell>
          <cell r="E57" t="str">
            <v>GC2 Maule</v>
          </cell>
          <cell r="F57">
            <v>260</v>
          </cell>
          <cell r="G57">
            <v>65.5</v>
          </cell>
          <cell r="H57" t="str">
            <v>x</v>
          </cell>
          <cell r="I57">
            <v>86.5</v>
          </cell>
          <cell r="J57">
            <v>10000</v>
          </cell>
          <cell r="K57" t="str">
            <v>Prontofoods</v>
          </cell>
          <cell r="L57" t="str">
            <v>Astucci 5 Buste</v>
          </cell>
          <cell r="M57" t="str">
            <v>Immobiliare</v>
          </cell>
          <cell r="N57">
            <v>1120</v>
          </cell>
          <cell r="O57" t="str">
            <v/>
          </cell>
        </row>
        <row r="58">
          <cell r="A58" t="str">
            <v>CR0036</v>
          </cell>
          <cell r="B58" t="str">
            <v>ProntoPack</v>
          </cell>
          <cell r="C58" t="str">
            <v>438/2022</v>
          </cell>
          <cell r="D58" t="str">
            <v>1000009742 - 31/08/2022</v>
          </cell>
          <cell r="E58" t="str">
            <v>GC2 Simecote</v>
          </cell>
          <cell r="F58">
            <v>260</v>
          </cell>
          <cell r="G58">
            <v>71</v>
          </cell>
          <cell r="H58" t="str">
            <v>x</v>
          </cell>
          <cell r="I58">
            <v>75</v>
          </cell>
          <cell r="J58">
            <v>-100</v>
          </cell>
          <cell r="K58" t="str">
            <v>Nero Noblie</v>
          </cell>
          <cell r="L58" t="str">
            <v>Astucci FS0385 - ord. 546</v>
          </cell>
          <cell r="M58" t="str">
            <v>Arti Grafiche</v>
          </cell>
          <cell r="N58">
            <v>1760</v>
          </cell>
          <cell r="O58" t="str">
            <v>Esaurito</v>
          </cell>
        </row>
        <row r="59">
          <cell r="A59" t="str">
            <v>CR0039</v>
          </cell>
          <cell r="B59" t="str">
            <v>Cartularia</v>
          </cell>
          <cell r="C59" t="str">
            <v>131/2022</v>
          </cell>
          <cell r="D59" t="str">
            <v>2708 - 08/07/2022</v>
          </cell>
          <cell r="E59" t="str">
            <v>GC2 Tambrite</v>
          </cell>
          <cell r="F59">
            <v>270</v>
          </cell>
          <cell r="G59">
            <v>54</v>
          </cell>
          <cell r="H59" t="str">
            <v>x</v>
          </cell>
          <cell r="I59">
            <v>82</v>
          </cell>
          <cell r="J59">
            <v>-100</v>
          </cell>
          <cell r="K59" t="str">
            <v>Nero Noblie</v>
          </cell>
          <cell r="L59" t="str">
            <v>Astucci FS0384</v>
          </cell>
          <cell r="M59" t="str">
            <v>Immobiliare</v>
          </cell>
          <cell r="N59">
            <v>1470</v>
          </cell>
          <cell r="O59" t="str">
            <v>Esaurito</v>
          </cell>
        </row>
        <row r="60">
          <cell r="A60" t="str">
            <v>CR0032</v>
          </cell>
          <cell r="B60" t="str">
            <v>Nova Papyra</v>
          </cell>
          <cell r="C60" t="str">
            <v>828/2022</v>
          </cell>
          <cell r="D60" t="str">
            <v>909/00 - 08/04/2022</v>
          </cell>
          <cell r="E60" t="str">
            <v>GC2 Maule</v>
          </cell>
          <cell r="F60">
            <v>260</v>
          </cell>
          <cell r="G60">
            <v>65.5</v>
          </cell>
          <cell r="H60" t="str">
            <v>x</v>
          </cell>
          <cell r="I60">
            <v>86.5</v>
          </cell>
          <cell r="J60">
            <v>36000</v>
          </cell>
          <cell r="K60" t="str">
            <v>Prontofoods</v>
          </cell>
          <cell r="L60" t="str">
            <v>Astucci 5 Buste</v>
          </cell>
          <cell r="M60" t="str">
            <v>Immobiliare</v>
          </cell>
          <cell r="N60">
            <v>1220</v>
          </cell>
          <cell r="O60" t="str">
            <v/>
          </cell>
        </row>
        <row r="61">
          <cell r="A61" t="str">
            <v>CR0037</v>
          </cell>
          <cell r="B61" t="str">
            <v>Cartularia</v>
          </cell>
          <cell r="C61">
            <v>0</v>
          </cell>
          <cell r="D61">
            <v>0</v>
          </cell>
          <cell r="E61" t="str">
            <v>GC2 Tambrite</v>
          </cell>
          <cell r="F61">
            <v>270</v>
          </cell>
          <cell r="G61">
            <v>57.5</v>
          </cell>
          <cell r="H61" t="str">
            <v>x</v>
          </cell>
          <cell r="I61">
            <v>81.5</v>
          </cell>
          <cell r="J61">
            <v>-100</v>
          </cell>
          <cell r="K61" t="str">
            <v>Nero Noblie</v>
          </cell>
          <cell r="L61" t="str">
            <v>Astucci FS0386</v>
          </cell>
          <cell r="M61" t="str">
            <v>Immobiliare</v>
          </cell>
          <cell r="N61">
            <v>1130</v>
          </cell>
          <cell r="O61" t="str">
            <v>Esaurito</v>
          </cell>
        </row>
        <row r="62">
          <cell r="A62" t="str">
            <v>CR0043</v>
          </cell>
          <cell r="B62" t="str">
            <v>Emmaus</v>
          </cell>
          <cell r="C62" t="str">
            <v>C22 008033/2022</v>
          </cell>
          <cell r="D62" t="str">
            <v>27/0/5633 - 09/09/2022</v>
          </cell>
          <cell r="E62" t="str">
            <v>115 B/G</v>
          </cell>
          <cell r="F62">
            <v>270</v>
          </cell>
          <cell r="G62">
            <v>59</v>
          </cell>
          <cell r="H62" t="str">
            <v>x</v>
          </cell>
          <cell r="I62">
            <v>92</v>
          </cell>
          <cell r="J62">
            <v>-100</v>
          </cell>
          <cell r="K62" t="str">
            <v>Offel</v>
          </cell>
          <cell r="L62" t="str">
            <v>Astucci centralino</v>
          </cell>
          <cell r="M62" t="str">
            <v>Arti Grafiche</v>
          </cell>
          <cell r="N62">
            <v>1105</v>
          </cell>
          <cell r="O62" t="str">
            <v>Esaurito</v>
          </cell>
        </row>
        <row r="63">
          <cell r="A63" t="str">
            <v>CR0038</v>
          </cell>
          <cell r="B63" t="str">
            <v>Cartularia</v>
          </cell>
          <cell r="C63" t="str">
            <v>132/2022</v>
          </cell>
          <cell r="D63" t="str">
            <v>1853 - 13/05/2022</v>
          </cell>
          <cell r="E63" t="str">
            <v>GC2 Tambrite</v>
          </cell>
          <cell r="F63">
            <v>270</v>
          </cell>
          <cell r="G63">
            <v>62</v>
          </cell>
          <cell r="H63" t="str">
            <v>x</v>
          </cell>
          <cell r="I63">
            <v>100.5</v>
          </cell>
          <cell r="J63">
            <v>-50</v>
          </cell>
          <cell r="K63" t="str">
            <v>Nero Noblie</v>
          </cell>
          <cell r="L63" t="str">
            <v>Astucci Astucci FS0380</v>
          </cell>
          <cell r="M63" t="str">
            <v>Immobiliare</v>
          </cell>
          <cell r="N63">
            <v>1390</v>
          </cell>
          <cell r="O63" t="str">
            <v>Esaurito</v>
          </cell>
        </row>
        <row r="64">
          <cell r="A64" t="str">
            <v>CR0035</v>
          </cell>
          <cell r="B64" t="str">
            <v>Nova Papyra</v>
          </cell>
          <cell r="C64" t="str">
            <v>533/2021</v>
          </cell>
          <cell r="D64" t="str">
            <v>2021-DDTL-0031136 - 14/12/21</v>
          </cell>
          <cell r="E64" t="str">
            <v>GC2 Maule</v>
          </cell>
          <cell r="F64">
            <v>260</v>
          </cell>
          <cell r="G64">
            <v>66</v>
          </cell>
          <cell r="H64" t="str">
            <v>x</v>
          </cell>
          <cell r="I64">
            <v>86</v>
          </cell>
          <cell r="J64">
            <v>39600</v>
          </cell>
          <cell r="K64" t="str">
            <v>Valledoro</v>
          </cell>
          <cell r="L64" t="str">
            <v>Astucci Zulu</v>
          </cell>
          <cell r="M64" t="str">
            <v>Immobiliare</v>
          </cell>
          <cell r="N64">
            <v>1120</v>
          </cell>
          <cell r="O64" t="str">
            <v/>
          </cell>
        </row>
        <row r="65">
          <cell r="A65" t="str">
            <v>CR0131</v>
          </cell>
          <cell r="B65" t="str">
            <v>Cartiera Lombarda</v>
          </cell>
          <cell r="C65" t="str">
            <v>1138/2022</v>
          </cell>
          <cell r="D65" t="str">
            <v>876 - 07/10/2022</v>
          </cell>
          <cell r="E65" t="str">
            <v>GC2 Tambrite</v>
          </cell>
          <cell r="F65">
            <v>270</v>
          </cell>
          <cell r="G65">
            <v>62</v>
          </cell>
          <cell r="H65" t="str">
            <v>x</v>
          </cell>
          <cell r="I65">
            <v>100.5</v>
          </cell>
          <cell r="J65">
            <v>-100</v>
          </cell>
          <cell r="K65" t="str">
            <v>Nero Nobile</v>
          </cell>
          <cell r="L65" t="str">
            <v>Astucci FS0380</v>
          </cell>
          <cell r="M65" t="str">
            <v>Immobiliare</v>
          </cell>
          <cell r="N65">
            <v>1440</v>
          </cell>
          <cell r="O65" t="str">
            <v>Esaurito</v>
          </cell>
        </row>
        <row r="66">
          <cell r="A66" t="str">
            <v>CR0164</v>
          </cell>
          <cell r="B66" t="str">
            <v>Emmaus</v>
          </cell>
          <cell r="C66" t="str">
            <v>512/2022</v>
          </cell>
          <cell r="D66" t="str">
            <v>27/0/6176 - 05/10</v>
          </cell>
          <cell r="E66" t="str">
            <v>115 B/G</v>
          </cell>
          <cell r="F66">
            <v>270</v>
          </cell>
          <cell r="G66">
            <v>63</v>
          </cell>
          <cell r="H66" t="str">
            <v>x</v>
          </cell>
          <cell r="I66">
            <v>95</v>
          </cell>
          <cell r="J66">
            <v>-100</v>
          </cell>
          <cell r="K66" t="str">
            <v>Feldi</v>
          </cell>
          <cell r="L66" t="str">
            <v>Bauletti Tesmed</v>
          </cell>
          <cell r="M66" t="str">
            <v>Arti Grafiche</v>
          </cell>
          <cell r="N66">
            <v>1255</v>
          </cell>
          <cell r="O66" t="str">
            <v>Esaurito</v>
          </cell>
        </row>
        <row r="67">
          <cell r="A67" t="str">
            <v>CR0137</v>
          </cell>
          <cell r="B67" t="str">
            <v>Cartularia</v>
          </cell>
          <cell r="C67" t="str">
            <v>336/2022</v>
          </cell>
          <cell r="D67" t="str">
            <v>4147 - 26/10/2022</v>
          </cell>
          <cell r="E67" t="str">
            <v>Gc2 Tambrite</v>
          </cell>
          <cell r="F67">
            <v>270</v>
          </cell>
          <cell r="G67">
            <v>62</v>
          </cell>
          <cell r="H67" t="str">
            <v>x</v>
          </cell>
          <cell r="I67">
            <v>100.5</v>
          </cell>
          <cell r="J67">
            <v>-10</v>
          </cell>
          <cell r="K67" t="str">
            <v>Nero Nobile</v>
          </cell>
          <cell r="L67" t="str">
            <v>Astucci Astucci FS0380</v>
          </cell>
          <cell r="M67" t="str">
            <v>Arti Grafiche</v>
          </cell>
          <cell r="N67">
            <v>1470</v>
          </cell>
          <cell r="O67" t="str">
            <v>Esaurito</v>
          </cell>
        </row>
        <row r="68">
          <cell r="A68" t="str">
            <v>CR0034</v>
          </cell>
          <cell r="B68" t="str">
            <v>Abbondi</v>
          </cell>
          <cell r="C68" t="str">
            <v>493/2022</v>
          </cell>
          <cell r="D68" t="str">
            <v>520 - 08/07/2021</v>
          </cell>
          <cell r="E68" t="str">
            <v>GC1 Incada Silk</v>
          </cell>
          <cell r="F68">
            <v>260</v>
          </cell>
          <cell r="G68">
            <v>70</v>
          </cell>
          <cell r="H68" t="str">
            <v>x</v>
          </cell>
          <cell r="I68">
            <v>81.400000000000006</v>
          </cell>
          <cell r="J68">
            <v>2800</v>
          </cell>
          <cell r="K68">
            <v>0</v>
          </cell>
          <cell r="L68">
            <v>0</v>
          </cell>
          <cell r="M68" t="str">
            <v>Immobiliare</v>
          </cell>
          <cell r="N68">
            <v>1000</v>
          </cell>
          <cell r="O68" t="str">
            <v/>
          </cell>
        </row>
        <row r="69">
          <cell r="A69" t="str">
            <v>CR0159</v>
          </cell>
          <cell r="B69" t="str">
            <v>Cartiera Lombarda</v>
          </cell>
          <cell r="C69" t="str">
            <v>1218 - 22/09/2022</v>
          </cell>
          <cell r="D69" t="str">
            <v>963 - 07/11/2022</v>
          </cell>
          <cell r="E69" t="str">
            <v>GC2 Tambrite</v>
          </cell>
          <cell r="F69">
            <v>270</v>
          </cell>
          <cell r="G69">
            <v>54</v>
          </cell>
          <cell r="H69" t="str">
            <v>x</v>
          </cell>
          <cell r="I69">
            <v>82</v>
          </cell>
          <cell r="J69">
            <v>33200</v>
          </cell>
          <cell r="K69" t="str">
            <v>Nero Nobile</v>
          </cell>
          <cell r="L69" t="str">
            <v>Astucci FS0384</v>
          </cell>
          <cell r="M69" t="str">
            <v>Immobiliare</v>
          </cell>
          <cell r="N69">
            <v>1653</v>
          </cell>
          <cell r="O69" t="str">
            <v/>
          </cell>
        </row>
        <row r="70">
          <cell r="A70" t="str">
            <v>CR0184</v>
          </cell>
          <cell r="B70" t="str">
            <v>Cartiera Lombarda</v>
          </cell>
          <cell r="C70" t="str">
            <v>526/2022</v>
          </cell>
          <cell r="D70" t="str">
            <v>963 - 07/11/2022</v>
          </cell>
          <cell r="E70" t="str">
            <v>GC2 Tambrite</v>
          </cell>
          <cell r="F70">
            <v>270</v>
          </cell>
          <cell r="G70">
            <v>69</v>
          </cell>
          <cell r="H70" t="str">
            <v>x</v>
          </cell>
          <cell r="I70">
            <v>85</v>
          </cell>
          <cell r="J70">
            <v>-100</v>
          </cell>
          <cell r="K70" t="str">
            <v>Pasta Lensi</v>
          </cell>
          <cell r="L70" t="str">
            <v>Astucci Evanoff</v>
          </cell>
          <cell r="M70" t="str">
            <v>Immobiliare</v>
          </cell>
          <cell r="N70">
            <v>1447</v>
          </cell>
          <cell r="O70" t="str">
            <v>Esaurito</v>
          </cell>
        </row>
        <row r="71">
          <cell r="A71" t="str">
            <v>CR0042</v>
          </cell>
          <cell r="B71" t="str">
            <v>Cartularia</v>
          </cell>
          <cell r="C71" t="str">
            <v>390/2022</v>
          </cell>
          <cell r="D71" t="str">
            <v>3331 - 05/09/2022</v>
          </cell>
          <cell r="E71" t="str">
            <v>GC2 Tambrite</v>
          </cell>
          <cell r="F71">
            <v>270</v>
          </cell>
          <cell r="G71">
            <v>72</v>
          </cell>
          <cell r="H71" t="str">
            <v>x</v>
          </cell>
          <cell r="I71">
            <v>75</v>
          </cell>
          <cell r="J71">
            <v>-100</v>
          </cell>
          <cell r="K71" t="str">
            <v>Nero Noblie</v>
          </cell>
          <cell r="L71" t="str">
            <v>Astucci FS0385/FS0383</v>
          </cell>
          <cell r="M71" t="str">
            <v>Arti Grafiche</v>
          </cell>
          <cell r="N71">
            <v>1480</v>
          </cell>
          <cell r="O71" t="str">
            <v>Esaurito</v>
          </cell>
        </row>
        <row r="72">
          <cell r="A72" t="str">
            <v>CR0186</v>
          </cell>
          <cell r="B72" t="str">
            <v>Cartularia</v>
          </cell>
          <cell r="C72" t="str">
            <v>533/2022</v>
          </cell>
          <cell r="D72" t="str">
            <v>3935 - 11/10/2022</v>
          </cell>
          <cell r="E72" t="str">
            <v>GC2 Tambrite</v>
          </cell>
          <cell r="F72">
            <v>270</v>
          </cell>
          <cell r="G72">
            <v>72</v>
          </cell>
          <cell r="H72" t="str">
            <v>x</v>
          </cell>
          <cell r="I72">
            <v>75</v>
          </cell>
          <cell r="J72">
            <v>-100</v>
          </cell>
          <cell r="K72" t="str">
            <v>Nero Nobile</v>
          </cell>
          <cell r="L72" t="str">
            <v>Astucci FS0383/FS0385</v>
          </cell>
          <cell r="M72" t="str">
            <v>Immobiliare</v>
          </cell>
          <cell r="N72">
            <v>1480</v>
          </cell>
          <cell r="O72" t="str">
            <v>Esaurito</v>
          </cell>
        </row>
        <row r="73">
          <cell r="A73" t="str">
            <v>CR0155</v>
          </cell>
          <cell r="B73" t="str">
            <v>DuemmePack</v>
          </cell>
          <cell r="C73" t="str">
            <v>503/2022</v>
          </cell>
          <cell r="D73" t="str">
            <v>4875 - 23/09/2022</v>
          </cell>
          <cell r="E73" t="str">
            <v>GC1 Zenith</v>
          </cell>
          <cell r="F73">
            <v>270</v>
          </cell>
          <cell r="G73">
            <v>83.5</v>
          </cell>
          <cell r="H73" t="str">
            <v>x</v>
          </cell>
          <cell r="I73">
            <v>57.5</v>
          </cell>
          <cell r="J73">
            <v>-100</v>
          </cell>
          <cell r="K73" t="str">
            <v>Lucaffè</v>
          </cell>
          <cell r="L73" t="str">
            <v>Astucci dispenser</v>
          </cell>
          <cell r="M73" t="str">
            <v>Arti Grafiche</v>
          </cell>
          <cell r="N73">
            <v>1850</v>
          </cell>
          <cell r="O73" t="str">
            <v>Esaurito</v>
          </cell>
        </row>
        <row r="74">
          <cell r="A74" t="str">
            <v>CR0165</v>
          </cell>
          <cell r="B74" t="str">
            <v>Emmaus</v>
          </cell>
          <cell r="C74" t="str">
            <v>512/2022</v>
          </cell>
          <cell r="D74" t="str">
            <v>27/0/6176 - 05/10</v>
          </cell>
          <cell r="E74" t="str">
            <v>115 B/G</v>
          </cell>
          <cell r="F74">
            <v>270</v>
          </cell>
          <cell r="G74">
            <v>84</v>
          </cell>
          <cell r="H74" t="str">
            <v>x</v>
          </cell>
          <cell r="I74">
            <v>63</v>
          </cell>
          <cell r="J74">
            <v>-100</v>
          </cell>
          <cell r="K74" t="str">
            <v>Feldi</v>
          </cell>
          <cell r="L74" t="str">
            <v>Interni Tesmed</v>
          </cell>
          <cell r="M74" t="str">
            <v>Arti Grafiche</v>
          </cell>
          <cell r="N74">
            <v>1255</v>
          </cell>
          <cell r="O74" t="str">
            <v>Esaurito</v>
          </cell>
        </row>
        <row r="75">
          <cell r="A75" t="str">
            <v>CR0171</v>
          </cell>
          <cell r="B75" t="str">
            <v>Emmaus</v>
          </cell>
          <cell r="C75" t="str">
            <v>515/2022</v>
          </cell>
          <cell r="D75" t="str">
            <v>27/0/6194 - 06/10/2022</v>
          </cell>
          <cell r="E75" t="str">
            <v>115 B/G</v>
          </cell>
          <cell r="F75">
            <v>270</v>
          </cell>
          <cell r="G75">
            <v>106</v>
          </cell>
          <cell r="H75" t="str">
            <v>x</v>
          </cell>
          <cell r="I75">
            <v>60.5</v>
          </cell>
          <cell r="J75">
            <v>-100</v>
          </cell>
          <cell r="K75" t="str">
            <v>D&amp;G</v>
          </cell>
          <cell r="L75" t="str">
            <v>Bauletti micro</v>
          </cell>
          <cell r="M75" t="str">
            <v>Arti Grafiche</v>
          </cell>
          <cell r="N75">
            <v>1255</v>
          </cell>
          <cell r="O75" t="str">
            <v>Esaurito</v>
          </cell>
        </row>
        <row r="76">
          <cell r="A76" t="str">
            <v>CR0040</v>
          </cell>
          <cell r="B76" t="str">
            <v>Roxcel</v>
          </cell>
          <cell r="C76" t="str">
            <v>553/2021</v>
          </cell>
          <cell r="D76" t="str">
            <v>7889 - 22/11/2021</v>
          </cell>
          <cell r="E76" t="str">
            <v>GC1 Poplar Super</v>
          </cell>
          <cell r="F76">
            <v>270</v>
          </cell>
          <cell r="G76">
            <v>56.5</v>
          </cell>
          <cell r="H76" t="str">
            <v>x</v>
          </cell>
          <cell r="I76">
            <v>75</v>
          </cell>
          <cell r="J76">
            <v>27700</v>
          </cell>
          <cell r="K76" t="str">
            <v>Prontofoods</v>
          </cell>
          <cell r="L76" t="str">
            <v>Astucci 10 Buste</v>
          </cell>
          <cell r="M76" t="str">
            <v>Immobiliare</v>
          </cell>
          <cell r="N76">
            <v>1120</v>
          </cell>
          <cell r="O76" t="str">
            <v/>
          </cell>
        </row>
        <row r="77">
          <cell r="A77" t="str">
            <v>CR0194</v>
          </cell>
          <cell r="B77" t="str">
            <v>DuemmePack</v>
          </cell>
          <cell r="C77" t="str">
            <v>547/2022</v>
          </cell>
          <cell r="D77" t="str">
            <v>5433 - 20/10/2022</v>
          </cell>
          <cell r="E77" t="str">
            <v>GC1 Zenith</v>
          </cell>
          <cell r="F77">
            <v>275</v>
          </cell>
          <cell r="G77">
            <v>53</v>
          </cell>
          <cell r="H77" t="str">
            <v>x</v>
          </cell>
          <cell r="I77">
            <v>80</v>
          </cell>
          <cell r="J77">
            <v>-100</v>
          </cell>
          <cell r="K77" t="str">
            <v>RCM</v>
          </cell>
          <cell r="L77" t="str">
            <v>Astucci 57</v>
          </cell>
          <cell r="M77" t="str">
            <v>Arti Grafiche</v>
          </cell>
          <cell r="N77">
            <v>1950</v>
          </cell>
          <cell r="O77" t="str">
            <v>Esaurito</v>
          </cell>
        </row>
        <row r="78">
          <cell r="A78" t="str">
            <v>CR0167</v>
          </cell>
          <cell r="B78" t="str">
            <v>Emmaus</v>
          </cell>
          <cell r="C78" t="str">
            <v>C22 009039</v>
          </cell>
          <cell r="D78" t="str">
            <v>27/0/6176 - 05/10</v>
          </cell>
          <cell r="E78" t="str">
            <v>GC2 RCT</v>
          </cell>
          <cell r="F78">
            <v>275</v>
          </cell>
          <cell r="G78">
            <v>54</v>
          </cell>
          <cell r="H78" t="str">
            <v>x</v>
          </cell>
          <cell r="I78">
            <v>82</v>
          </cell>
          <cell r="J78">
            <v>-100</v>
          </cell>
          <cell r="K78" t="str">
            <v>Nero Nobile</v>
          </cell>
          <cell r="L78" t="str">
            <v>Astucci FS0384 - ord. 699</v>
          </cell>
          <cell r="M78" t="str">
            <v>Arti Grafiche</v>
          </cell>
          <cell r="N78">
            <v>1470</v>
          </cell>
          <cell r="O78" t="str">
            <v>Esaurito</v>
          </cell>
        </row>
        <row r="79">
          <cell r="A79" t="str">
            <v>CR0167</v>
          </cell>
          <cell r="B79" t="str">
            <v>Emmaus</v>
          </cell>
          <cell r="C79" t="str">
            <v>C22 009039</v>
          </cell>
          <cell r="D79" t="str">
            <v>27/0/6176 - 05/10</v>
          </cell>
          <cell r="E79" t="str">
            <v>GC2 RCT</v>
          </cell>
          <cell r="F79">
            <v>275</v>
          </cell>
          <cell r="G79">
            <v>54</v>
          </cell>
          <cell r="H79" t="str">
            <v>x</v>
          </cell>
          <cell r="I79">
            <v>82</v>
          </cell>
          <cell r="J79">
            <v>-100</v>
          </cell>
          <cell r="K79" t="str">
            <v>Nero Nobile</v>
          </cell>
          <cell r="L79" t="str">
            <v>Astucci FS0384 - ord. 699</v>
          </cell>
          <cell r="M79" t="str">
            <v>Arti Grafiche</v>
          </cell>
          <cell r="N79">
            <v>1470</v>
          </cell>
          <cell r="O79" t="str">
            <v>Esaurito</v>
          </cell>
        </row>
        <row r="80">
          <cell r="A80" t="str">
            <v>CR0172</v>
          </cell>
          <cell r="B80" t="str">
            <v>Emmaus</v>
          </cell>
          <cell r="C80" t="str">
            <v>530/22</v>
          </cell>
          <cell r="D80" t="str">
            <v>27/0/6336 - 12/10/2022</v>
          </cell>
          <cell r="E80" t="str">
            <v>GC2 RCT</v>
          </cell>
          <cell r="F80">
            <v>275</v>
          </cell>
          <cell r="G80">
            <v>54</v>
          </cell>
          <cell r="H80" t="str">
            <v>x</v>
          </cell>
          <cell r="I80">
            <v>82</v>
          </cell>
          <cell r="J80">
            <v>-100</v>
          </cell>
          <cell r="K80" t="str">
            <v>Nero Nobile</v>
          </cell>
          <cell r="L80" t="str">
            <v>Astucci FS0384 - ord. 699</v>
          </cell>
          <cell r="M80" t="str">
            <v>Arti Grafiche</v>
          </cell>
          <cell r="N80">
            <v>1470</v>
          </cell>
          <cell r="O80" t="str">
            <v>Esaurito</v>
          </cell>
        </row>
        <row r="81">
          <cell r="A81" t="str">
            <v>CR0189</v>
          </cell>
          <cell r="B81" t="str">
            <v>Emmaus</v>
          </cell>
          <cell r="C81" t="str">
            <v>C22 009338</v>
          </cell>
          <cell r="D81" t="str">
            <v>27/0/6368 - 14/10/2022</v>
          </cell>
          <cell r="E81" t="str">
            <v>GC2 RCT</v>
          </cell>
          <cell r="F81">
            <v>275</v>
          </cell>
          <cell r="G81">
            <v>54</v>
          </cell>
          <cell r="H81" t="str">
            <v>x</v>
          </cell>
          <cell r="I81">
            <v>82</v>
          </cell>
          <cell r="J81">
            <v>-100</v>
          </cell>
          <cell r="K81" t="str">
            <v>Nero Nobile</v>
          </cell>
          <cell r="L81" t="str">
            <v>Astucci FS0384 - ord.722/723</v>
          </cell>
          <cell r="M81" t="str">
            <v>Arti Grafiche</v>
          </cell>
          <cell r="N81">
            <v>1530</v>
          </cell>
          <cell r="O81" t="str">
            <v>Esaurito</v>
          </cell>
        </row>
        <row r="82">
          <cell r="A82" t="str">
            <v>CR0048</v>
          </cell>
          <cell r="B82" t="str">
            <v>Emmaus</v>
          </cell>
          <cell r="C82" t="str">
            <v>C22 08139/2022</v>
          </cell>
          <cell r="D82" t="str">
            <v>27/0/5509 - 06/09/2022</v>
          </cell>
          <cell r="E82" t="str">
            <v>GC2 RCT</v>
          </cell>
          <cell r="F82">
            <v>275</v>
          </cell>
          <cell r="G82">
            <v>62</v>
          </cell>
          <cell r="H82" t="str">
            <v>x</v>
          </cell>
          <cell r="I82">
            <v>100.5</v>
          </cell>
          <cell r="J82">
            <v>-20900</v>
          </cell>
          <cell r="K82" t="str">
            <v>Nero Noblie</v>
          </cell>
          <cell r="L82" t="str">
            <v>Astucci Astucci FS0380</v>
          </cell>
          <cell r="M82" t="str">
            <v>Arti Grafiche</v>
          </cell>
          <cell r="N82">
            <v>1470</v>
          </cell>
          <cell r="O82" t="str">
            <v>Esaurito</v>
          </cell>
        </row>
        <row r="83">
          <cell r="A83" t="str">
            <v>CR0049</v>
          </cell>
          <cell r="B83" t="str">
            <v>Cartularia</v>
          </cell>
          <cell r="C83" t="str">
            <v>3940/2022</v>
          </cell>
          <cell r="D83" t="str">
            <v>3331 - 05/09/2022</v>
          </cell>
          <cell r="E83" t="str">
            <v>GC1 Performa Light</v>
          </cell>
          <cell r="F83">
            <v>275</v>
          </cell>
          <cell r="G83">
            <v>62</v>
          </cell>
          <cell r="H83" t="str">
            <v>x</v>
          </cell>
          <cell r="I83">
            <v>100.5</v>
          </cell>
          <cell r="J83">
            <v>-13900</v>
          </cell>
          <cell r="K83" t="str">
            <v>Nero Noblie</v>
          </cell>
          <cell r="L83" t="str">
            <v>Astucci Astucci FS0380</v>
          </cell>
          <cell r="M83" t="str">
            <v>Arti Grafiche</v>
          </cell>
          <cell r="N83">
            <v>1520</v>
          </cell>
          <cell r="O83" t="str">
            <v>Esaurito</v>
          </cell>
        </row>
        <row r="84">
          <cell r="A84" t="str">
            <v>CR0123</v>
          </cell>
          <cell r="B84" t="str">
            <v>Cartularia</v>
          </cell>
          <cell r="C84" t="str">
            <v>463/2022</v>
          </cell>
          <cell r="D84" t="str">
            <v>3497 - 16/09/22</v>
          </cell>
          <cell r="E84" t="str">
            <v>Performa Light</v>
          </cell>
          <cell r="F84">
            <v>275</v>
          </cell>
          <cell r="G84">
            <v>62</v>
          </cell>
          <cell r="H84" t="str">
            <v>x</v>
          </cell>
          <cell r="I84">
            <v>100.5</v>
          </cell>
          <cell r="J84">
            <v>-100</v>
          </cell>
          <cell r="K84" t="str">
            <v>Nero Nobile</v>
          </cell>
          <cell r="L84" t="str">
            <v>Astucci FS0380</v>
          </cell>
          <cell r="M84" t="str">
            <v>Immobiliare</v>
          </cell>
          <cell r="N84">
            <v>1530</v>
          </cell>
          <cell r="O84" t="str">
            <v>Esaurito</v>
          </cell>
        </row>
        <row r="85">
          <cell r="A85" t="str">
            <v>CR0047</v>
          </cell>
          <cell r="B85" t="str">
            <v>Emmaus</v>
          </cell>
          <cell r="C85" t="str">
            <v>C22 007503/2022</v>
          </cell>
          <cell r="D85" t="str">
            <v>27/0/5235 - 04/08/2022</v>
          </cell>
          <cell r="E85" t="str">
            <v>GC2 RCT</v>
          </cell>
          <cell r="F85">
            <v>275</v>
          </cell>
          <cell r="G85">
            <v>72</v>
          </cell>
          <cell r="H85" t="str">
            <v>x</v>
          </cell>
          <cell r="I85">
            <v>75</v>
          </cell>
          <cell r="J85">
            <v>-100</v>
          </cell>
          <cell r="K85" t="str">
            <v>Nero Noblie</v>
          </cell>
          <cell r="L85" t="str">
            <v>Astucci FS0385/FS0383</v>
          </cell>
          <cell r="M85" t="str">
            <v>Arti Grafiche</v>
          </cell>
          <cell r="N85">
            <v>1470</v>
          </cell>
          <cell r="O85" t="str">
            <v>Esaurito</v>
          </cell>
        </row>
        <row r="86">
          <cell r="A86" t="str">
            <v>CR0045</v>
          </cell>
          <cell r="B86" t="str">
            <v>Burgo</v>
          </cell>
          <cell r="C86" t="str">
            <v>327/2022</v>
          </cell>
          <cell r="D86" t="str">
            <v>6127 - 1/06/2022</v>
          </cell>
          <cell r="E86" t="str">
            <v>GC1 Prisma Pack Up</v>
          </cell>
          <cell r="F86">
            <v>275</v>
          </cell>
          <cell r="G86">
            <v>72</v>
          </cell>
          <cell r="H86" t="str">
            <v>x</v>
          </cell>
          <cell r="I86">
            <v>102</v>
          </cell>
          <cell r="J86">
            <v>-10</v>
          </cell>
          <cell r="K86" t="str">
            <v>Gallo</v>
          </cell>
          <cell r="L86" t="str">
            <v>Cavallotti DD</v>
          </cell>
          <cell r="M86" t="str">
            <v>Arti Grafiche</v>
          </cell>
          <cell r="N86">
            <v>2100</v>
          </cell>
          <cell r="O86" t="str">
            <v>Esaurito</v>
          </cell>
        </row>
        <row r="87">
          <cell r="A87" t="str">
            <v>CR0050</v>
          </cell>
          <cell r="B87" t="str">
            <v>Emmaus</v>
          </cell>
          <cell r="C87" t="str">
            <v>C22 008067/2022</v>
          </cell>
          <cell r="D87" t="str">
            <v>27/0/5495 - 05/09/2022</v>
          </cell>
          <cell r="E87" t="str">
            <v>GC2 RCT</v>
          </cell>
          <cell r="F87">
            <v>275</v>
          </cell>
          <cell r="G87">
            <v>72</v>
          </cell>
          <cell r="H87" t="str">
            <v>x</v>
          </cell>
          <cell r="I87">
            <v>75</v>
          </cell>
          <cell r="J87">
            <v>-100</v>
          </cell>
          <cell r="K87" t="str">
            <v>Nero Noblie</v>
          </cell>
          <cell r="L87" t="str">
            <v>Astucci FS0385 - ord. 537</v>
          </cell>
          <cell r="M87" t="str">
            <v>Arti Grafiche</v>
          </cell>
          <cell r="N87">
            <v>1470</v>
          </cell>
          <cell r="O87" t="str">
            <v>Esaurito</v>
          </cell>
        </row>
        <row r="88">
          <cell r="A88" t="str">
            <v>CR0041</v>
          </cell>
          <cell r="B88" t="str">
            <v>Roxcel</v>
          </cell>
          <cell r="C88" t="str">
            <v>553/2021</v>
          </cell>
          <cell r="D88" t="str">
            <v>7889 - 22/11/2021</v>
          </cell>
          <cell r="E88" t="str">
            <v>GC1 Poplar Super</v>
          </cell>
          <cell r="F88">
            <v>270</v>
          </cell>
          <cell r="G88">
            <v>65.5</v>
          </cell>
          <cell r="H88" t="str">
            <v>x</v>
          </cell>
          <cell r="I88">
            <v>86.5</v>
          </cell>
          <cell r="J88">
            <v>37800</v>
          </cell>
          <cell r="K88" t="str">
            <v>Prontofoods</v>
          </cell>
          <cell r="L88" t="str">
            <v>Astucci 5 Buste</v>
          </cell>
          <cell r="M88" t="str">
            <v>Arti Grafiche</v>
          </cell>
          <cell r="N88">
            <v>1120</v>
          </cell>
          <cell r="O88" t="str">
            <v/>
          </cell>
        </row>
        <row r="89">
          <cell r="A89" t="str">
            <v>CR0122</v>
          </cell>
          <cell r="B89" t="str">
            <v>Cartularia</v>
          </cell>
          <cell r="C89" t="str">
            <v>463/2022</v>
          </cell>
          <cell r="D89" t="str">
            <v>3497 - 16/09/22</v>
          </cell>
          <cell r="E89" t="str">
            <v>GC2 Tambrite</v>
          </cell>
          <cell r="F89">
            <v>270</v>
          </cell>
          <cell r="G89">
            <v>74</v>
          </cell>
          <cell r="H89" t="str">
            <v>x</v>
          </cell>
          <cell r="I89">
            <v>75</v>
          </cell>
          <cell r="J89">
            <v>-100</v>
          </cell>
          <cell r="K89" t="str">
            <v>Nero Nobile</v>
          </cell>
          <cell r="L89" t="str">
            <v>FS0383/FS0385</v>
          </cell>
          <cell r="M89" t="str">
            <v>Immobiliare</v>
          </cell>
          <cell r="N89">
            <v>1480</v>
          </cell>
          <cell r="O89" t="str">
            <v>Esaurito</v>
          </cell>
        </row>
        <row r="90">
          <cell r="A90" t="str">
            <v>CR0195</v>
          </cell>
          <cell r="B90" t="str">
            <v>ProntoPack</v>
          </cell>
          <cell r="C90" t="str">
            <v>548/2022</v>
          </cell>
          <cell r="D90" t="str">
            <v>1000012712 - 21/10/22</v>
          </cell>
          <cell r="E90" t="str">
            <v>GC1 Pro Bright</v>
          </cell>
          <cell r="F90">
            <v>290</v>
          </cell>
          <cell r="G90">
            <v>50</v>
          </cell>
          <cell r="H90" t="str">
            <v>x</v>
          </cell>
          <cell r="I90">
            <v>89.5</v>
          </cell>
          <cell r="J90">
            <v>-100</v>
          </cell>
          <cell r="K90" t="str">
            <v>Quaranta</v>
          </cell>
          <cell r="L90" t="str">
            <v>Astucci Mezzo Taglio</v>
          </cell>
          <cell r="M90" t="str">
            <v>Arti Grafiche</v>
          </cell>
          <cell r="N90">
            <v>1785</v>
          </cell>
          <cell r="O90" t="str">
            <v>Esaurito</v>
          </cell>
        </row>
        <row r="91">
          <cell r="A91" t="str">
            <v>CR0053</v>
          </cell>
          <cell r="B91" t="str">
            <v>Emmaus</v>
          </cell>
          <cell r="C91" t="str">
            <v>C22 007795</v>
          </cell>
          <cell r="D91" t="str">
            <v>27/0/5267 - 24/08/2022</v>
          </cell>
          <cell r="E91" t="str">
            <v>112 B/G</v>
          </cell>
          <cell r="F91">
            <v>290</v>
          </cell>
          <cell r="G91">
            <v>53</v>
          </cell>
          <cell r="H91" t="str">
            <v>x</v>
          </cell>
          <cell r="I91">
            <v>100</v>
          </cell>
          <cell r="J91">
            <v>-100</v>
          </cell>
          <cell r="K91" t="str">
            <v>Genny</v>
          </cell>
          <cell r="L91" t="str">
            <v>Cartoncini 16x22</v>
          </cell>
          <cell r="M91" t="str">
            <v>Arti Grafiche</v>
          </cell>
          <cell r="N91">
            <v>860</v>
          </cell>
          <cell r="O91" t="str">
            <v>Esaurito</v>
          </cell>
        </row>
        <row r="92">
          <cell r="A92" t="str">
            <v>CR0052</v>
          </cell>
          <cell r="B92" t="str">
            <v>Emmaus</v>
          </cell>
          <cell r="C92" t="str">
            <v>C22 006254</v>
          </cell>
          <cell r="D92" t="str">
            <v>27/0/4301 - 22/06/2022</v>
          </cell>
          <cell r="E92" t="str">
            <v>112 B/G</v>
          </cell>
          <cell r="F92">
            <v>290</v>
          </cell>
          <cell r="G92">
            <v>58.5</v>
          </cell>
          <cell r="H92" t="str">
            <v>x</v>
          </cell>
          <cell r="I92">
            <v>82.6</v>
          </cell>
          <cell r="J92">
            <v>-100</v>
          </cell>
          <cell r="K92" t="str">
            <v>Strisciame</v>
          </cell>
          <cell r="L92">
            <v>0</v>
          </cell>
          <cell r="M92" t="str">
            <v>Arti Grafiche</v>
          </cell>
          <cell r="N92">
            <v>860</v>
          </cell>
          <cell r="O92" t="str">
            <v>Esaurito</v>
          </cell>
        </row>
        <row r="93">
          <cell r="A93" t="str">
            <v>CR0056</v>
          </cell>
          <cell r="B93" t="str">
            <v>Emmaus</v>
          </cell>
          <cell r="C93" t="str">
            <v>C22 008038</v>
          </cell>
          <cell r="D93" t="str">
            <v>27/0/5509 - 06/09/2022</v>
          </cell>
          <cell r="E93" t="str">
            <v>112 B/G</v>
          </cell>
          <cell r="F93">
            <v>290</v>
          </cell>
          <cell r="G93">
            <v>59.8</v>
          </cell>
          <cell r="H93" t="str">
            <v>x</v>
          </cell>
          <cell r="I93">
            <v>94.4</v>
          </cell>
          <cell r="J93">
            <v>-66</v>
          </cell>
          <cell r="K93" t="str">
            <v>Strisciame</v>
          </cell>
          <cell r="L93">
            <v>0</v>
          </cell>
          <cell r="M93" t="str">
            <v>Arti Grafiche</v>
          </cell>
          <cell r="N93">
            <v>860</v>
          </cell>
          <cell r="O93" t="str">
            <v>Esaurito</v>
          </cell>
        </row>
        <row r="94">
          <cell r="A94" t="str">
            <v>CR0055</v>
          </cell>
          <cell r="B94" t="str">
            <v>Emmaus</v>
          </cell>
          <cell r="C94" t="str">
            <v>C22 007795</v>
          </cell>
          <cell r="D94" t="str">
            <v>27/0/5267 - 24/08/2022</v>
          </cell>
          <cell r="E94" t="str">
            <v>112 B/G</v>
          </cell>
          <cell r="F94">
            <v>290</v>
          </cell>
          <cell r="G94">
            <v>76</v>
          </cell>
          <cell r="H94" t="str">
            <v>x</v>
          </cell>
          <cell r="I94">
            <v>68</v>
          </cell>
          <cell r="J94">
            <v>-100</v>
          </cell>
          <cell r="K94" t="str">
            <v>Strisciame</v>
          </cell>
          <cell r="L94">
            <v>0</v>
          </cell>
          <cell r="M94" t="str">
            <v>Arti Grafiche</v>
          </cell>
          <cell r="N94">
            <v>860</v>
          </cell>
          <cell r="O94" t="str">
            <v>Esaurito</v>
          </cell>
        </row>
        <row r="95">
          <cell r="A95" t="str">
            <v>CR0057</v>
          </cell>
          <cell r="B95" t="str">
            <v>Emmaus</v>
          </cell>
          <cell r="C95" t="str">
            <v>482/2022</v>
          </cell>
          <cell r="D95" t="str">
            <v>27/0/5672-13/09/2022</v>
          </cell>
          <cell r="E95" t="str">
            <v>115 B/G</v>
          </cell>
          <cell r="F95">
            <v>290</v>
          </cell>
          <cell r="G95">
            <v>83</v>
          </cell>
          <cell r="H95" t="str">
            <v>x</v>
          </cell>
          <cell r="I95">
            <v>58.5</v>
          </cell>
          <cell r="J95">
            <v>-100</v>
          </cell>
          <cell r="K95" t="str">
            <v>Caseificio Paleni</v>
          </cell>
          <cell r="L95" t="str">
            <v>Scatole Bauletto Micro</v>
          </cell>
          <cell r="M95" t="str">
            <v>Arti Grafiche</v>
          </cell>
          <cell r="N95">
            <v>1255</v>
          </cell>
          <cell r="O95" t="str">
            <v>Esaurito</v>
          </cell>
        </row>
        <row r="96">
          <cell r="A96" t="str">
            <v>CR0175</v>
          </cell>
          <cell r="B96" t="str">
            <v>Emmaus</v>
          </cell>
          <cell r="C96" t="str">
            <v>522/2022</v>
          </cell>
          <cell r="D96" t="str">
            <v>27/0/6194 - 06/10/2022</v>
          </cell>
          <cell r="E96" t="str">
            <v>115 B/G</v>
          </cell>
          <cell r="F96">
            <v>290</v>
          </cell>
          <cell r="G96">
            <v>88.5</v>
          </cell>
          <cell r="H96" t="str">
            <v>x</v>
          </cell>
          <cell r="I96">
            <v>72</v>
          </cell>
          <cell r="J96">
            <v>-100</v>
          </cell>
          <cell r="K96" t="str">
            <v>Cesare Rizzini</v>
          </cell>
          <cell r="L96" t="str">
            <v>Panettone Alimento</v>
          </cell>
          <cell r="M96" t="str">
            <v>Arti Grafiche</v>
          </cell>
          <cell r="N96">
            <v>1255</v>
          </cell>
          <cell r="O96" t="str">
            <v>Esaurito</v>
          </cell>
        </row>
        <row r="97">
          <cell r="A97" t="str">
            <v>CR0148</v>
          </cell>
          <cell r="B97" t="str">
            <v>Emmaus</v>
          </cell>
          <cell r="C97" t="str">
            <v>495/2022</v>
          </cell>
          <cell r="D97" t="str">
            <v>27/0/5840 - 19/09/2022</v>
          </cell>
          <cell r="E97" t="str">
            <v>113 B/B</v>
          </cell>
          <cell r="F97">
            <v>290</v>
          </cell>
          <cell r="G97">
            <v>89</v>
          </cell>
          <cell r="H97" t="str">
            <v>x</v>
          </cell>
          <cell r="I97">
            <v>50</v>
          </cell>
          <cell r="J97">
            <v>-8200</v>
          </cell>
          <cell r="K97" t="str">
            <v>Quaranta</v>
          </cell>
          <cell r="L97" t="str">
            <v>Espsoitore Nuts</v>
          </cell>
          <cell r="M97" t="str">
            <v>Arti Grafiche</v>
          </cell>
          <cell r="N97">
            <v>1275</v>
          </cell>
          <cell r="O97" t="str">
            <v>Esaurito</v>
          </cell>
        </row>
        <row r="98">
          <cell r="A98" t="str">
            <v>CR0054</v>
          </cell>
          <cell r="B98" t="str">
            <v>Emmaus</v>
          </cell>
          <cell r="C98" t="str">
            <v>C22 007795</v>
          </cell>
          <cell r="D98" t="str">
            <v>27/0/5267 - 24/08/2022</v>
          </cell>
          <cell r="E98" t="str">
            <v>112 B/G</v>
          </cell>
          <cell r="F98">
            <v>290</v>
          </cell>
          <cell r="G98">
            <v>100</v>
          </cell>
          <cell r="H98" t="str">
            <v>x</v>
          </cell>
          <cell r="I98">
            <v>71</v>
          </cell>
          <cell r="J98">
            <v>-100</v>
          </cell>
          <cell r="K98" t="str">
            <v>Genny</v>
          </cell>
          <cell r="L98" t="str">
            <v>Cartoncini 16x22</v>
          </cell>
          <cell r="M98" t="str">
            <v>Arti Grafiche</v>
          </cell>
          <cell r="N98">
            <v>860</v>
          </cell>
          <cell r="O98" t="str">
            <v>Esaurito</v>
          </cell>
        </row>
        <row r="99">
          <cell r="A99" t="str">
            <v>CR0183</v>
          </cell>
          <cell r="B99" t="str">
            <v>Cartiera Lombarda</v>
          </cell>
          <cell r="C99" t="str">
            <v>980/2022</v>
          </cell>
          <cell r="D99" t="str">
            <v>903 - 17/10/2022</v>
          </cell>
          <cell r="E99" t="str">
            <v>GC2 Tambrite</v>
          </cell>
          <cell r="F99">
            <v>270</v>
          </cell>
          <cell r="G99">
            <v>72</v>
          </cell>
          <cell r="H99" t="str">
            <v>x</v>
          </cell>
          <cell r="I99">
            <v>75</v>
          </cell>
          <cell r="J99">
            <v>26340</v>
          </cell>
          <cell r="K99" t="str">
            <v>Nero Nobile</v>
          </cell>
          <cell r="L99" t="str">
            <v>Astucci FS0383/FS0385</v>
          </cell>
          <cell r="M99" t="str">
            <v>Immobiliare</v>
          </cell>
          <cell r="N99">
            <v>1438</v>
          </cell>
          <cell r="O99" t="str">
            <v/>
          </cell>
        </row>
        <row r="100">
          <cell r="A100" t="str">
            <v>CR0058</v>
          </cell>
          <cell r="B100" t="str">
            <v>Commer Carta</v>
          </cell>
          <cell r="C100" t="str">
            <v>451/2022</v>
          </cell>
          <cell r="D100" t="str">
            <v>2106233 - 02/07/2021</v>
          </cell>
          <cell r="E100" t="str">
            <v>GC2 Allyking</v>
          </cell>
          <cell r="F100">
            <v>295</v>
          </cell>
          <cell r="G100">
            <v>53</v>
          </cell>
          <cell r="H100" t="str">
            <v>x</v>
          </cell>
          <cell r="I100">
            <v>80</v>
          </cell>
          <cell r="J100">
            <v>-50</v>
          </cell>
          <cell r="K100">
            <v>0</v>
          </cell>
          <cell r="L100">
            <v>0</v>
          </cell>
          <cell r="M100" t="str">
            <v>Arti Grafiche</v>
          </cell>
          <cell r="N100">
            <v>1180</v>
          </cell>
          <cell r="O100" t="str">
            <v>Esaurito</v>
          </cell>
        </row>
        <row r="101">
          <cell r="A101" t="str">
            <v>CR0059</v>
          </cell>
          <cell r="B101" t="str">
            <v>C86 Distribuzione</v>
          </cell>
          <cell r="C101" t="str">
            <v>258/2022</v>
          </cell>
          <cell r="D101" t="str">
            <v>2572 - 12/05/2022</v>
          </cell>
          <cell r="E101" t="str">
            <v>GC1 Zenith</v>
          </cell>
          <cell r="F101">
            <v>295</v>
          </cell>
          <cell r="G101">
            <v>72</v>
          </cell>
          <cell r="H101" t="str">
            <v>x</v>
          </cell>
          <cell r="I101">
            <v>102</v>
          </cell>
          <cell r="J101">
            <v>-2350</v>
          </cell>
          <cell r="K101">
            <v>0</v>
          </cell>
          <cell r="L101">
            <v>0</v>
          </cell>
          <cell r="M101" t="str">
            <v>Immobiliare</v>
          </cell>
          <cell r="N101">
            <v>1950</v>
          </cell>
          <cell r="O101" t="str">
            <v>Esaurito</v>
          </cell>
        </row>
        <row r="102">
          <cell r="A102" t="str">
            <v>CR0136</v>
          </cell>
          <cell r="B102" t="str">
            <v>Cartularia</v>
          </cell>
          <cell r="C102" t="str">
            <v>336/2022</v>
          </cell>
          <cell r="D102" t="str">
            <v>4147 - 26/10/2022</v>
          </cell>
          <cell r="E102" t="str">
            <v>Gc2 Tambrite</v>
          </cell>
          <cell r="F102">
            <v>270</v>
          </cell>
          <cell r="G102">
            <v>72</v>
          </cell>
          <cell r="H102" t="str">
            <v>x</v>
          </cell>
          <cell r="I102">
            <v>75</v>
          </cell>
          <cell r="J102">
            <v>20600</v>
          </cell>
          <cell r="K102" t="str">
            <v>Nero Nobile</v>
          </cell>
          <cell r="L102" t="str">
            <v>Astucci FS0383/FS0385</v>
          </cell>
          <cell r="M102" t="str">
            <v>Immobiliare</v>
          </cell>
          <cell r="N102">
            <v>1480</v>
          </cell>
          <cell r="O102" t="str">
            <v/>
          </cell>
        </row>
        <row r="103">
          <cell r="A103" t="str">
            <v>CR0046</v>
          </cell>
          <cell r="B103" t="str">
            <v>Polyedra</v>
          </cell>
          <cell r="C103" t="str">
            <v>99/2022</v>
          </cell>
          <cell r="D103" t="str">
            <v>01027567 - 27/07/2022</v>
          </cell>
          <cell r="E103" t="str">
            <v>GC2 Tamfold</v>
          </cell>
          <cell r="F103">
            <v>275</v>
          </cell>
          <cell r="G103">
            <v>46</v>
          </cell>
          <cell r="H103" t="str">
            <v>x</v>
          </cell>
          <cell r="I103">
            <v>100</v>
          </cell>
          <cell r="J103">
            <v>56640</v>
          </cell>
          <cell r="K103" t="str">
            <v>Prontofoods</v>
          </cell>
          <cell r="L103" t="str">
            <v>Astucci 150 Buste</v>
          </cell>
          <cell r="M103" t="str">
            <v>Immobiliare</v>
          </cell>
          <cell r="N103">
            <v>0</v>
          </cell>
          <cell r="O103" t="str">
            <v/>
          </cell>
        </row>
        <row r="104">
          <cell r="A104" t="str">
            <v>CR0220</v>
          </cell>
          <cell r="B104" t="str">
            <v>Burgo</v>
          </cell>
          <cell r="C104" t="str">
            <v>590/2022</v>
          </cell>
          <cell r="D104" t="str">
            <v>12221 - 14/11/2022</v>
          </cell>
          <cell r="E104" t="str">
            <v>GC1 Prisma Pack Up</v>
          </cell>
          <cell r="F104">
            <v>275</v>
          </cell>
          <cell r="G104">
            <v>72</v>
          </cell>
          <cell r="H104" t="str">
            <v>x</v>
          </cell>
          <cell r="I104">
            <v>102</v>
          </cell>
          <cell r="J104">
            <v>2875</v>
          </cell>
          <cell r="K104" t="str">
            <v>Gallo</v>
          </cell>
          <cell r="L104" t="str">
            <v>Cavallotti DD</v>
          </cell>
          <cell r="M104" t="str">
            <v>Arti Grafiche</v>
          </cell>
          <cell r="N104">
            <v>2850</v>
          </cell>
          <cell r="O104" t="str">
            <v/>
          </cell>
        </row>
        <row r="105">
          <cell r="A105" t="str">
            <v>CR0150</v>
          </cell>
          <cell r="B105" t="str">
            <v>Pac Service</v>
          </cell>
          <cell r="C105" t="str">
            <v>ICKH202208061</v>
          </cell>
          <cell r="D105" t="str">
            <v>02/2022/07341 - 22/09/2022</v>
          </cell>
          <cell r="E105" t="str">
            <v>Crownboard craft</v>
          </cell>
          <cell r="F105">
            <v>300</v>
          </cell>
          <cell r="G105">
            <v>60</v>
          </cell>
          <cell r="H105" t="str">
            <v>x</v>
          </cell>
          <cell r="I105">
            <v>80</v>
          </cell>
          <cell r="J105">
            <v>-50</v>
          </cell>
          <cell r="K105" t="str">
            <v>El forner</v>
          </cell>
          <cell r="L105" t="str">
            <v>Scatole Pizza</v>
          </cell>
          <cell r="M105" t="str">
            <v>Arti Grafiche</v>
          </cell>
          <cell r="N105">
            <v>1820</v>
          </cell>
          <cell r="O105" t="str">
            <v>Esaurito</v>
          </cell>
        </row>
        <row r="106">
          <cell r="A106" t="str">
            <v>CR0062</v>
          </cell>
          <cell r="B106" t="str">
            <v>Cartiera Lombarda</v>
          </cell>
          <cell r="C106" t="str">
            <v>275/2022</v>
          </cell>
          <cell r="D106" t="str">
            <v>472 - 14/08</v>
          </cell>
          <cell r="E106" t="str">
            <v>GC1 Perfoma White</v>
          </cell>
          <cell r="F106">
            <v>300</v>
          </cell>
          <cell r="G106">
            <v>60</v>
          </cell>
          <cell r="H106" t="str">
            <v>x</v>
          </cell>
          <cell r="I106">
            <v>93</v>
          </cell>
          <cell r="J106">
            <v>-100</v>
          </cell>
          <cell r="K106" t="str">
            <v>Pasta Lensi</v>
          </cell>
          <cell r="L106" t="str">
            <v>Astucci Coop Alti</v>
          </cell>
          <cell r="M106" t="str">
            <v>Arti Grafiche</v>
          </cell>
          <cell r="N106">
            <v>1420</v>
          </cell>
          <cell r="O106" t="str">
            <v>Esaurito</v>
          </cell>
        </row>
        <row r="107">
          <cell r="A107" t="str">
            <v>CR0178</v>
          </cell>
          <cell r="B107" t="str">
            <v>Emmaus</v>
          </cell>
          <cell r="C107" t="str">
            <v>C22 009113</v>
          </cell>
          <cell r="D107" t="str">
            <v>27/0/6194 - 06/10/2022</v>
          </cell>
          <cell r="E107" t="str">
            <v>112 B/G</v>
          </cell>
          <cell r="F107">
            <v>290</v>
          </cell>
          <cell r="G107">
            <v>101</v>
          </cell>
          <cell r="H107" t="str">
            <v>x</v>
          </cell>
          <cell r="I107">
            <v>87</v>
          </cell>
          <cell r="J107">
            <v>-100</v>
          </cell>
          <cell r="K107" t="str">
            <v>Strisciame</v>
          </cell>
          <cell r="L107">
            <v>0</v>
          </cell>
          <cell r="M107" t="str">
            <v>Arti Grafiche</v>
          </cell>
          <cell r="N107">
            <v>1090</v>
          </cell>
          <cell r="O107" t="str">
            <v>Esaurito</v>
          </cell>
        </row>
        <row r="108">
          <cell r="A108" t="str">
            <v>CR0064</v>
          </cell>
          <cell r="B108" t="str">
            <v>Cartiera Lombarda</v>
          </cell>
          <cell r="C108" t="str">
            <v>275/2022</v>
          </cell>
          <cell r="D108" t="str">
            <v>671 - 14/07/2022</v>
          </cell>
          <cell r="E108" t="str">
            <v>GC1 Perfoma White</v>
          </cell>
          <cell r="F108">
            <v>300</v>
          </cell>
          <cell r="G108">
            <v>66.5</v>
          </cell>
          <cell r="H108" t="str">
            <v>x</v>
          </cell>
          <cell r="I108">
            <v>104</v>
          </cell>
          <cell r="J108">
            <v>-100</v>
          </cell>
          <cell r="K108" t="str">
            <v>Pasta Lensi</v>
          </cell>
          <cell r="L108" t="str">
            <v>Astucci Coop Altissimi</v>
          </cell>
          <cell r="M108" t="str">
            <v>Arti Grafiche</v>
          </cell>
          <cell r="N108">
            <v>2063</v>
          </cell>
          <cell r="O108" t="str">
            <v>Esaurito</v>
          </cell>
        </row>
        <row r="109">
          <cell r="A109" t="str">
            <v>CR0044</v>
          </cell>
          <cell r="B109" t="str">
            <v>Polyedra</v>
          </cell>
          <cell r="C109">
            <v>26066068</v>
          </cell>
          <cell r="D109" t="str">
            <v>54-524-10-00419 - 25/01/2022</v>
          </cell>
          <cell r="E109" t="str">
            <v>GC2 Accurate Top White</v>
          </cell>
          <cell r="F109">
            <v>275</v>
          </cell>
          <cell r="G109">
            <v>94.5</v>
          </cell>
          <cell r="H109" t="str">
            <v>x</v>
          </cell>
          <cell r="I109">
            <v>52</v>
          </cell>
          <cell r="J109">
            <v>3800</v>
          </cell>
          <cell r="K109" t="str">
            <v>Pantytex</v>
          </cell>
          <cell r="L109" t="str">
            <v>Buste Hema Disco</v>
          </cell>
          <cell r="M109" t="str">
            <v>Immobiliare</v>
          </cell>
          <cell r="N109">
            <v>1620</v>
          </cell>
          <cell r="O109" t="str">
            <v/>
          </cell>
        </row>
        <row r="110">
          <cell r="A110" t="str">
            <v>CR0130</v>
          </cell>
          <cell r="B110" t="str">
            <v>Cartiera Lombarda</v>
          </cell>
          <cell r="C110" t="str">
            <v>424/2022</v>
          </cell>
          <cell r="D110" t="str">
            <v>822 - 22/09/2022</v>
          </cell>
          <cell r="E110" t="str">
            <v xml:space="preserve">Performa White </v>
          </cell>
          <cell r="F110">
            <v>300</v>
          </cell>
          <cell r="G110">
            <v>76</v>
          </cell>
          <cell r="H110" t="str">
            <v>x</v>
          </cell>
          <cell r="I110">
            <v>90</v>
          </cell>
          <cell r="J110">
            <v>-100</v>
          </cell>
          <cell r="K110" t="str">
            <v>Gandola</v>
          </cell>
          <cell r="L110" t="str">
            <v>Enervit</v>
          </cell>
          <cell r="M110" t="str">
            <v>Arti Grafiche</v>
          </cell>
          <cell r="N110">
            <v>1553</v>
          </cell>
          <cell r="O110" t="str">
            <v>Esaurito</v>
          </cell>
        </row>
        <row r="111">
          <cell r="A111" t="str">
            <v>CR0156</v>
          </cell>
          <cell r="B111" t="str">
            <v>Cartiera Lombarda</v>
          </cell>
          <cell r="C111" t="str">
            <v>1213 - 21/09/2022</v>
          </cell>
          <cell r="D111" t="str">
            <v>834 - 27/09/2022</v>
          </cell>
          <cell r="E111" t="str">
            <v>GC1 Perfoma White</v>
          </cell>
          <cell r="F111">
            <v>315</v>
          </cell>
          <cell r="G111">
            <v>59</v>
          </cell>
          <cell r="H111" t="str">
            <v>x</v>
          </cell>
          <cell r="I111">
            <v>70</v>
          </cell>
          <cell r="J111">
            <v>-40</v>
          </cell>
          <cell r="K111" t="str">
            <v>Pantytex</v>
          </cell>
          <cell r="L111" t="str">
            <v>Ca autoreggente</v>
          </cell>
          <cell r="M111" t="str">
            <v>Arti Grafiche</v>
          </cell>
          <cell r="N111">
            <v>1553</v>
          </cell>
          <cell r="O111" t="str">
            <v>Esaurito</v>
          </cell>
        </row>
        <row r="112">
          <cell r="A112" t="str">
            <v>CR0147</v>
          </cell>
          <cell r="B112" t="str">
            <v>Emmaus</v>
          </cell>
          <cell r="C112" t="str">
            <v>494/2022</v>
          </cell>
          <cell r="D112" t="str">
            <v>27/0/5840 - 19/09/2022</v>
          </cell>
          <cell r="E112" t="str">
            <v>113 B/B</v>
          </cell>
          <cell r="F112">
            <v>320</v>
          </cell>
          <cell r="G112">
            <v>39.5</v>
          </cell>
          <cell r="H112" t="str">
            <v>x</v>
          </cell>
          <cell r="I112">
            <v>72</v>
          </cell>
          <cell r="J112">
            <v>-100</v>
          </cell>
          <cell r="K112" t="str">
            <v>Quaranta</v>
          </cell>
          <cell r="L112" t="str">
            <v>Fascette Quaranta</v>
          </cell>
          <cell r="M112" t="str">
            <v>Arti Grafiche</v>
          </cell>
          <cell r="N112">
            <v>1255</v>
          </cell>
          <cell r="O112" t="str">
            <v>Esaurito</v>
          </cell>
        </row>
        <row r="113">
          <cell r="A113" t="str">
            <v>CR0191</v>
          </cell>
          <cell r="B113" t="str">
            <v>Emmaus</v>
          </cell>
          <cell r="C113" t="str">
            <v>539/2022</v>
          </cell>
          <cell r="D113" t="str">
            <v>27/0/6417 - 17/10/2022</v>
          </cell>
          <cell r="E113" t="str">
            <v>113 B/B</v>
          </cell>
          <cell r="F113">
            <v>320</v>
          </cell>
          <cell r="G113">
            <v>39.5</v>
          </cell>
          <cell r="H113" t="str">
            <v>x</v>
          </cell>
          <cell r="I113">
            <v>72</v>
          </cell>
          <cell r="J113">
            <v>-50</v>
          </cell>
          <cell r="K113" t="str">
            <v>Quaranta</v>
          </cell>
          <cell r="L113" t="str">
            <v>Fascette Quaranta</v>
          </cell>
          <cell r="M113" t="str">
            <v>Arti Grafiche</v>
          </cell>
          <cell r="N113">
            <v>1335</v>
          </cell>
          <cell r="O113" t="str">
            <v>Esaurito</v>
          </cell>
        </row>
        <row r="114">
          <cell r="A114" t="str">
            <v>CR0065</v>
          </cell>
          <cell r="B114" t="str">
            <v>Emmaus</v>
          </cell>
          <cell r="C114" t="str">
            <v>416/2022</v>
          </cell>
          <cell r="D114" t="str">
            <v>27/0/4956 - 20/07/2022</v>
          </cell>
          <cell r="E114" t="str">
            <v>113 B/B</v>
          </cell>
          <cell r="F114">
            <v>320</v>
          </cell>
          <cell r="G114">
            <v>44.5</v>
          </cell>
          <cell r="H114" t="str">
            <v>x</v>
          </cell>
          <cell r="I114">
            <v>51</v>
          </cell>
          <cell r="J114">
            <v>-100</v>
          </cell>
          <cell r="K114" t="str">
            <v>Quaranta</v>
          </cell>
          <cell r="L114" t="str">
            <v>Astucci Cappuccetti</v>
          </cell>
          <cell r="M114" t="str">
            <v>Immobiliare</v>
          </cell>
          <cell r="N114">
            <v>985</v>
          </cell>
          <cell r="O114" t="str">
            <v>Esaurito</v>
          </cell>
        </row>
        <row r="115">
          <cell r="A115" t="str">
            <v>CR0201</v>
          </cell>
          <cell r="B115" t="str">
            <v>Emmaus</v>
          </cell>
          <cell r="C115" t="str">
            <v>550/2022</v>
          </cell>
          <cell r="D115" t="str">
            <v>27/0/6552 - 24/10/2022</v>
          </cell>
          <cell r="E115" t="str">
            <v>113 B/B</v>
          </cell>
          <cell r="F115">
            <v>320</v>
          </cell>
          <cell r="G115">
            <v>50</v>
          </cell>
          <cell r="H115" t="str">
            <v>x</v>
          </cell>
          <cell r="I115">
            <v>36</v>
          </cell>
          <cell r="J115">
            <v>-100</v>
          </cell>
          <cell r="K115" t="str">
            <v>Quaranta</v>
          </cell>
          <cell r="L115" t="str">
            <v>Coni Quaranta</v>
          </cell>
          <cell r="M115" t="str">
            <v>Arti Grafiche</v>
          </cell>
          <cell r="N115">
            <v>1240</v>
          </cell>
          <cell r="O115" t="str">
            <v>Esaurito</v>
          </cell>
        </row>
        <row r="116">
          <cell r="A116" t="str">
            <v>CR0154</v>
          </cell>
          <cell r="B116" t="str">
            <v>Reno de Medici</v>
          </cell>
          <cell r="C116" t="str">
            <v>497/2022</v>
          </cell>
          <cell r="D116" t="str">
            <v>25731 - 13/10/2022</v>
          </cell>
          <cell r="E116" t="str">
            <v>117 B/B</v>
          </cell>
          <cell r="F116">
            <v>320</v>
          </cell>
          <cell r="G116">
            <v>69</v>
          </cell>
          <cell r="H116" t="str">
            <v>x</v>
          </cell>
          <cell r="I116">
            <v>101</v>
          </cell>
          <cell r="J116">
            <v>-100</v>
          </cell>
          <cell r="K116" t="str">
            <v>Girardi</v>
          </cell>
          <cell r="L116" t="str">
            <v>Cartoncini Stampati</v>
          </cell>
          <cell r="M116" t="str">
            <v>Arti Grafiche</v>
          </cell>
          <cell r="N116">
            <v>1256</v>
          </cell>
          <cell r="O116" t="str">
            <v>Esaurito</v>
          </cell>
        </row>
        <row r="117">
          <cell r="A117" t="str">
            <v>CR0051</v>
          </cell>
          <cell r="B117" t="str">
            <v>Polyedra</v>
          </cell>
          <cell r="C117">
            <v>0</v>
          </cell>
          <cell r="D117">
            <v>0</v>
          </cell>
          <cell r="E117" t="str">
            <v>GC1 Perfoma White</v>
          </cell>
          <cell r="F117">
            <v>280</v>
          </cell>
          <cell r="G117">
            <v>60</v>
          </cell>
          <cell r="H117" t="str">
            <v>x</v>
          </cell>
          <cell r="I117">
            <v>103</v>
          </cell>
          <cell r="J117">
            <v>5000</v>
          </cell>
          <cell r="K117" t="str">
            <v>Pantytex</v>
          </cell>
          <cell r="L117" t="str">
            <v>Astucci Kruidvart D25</v>
          </cell>
          <cell r="M117" t="str">
            <v>Arti Grafiche</v>
          </cell>
          <cell r="N117">
            <v>1414</v>
          </cell>
          <cell r="O117" t="str">
            <v/>
          </cell>
        </row>
        <row r="118">
          <cell r="A118" t="str">
            <v>CR0162</v>
          </cell>
          <cell r="B118" t="str">
            <v>ProntoPack</v>
          </cell>
          <cell r="C118" t="str">
            <v>511/2022</v>
          </cell>
          <cell r="D118" t="str">
            <v>1000011570 - 03/10/22</v>
          </cell>
          <cell r="E118" t="str">
            <v>GC1 Zenith</v>
          </cell>
          <cell r="F118">
            <v>325</v>
          </cell>
          <cell r="G118">
            <v>56</v>
          </cell>
          <cell r="H118" t="str">
            <v>x</v>
          </cell>
          <cell r="I118">
            <v>82.5</v>
          </cell>
          <cell r="J118">
            <v>-100</v>
          </cell>
          <cell r="K118" t="str">
            <v>Vegas</v>
          </cell>
          <cell r="L118" t="str">
            <v>Appendini D18</v>
          </cell>
          <cell r="M118" t="str">
            <v>Arti Grafiche</v>
          </cell>
          <cell r="N118">
            <v>1980</v>
          </cell>
          <cell r="O118" t="str">
            <v>Esaurito</v>
          </cell>
        </row>
        <row r="119">
          <cell r="A119" t="str">
            <v>CR0067</v>
          </cell>
          <cell r="B119" t="str">
            <v>C86 Distribuzione</v>
          </cell>
          <cell r="C119" t="str">
            <v>468/2022</v>
          </cell>
          <cell r="D119" t="str">
            <v>4718/22 -09/09/2022</v>
          </cell>
          <cell r="E119" t="str">
            <v>GC1 Aegle White</v>
          </cell>
          <cell r="F119">
            <v>325</v>
          </cell>
          <cell r="G119">
            <v>86</v>
          </cell>
          <cell r="H119" t="str">
            <v>x</v>
          </cell>
          <cell r="I119">
            <v>72.5</v>
          </cell>
          <cell r="J119">
            <v>-100</v>
          </cell>
          <cell r="K119" t="str">
            <v>Cosmai</v>
          </cell>
          <cell r="L119" t="str">
            <v>Astucci 10 Capsule</v>
          </cell>
          <cell r="M119" t="str">
            <v>Immobiliare</v>
          </cell>
          <cell r="N119">
            <v>1950</v>
          </cell>
          <cell r="O119" t="str">
            <v>Esaurito</v>
          </cell>
        </row>
        <row r="120">
          <cell r="A120" t="str">
            <v>CR0213</v>
          </cell>
          <cell r="B120" t="str">
            <v>Emmaus</v>
          </cell>
          <cell r="C120" t="str">
            <v>C22 009807</v>
          </cell>
          <cell r="D120" t="str">
            <v>27/0/6739 - 05/11/2022</v>
          </cell>
          <cell r="E120" t="str">
            <v>112 B/G</v>
          </cell>
          <cell r="F120">
            <v>290</v>
          </cell>
          <cell r="G120">
            <v>70</v>
          </cell>
          <cell r="H120" t="str">
            <v>x</v>
          </cell>
          <cell r="I120">
            <v>88</v>
          </cell>
          <cell r="J120">
            <v>2700</v>
          </cell>
          <cell r="K120" t="str">
            <v>Strisciame</v>
          </cell>
          <cell r="L120">
            <v>0</v>
          </cell>
          <cell r="M120" t="str">
            <v>Arti Grafiche</v>
          </cell>
          <cell r="N120">
            <v>1050</v>
          </cell>
          <cell r="O120" t="str">
            <v/>
          </cell>
        </row>
        <row r="121">
          <cell r="A121" t="str">
            <v>CR0060</v>
          </cell>
          <cell r="B121" t="str">
            <v>C86 Distribuzione</v>
          </cell>
          <cell r="C121" t="str">
            <v>450/2022</v>
          </cell>
          <cell r="D121" t="str">
            <v>4718/22 - 09/09/2022</v>
          </cell>
          <cell r="E121" t="str">
            <v>GC1 Zenith</v>
          </cell>
          <cell r="F121">
            <v>295</v>
          </cell>
          <cell r="G121">
            <v>72</v>
          </cell>
          <cell r="H121" t="str">
            <v>x</v>
          </cell>
          <cell r="I121">
            <v>102</v>
          </cell>
          <cell r="J121">
            <v>6450</v>
          </cell>
          <cell r="K121" t="str">
            <v>RCM</v>
          </cell>
          <cell r="L121" t="str">
            <v>Astucci NEE</v>
          </cell>
          <cell r="M121" t="str">
            <v>Immobiliare</v>
          </cell>
          <cell r="N121">
            <v>1950</v>
          </cell>
          <cell r="O121" t="str">
            <v/>
          </cell>
        </row>
        <row r="122">
          <cell r="A122" t="str">
            <v>CR0181</v>
          </cell>
          <cell r="B122" t="str">
            <v>Emmaus</v>
          </cell>
          <cell r="C122" t="str">
            <v>C22 009202</v>
          </cell>
          <cell r="D122" t="str">
            <v>27/0/6336 - 12/10/2022</v>
          </cell>
          <cell r="E122" t="str">
            <v>112 B/G</v>
          </cell>
          <cell r="F122">
            <v>350</v>
          </cell>
          <cell r="G122">
            <v>49.5</v>
          </cell>
          <cell r="H122" t="str">
            <v>x</v>
          </cell>
          <cell r="I122">
            <v>89</v>
          </cell>
          <cell r="J122">
            <v>-100</v>
          </cell>
          <cell r="K122" t="str">
            <v>Tradigo</v>
          </cell>
          <cell r="L122" t="str">
            <v>Astucci Polish</v>
          </cell>
          <cell r="M122" t="str">
            <v>Arti Grafiche</v>
          </cell>
          <cell r="N122">
            <v>1235</v>
          </cell>
          <cell r="O122" t="str">
            <v>Esaurito</v>
          </cell>
        </row>
        <row r="123">
          <cell r="A123" t="str">
            <v>CR0061</v>
          </cell>
          <cell r="B123" t="str">
            <v>Cartiera Lombarda</v>
          </cell>
          <cell r="C123" t="str">
            <v>26/2022</v>
          </cell>
          <cell r="D123" t="str">
            <v>400 - 22/04/2022</v>
          </cell>
          <cell r="E123" t="str">
            <v>GC1 Performa White</v>
          </cell>
          <cell r="F123">
            <v>300</v>
          </cell>
          <cell r="G123">
            <v>51</v>
          </cell>
          <cell r="H123" t="str">
            <v>x</v>
          </cell>
          <cell r="I123">
            <v>93</v>
          </cell>
          <cell r="J123">
            <v>7500</v>
          </cell>
          <cell r="K123" t="str">
            <v>Pasta Lensi</v>
          </cell>
          <cell r="L123" t="str">
            <v>Astucci Coop Bassi</v>
          </cell>
          <cell r="M123" t="str">
            <v>Arti Grafiche</v>
          </cell>
          <cell r="N123">
            <v>1414</v>
          </cell>
          <cell r="O123" t="str">
            <v/>
          </cell>
        </row>
        <row r="124">
          <cell r="A124" t="str">
            <v>CR0161</v>
          </cell>
          <cell r="B124" t="str">
            <v>C86 Distribuzione</v>
          </cell>
          <cell r="C124" t="str">
            <v>506/2022</v>
          </cell>
          <cell r="D124" t="str">
            <v>5061/22</v>
          </cell>
          <cell r="E124" t="str">
            <v>GC1 Zenith</v>
          </cell>
          <cell r="F124">
            <v>350</v>
          </cell>
          <cell r="G124">
            <v>54.5</v>
          </cell>
          <cell r="H124" t="str">
            <v>x</v>
          </cell>
          <cell r="I124">
            <v>102</v>
          </cell>
          <cell r="J124">
            <v>-24</v>
          </cell>
          <cell r="K124" t="str">
            <v>RCM</v>
          </cell>
          <cell r="L124" t="str">
            <v>Astucci Natale</v>
          </cell>
          <cell r="M124" t="str">
            <v>Arti Grafiche</v>
          </cell>
          <cell r="N124">
            <v>2050</v>
          </cell>
          <cell r="O124" t="str">
            <v>Esaurito</v>
          </cell>
        </row>
        <row r="125">
          <cell r="A125" t="str">
            <v>CR0079</v>
          </cell>
          <cell r="B125" t="str">
            <v>FM Cartiere</v>
          </cell>
          <cell r="C125" t="str">
            <v>241/2022</v>
          </cell>
          <cell r="D125" t="str">
            <v>2408 - 05/08/2022</v>
          </cell>
          <cell r="E125" t="str">
            <v>Ka AVANA</v>
          </cell>
          <cell r="F125">
            <v>350</v>
          </cell>
          <cell r="G125">
            <v>63.5</v>
          </cell>
          <cell r="H125" t="str">
            <v>x</v>
          </cell>
          <cell r="I125">
            <v>79.5</v>
          </cell>
          <cell r="J125">
            <v>-100</v>
          </cell>
          <cell r="K125" t="str">
            <v>Pasta Lensi</v>
          </cell>
          <cell r="L125" t="str">
            <v>Astucci Legumi Alti</v>
          </cell>
          <cell r="M125" t="str">
            <v>Immobiliare</v>
          </cell>
          <cell r="N125">
            <v>1030</v>
          </cell>
          <cell r="O125" t="str">
            <v>Esaurito</v>
          </cell>
        </row>
        <row r="126">
          <cell r="A126" t="str">
            <v>CR0080</v>
          </cell>
          <cell r="B126" t="str">
            <v>Reno de Medici</v>
          </cell>
          <cell r="C126" t="str">
            <v>232/2022</v>
          </cell>
          <cell r="D126" t="str">
            <v>36770 - 23/08/22</v>
          </cell>
          <cell r="E126" t="str">
            <v>962 Avana</v>
          </cell>
          <cell r="F126">
            <v>350</v>
          </cell>
          <cell r="G126">
            <v>63.5</v>
          </cell>
          <cell r="H126" t="str">
            <v>x</v>
          </cell>
          <cell r="I126">
            <v>79</v>
          </cell>
          <cell r="J126">
            <v>-10</v>
          </cell>
          <cell r="K126" t="str">
            <v>Pasta Lensi</v>
          </cell>
          <cell r="L126" t="str">
            <v>Astucci Legumi Alti</v>
          </cell>
          <cell r="M126" t="str">
            <v>Immobiliare</v>
          </cell>
          <cell r="N126">
            <v>1080</v>
          </cell>
          <cell r="O126" t="str">
            <v>Esaurito</v>
          </cell>
        </row>
        <row r="127">
          <cell r="A127" t="str">
            <v>CR0157</v>
          </cell>
          <cell r="B127" t="str">
            <v>Cartiera Lombarda</v>
          </cell>
          <cell r="C127" t="str">
            <v>460/2021</v>
          </cell>
          <cell r="D127" t="str">
            <v>822 - 22/09/2022</v>
          </cell>
          <cell r="E127" t="str">
            <v>GC1 Performa White</v>
          </cell>
          <cell r="F127">
            <v>300</v>
          </cell>
          <cell r="G127">
            <v>51</v>
          </cell>
          <cell r="H127" t="str">
            <v>x</v>
          </cell>
          <cell r="I127">
            <v>93</v>
          </cell>
          <cell r="J127">
            <v>10800</v>
          </cell>
          <cell r="K127" t="str">
            <v>Pasta Lensi</v>
          </cell>
          <cell r="L127" t="str">
            <v>Astucci Coop Bassi</v>
          </cell>
          <cell r="M127" t="str">
            <v>Arti Grafiche</v>
          </cell>
          <cell r="N127">
            <v>1484</v>
          </cell>
          <cell r="O127" t="str">
            <v/>
          </cell>
        </row>
        <row r="128">
          <cell r="A128" t="str">
            <v>CR0158</v>
          </cell>
          <cell r="B128" t="str">
            <v>Cartiera Lombarda</v>
          </cell>
          <cell r="C128" t="str">
            <v>460/2021</v>
          </cell>
          <cell r="D128" t="str">
            <v>822 - 22/09/2022</v>
          </cell>
          <cell r="E128" t="str">
            <v>GC1 Performa White</v>
          </cell>
          <cell r="F128">
            <v>300</v>
          </cell>
          <cell r="G128">
            <v>60</v>
          </cell>
          <cell r="H128" t="str">
            <v>x</v>
          </cell>
          <cell r="I128">
            <v>93</v>
          </cell>
          <cell r="J128">
            <v>8100</v>
          </cell>
          <cell r="K128" t="str">
            <v>Pasta Lensi</v>
          </cell>
          <cell r="L128" t="str">
            <v>Astucci Coop Alti</v>
          </cell>
          <cell r="M128" t="str">
            <v>Arti Grafiche</v>
          </cell>
          <cell r="N128">
            <v>1484</v>
          </cell>
          <cell r="O128" t="str">
            <v/>
          </cell>
        </row>
        <row r="129">
          <cell r="A129" t="str">
            <v>CR0193</v>
          </cell>
          <cell r="B129" t="str">
            <v>Emmaus</v>
          </cell>
          <cell r="C129" t="str">
            <v>545/2022</v>
          </cell>
          <cell r="D129" t="str">
            <v>27/0/6552 - 24/10/2022</v>
          </cell>
          <cell r="E129" t="str">
            <v>112 B/G</v>
          </cell>
          <cell r="F129">
            <v>350</v>
          </cell>
          <cell r="G129">
            <v>64</v>
          </cell>
          <cell r="H129" t="str">
            <v>x</v>
          </cell>
          <cell r="I129">
            <v>77.5</v>
          </cell>
          <cell r="J129">
            <v>-100</v>
          </cell>
          <cell r="K129" t="str">
            <v>La Capsuleria</v>
          </cell>
          <cell r="L129" t="str">
            <v>Astucci Fondo Automantico</v>
          </cell>
          <cell r="M129" t="str">
            <v>Arti Grafiche</v>
          </cell>
          <cell r="N129">
            <v>1265</v>
          </cell>
          <cell r="O129" t="str">
            <v>Esaurito</v>
          </cell>
        </row>
        <row r="130">
          <cell r="A130" t="str">
            <v>CR0063</v>
          </cell>
          <cell r="B130" t="str">
            <v>Cartiera Lombarda</v>
          </cell>
          <cell r="C130" t="str">
            <v>26/2022</v>
          </cell>
          <cell r="D130" t="str">
            <v>400 - 22/04/2022</v>
          </cell>
          <cell r="E130" t="str">
            <v>GC1 Perfoma White</v>
          </cell>
          <cell r="F130">
            <v>300</v>
          </cell>
          <cell r="G130">
            <v>66.5</v>
          </cell>
          <cell r="H130" t="str">
            <v>x</v>
          </cell>
          <cell r="I130">
            <v>104</v>
          </cell>
          <cell r="J130">
            <v>7000</v>
          </cell>
          <cell r="K130" t="str">
            <v>Pasta Lensi</v>
          </cell>
          <cell r="L130" t="str">
            <v>Astucci Coop Altissimi</v>
          </cell>
          <cell r="M130" t="str">
            <v>Arti Grafiche</v>
          </cell>
          <cell r="N130">
            <v>1414</v>
          </cell>
          <cell r="O130" t="str">
            <v/>
          </cell>
        </row>
        <row r="131">
          <cell r="A131" t="str">
            <v>CR0069</v>
          </cell>
          <cell r="B131" t="str">
            <v>ProntoPack</v>
          </cell>
          <cell r="C131" t="str">
            <v>22347/2021</v>
          </cell>
          <cell r="D131" t="str">
            <v>1000016802 - 10/11/2021</v>
          </cell>
          <cell r="E131" t="str">
            <v>GC2 Simecote</v>
          </cell>
          <cell r="F131">
            <v>340</v>
          </cell>
          <cell r="G131">
            <v>74</v>
          </cell>
          <cell r="H131" t="str">
            <v>x</v>
          </cell>
          <cell r="I131">
            <v>58.5</v>
          </cell>
          <cell r="J131">
            <v>-100</v>
          </cell>
          <cell r="K131">
            <v>0</v>
          </cell>
          <cell r="L131">
            <v>0</v>
          </cell>
          <cell r="M131" t="str">
            <v>Arti Grafiche</v>
          </cell>
          <cell r="N131">
            <v>1555</v>
          </cell>
          <cell r="O131" t="str">
            <v>Esaurito</v>
          </cell>
        </row>
        <row r="132">
          <cell r="A132" t="str">
            <v>CR0216</v>
          </cell>
          <cell r="B132" t="str">
            <v>FM Cartiere</v>
          </cell>
          <cell r="C132" t="str">
            <v>581/2022</v>
          </cell>
          <cell r="D132" t="str">
            <v>3399 - 07/11/2022</v>
          </cell>
          <cell r="E132" t="str">
            <v>Ka AVANA</v>
          </cell>
          <cell r="F132">
            <v>320</v>
          </cell>
          <cell r="G132">
            <v>65.5</v>
          </cell>
          <cell r="H132" t="str">
            <v>x</v>
          </cell>
          <cell r="I132">
            <v>101</v>
          </cell>
          <cell r="J132">
            <v>13500</v>
          </cell>
          <cell r="K132" t="str">
            <v>Edo</v>
          </cell>
          <cell r="L132" t="str">
            <v>Astucci 6 ghiaccioli ICA</v>
          </cell>
          <cell r="M132" t="str">
            <v>Arti Grafiche</v>
          </cell>
          <cell r="N132">
            <v>1000</v>
          </cell>
          <cell r="O132" t="str">
            <v/>
          </cell>
        </row>
        <row r="133">
          <cell r="A133" t="str">
            <v>CR0077</v>
          </cell>
          <cell r="B133" t="str">
            <v>Reno de Medici</v>
          </cell>
          <cell r="C133" t="str">
            <v>213/2022</v>
          </cell>
          <cell r="D133" t="str">
            <v>35375 - 22/07/2022</v>
          </cell>
          <cell r="E133" t="str">
            <v>962 Avana</v>
          </cell>
          <cell r="F133">
            <v>350</v>
          </cell>
          <cell r="G133">
            <v>67</v>
          </cell>
          <cell r="H133" t="str">
            <v>x</v>
          </cell>
          <cell r="I133">
            <v>85.5</v>
          </cell>
          <cell r="J133">
            <v>-1000</v>
          </cell>
          <cell r="K133" t="str">
            <v>Pasta Lensi</v>
          </cell>
          <cell r="L133" t="str">
            <v>Astucci Spaghetti</v>
          </cell>
          <cell r="M133" t="str">
            <v>Immobiliare</v>
          </cell>
          <cell r="N133">
            <v>1055</v>
          </cell>
          <cell r="O133" t="str">
            <v>Esaurito</v>
          </cell>
        </row>
        <row r="134">
          <cell r="A134" t="str">
            <v>CR0076</v>
          </cell>
          <cell r="B134" t="str">
            <v>FM Cartiere</v>
          </cell>
          <cell r="C134" t="str">
            <v>62/2022</v>
          </cell>
          <cell r="D134" t="str">
            <v>1962 - 29/06/2022</v>
          </cell>
          <cell r="E134" t="str">
            <v>Ka AVANA</v>
          </cell>
          <cell r="F134">
            <v>350</v>
          </cell>
          <cell r="G134">
            <v>67.5</v>
          </cell>
          <cell r="H134" t="str">
            <v>x</v>
          </cell>
          <cell r="I134">
            <v>85.5</v>
          </cell>
          <cell r="J134">
            <v>-9800</v>
          </cell>
          <cell r="K134" t="str">
            <v>Pasta Lensi</v>
          </cell>
          <cell r="L134" t="str">
            <v>Astucci Spaghetti</v>
          </cell>
          <cell r="M134" t="str">
            <v>Immobiliare</v>
          </cell>
          <cell r="N134">
            <v>840</v>
          </cell>
          <cell r="O134" t="str">
            <v>Esaurito</v>
          </cell>
        </row>
        <row r="135">
          <cell r="A135" t="str">
            <v>CR0066</v>
          </cell>
          <cell r="B135" t="str">
            <v>ICS Firpo</v>
          </cell>
          <cell r="C135">
            <v>0</v>
          </cell>
          <cell r="D135" t="str">
            <v>2172 - 01/06/2021</v>
          </cell>
          <cell r="E135" t="str">
            <v>GC1 Zenith</v>
          </cell>
          <cell r="F135">
            <v>325</v>
          </cell>
          <cell r="G135">
            <v>47.5</v>
          </cell>
          <cell r="H135" t="str">
            <v>x</v>
          </cell>
          <cell r="I135">
            <v>97.5</v>
          </cell>
          <cell r="J135">
            <v>800</v>
          </cell>
          <cell r="K135" t="str">
            <v>Bergen</v>
          </cell>
          <cell r="L135" t="str">
            <v>Astucci Evin</v>
          </cell>
          <cell r="M135" t="str">
            <v>Arti Grafiche</v>
          </cell>
          <cell r="N135">
            <v>1290</v>
          </cell>
          <cell r="O135" t="str">
            <v/>
          </cell>
        </row>
        <row r="136">
          <cell r="A136" t="str">
            <v>CR0068</v>
          </cell>
          <cell r="B136" t="str">
            <v>Fedrigoni</v>
          </cell>
          <cell r="C136" t="str">
            <v>91/2022</v>
          </cell>
          <cell r="D136" t="str">
            <v>8042203963 - 1/06/2022</v>
          </cell>
          <cell r="E136" t="str">
            <v>GC1 Symbol Card</v>
          </cell>
          <cell r="F136">
            <v>330</v>
          </cell>
          <cell r="G136">
            <v>100</v>
          </cell>
          <cell r="H136" t="str">
            <v>x</v>
          </cell>
          <cell r="I136">
            <v>72.5</v>
          </cell>
          <cell r="J136">
            <v>20700</v>
          </cell>
          <cell r="K136" t="str">
            <v>Gaetarelli</v>
          </cell>
          <cell r="L136" t="str">
            <v>Fasce per la pasta</v>
          </cell>
          <cell r="M136" t="str">
            <v>Immobiliare</v>
          </cell>
          <cell r="N136">
            <v>1680</v>
          </cell>
          <cell r="O136" t="str">
            <v/>
          </cell>
        </row>
        <row r="137">
          <cell r="A137" t="str">
            <v>CR0166</v>
          </cell>
          <cell r="B137" t="str">
            <v>Emmaus</v>
          </cell>
          <cell r="C137" t="str">
            <v>C22 008983</v>
          </cell>
          <cell r="D137" t="str">
            <v>27/0/6176 - 05/10</v>
          </cell>
          <cell r="E137" t="str">
            <v>GC2 RCT</v>
          </cell>
          <cell r="F137">
            <v>350</v>
          </cell>
          <cell r="G137">
            <v>71</v>
          </cell>
          <cell r="H137" t="str">
            <v>x</v>
          </cell>
          <cell r="I137">
            <v>94</v>
          </cell>
          <cell r="J137">
            <v>-100</v>
          </cell>
          <cell r="K137" t="str">
            <v>Offel</v>
          </cell>
          <cell r="L137" t="str">
            <v>Sun +</v>
          </cell>
          <cell r="M137" t="str">
            <v>Arti Grafiche</v>
          </cell>
          <cell r="N137">
            <v>1470</v>
          </cell>
          <cell r="O137" t="str">
            <v>Esaurito</v>
          </cell>
        </row>
        <row r="138">
          <cell r="A138" t="str">
            <v>CR0192</v>
          </cell>
          <cell r="B138" t="str">
            <v>Emmaus</v>
          </cell>
          <cell r="C138" t="str">
            <v>538/2022</v>
          </cell>
          <cell r="D138" t="str">
            <v>27/0/6417 - 17/10/2022</v>
          </cell>
          <cell r="E138" t="str">
            <v>113 B/B</v>
          </cell>
          <cell r="F138">
            <v>350</v>
          </cell>
          <cell r="G138">
            <v>52</v>
          </cell>
          <cell r="H138" t="str">
            <v>x</v>
          </cell>
          <cell r="I138">
            <v>98</v>
          </cell>
          <cell r="J138">
            <v>1700</v>
          </cell>
          <cell r="K138" t="str">
            <v>Quaranta</v>
          </cell>
          <cell r="L138" t="str">
            <v>Astucci Florentine</v>
          </cell>
          <cell r="M138" t="str">
            <v>Arti Grafiche</v>
          </cell>
          <cell r="N138">
            <v>1315</v>
          </cell>
          <cell r="O138" t="str">
            <v/>
          </cell>
        </row>
        <row r="139">
          <cell r="A139" t="str">
            <v>CR0086</v>
          </cell>
          <cell r="B139" t="str">
            <v>Emmaus</v>
          </cell>
          <cell r="C139" t="str">
            <v>480/2022</v>
          </cell>
          <cell r="D139" t="str">
            <v>27/0/5672</v>
          </cell>
          <cell r="E139" t="str">
            <v>113 B/B</v>
          </cell>
          <cell r="F139">
            <v>350</v>
          </cell>
          <cell r="G139">
            <v>80</v>
          </cell>
          <cell r="H139" t="str">
            <v>x</v>
          </cell>
          <cell r="I139">
            <v>49.5</v>
          </cell>
          <cell r="J139">
            <v>-100</v>
          </cell>
          <cell r="K139" t="str">
            <v>Quaranta</v>
          </cell>
          <cell r="L139" t="str">
            <v>Mattonella</v>
          </cell>
          <cell r="M139" t="str">
            <v>Arti Grafiche</v>
          </cell>
          <cell r="N139">
            <v>1275</v>
          </cell>
          <cell r="O139" t="str">
            <v>Esaurito</v>
          </cell>
        </row>
        <row r="140">
          <cell r="A140" t="str">
            <v>CR0072</v>
          </cell>
          <cell r="B140" t="str">
            <v>Reno de Medici</v>
          </cell>
          <cell r="C140" t="str">
            <v>890/2021</v>
          </cell>
          <cell r="D140" t="str">
            <v>27946 - 19/04/2022</v>
          </cell>
          <cell r="E140" t="str">
            <v>962 Avana</v>
          </cell>
          <cell r="F140">
            <v>350</v>
          </cell>
          <cell r="G140">
            <v>82</v>
          </cell>
          <cell r="H140" t="str">
            <v>x</v>
          </cell>
          <cell r="I140">
            <v>60.5</v>
          </cell>
          <cell r="J140">
            <v>-100</v>
          </cell>
          <cell r="K140" t="str">
            <v>Valledoro</v>
          </cell>
          <cell r="L140" t="str">
            <v>Astucci Sungri</v>
          </cell>
          <cell r="M140" t="str">
            <v>Immobiliare</v>
          </cell>
          <cell r="N140">
            <v>915</v>
          </cell>
          <cell r="O140" t="str">
            <v>Esaurito</v>
          </cell>
        </row>
        <row r="141">
          <cell r="A141" t="str">
            <v>CR0115</v>
          </cell>
          <cell r="B141" t="str">
            <v>FM Cartiere</v>
          </cell>
          <cell r="C141" t="str">
            <v>382/2022</v>
          </cell>
          <cell r="D141" t="str">
            <v>2791/22 - 19/09/22</v>
          </cell>
          <cell r="E141" t="str">
            <v>Ka AVANA</v>
          </cell>
          <cell r="F141">
            <v>350</v>
          </cell>
          <cell r="G141">
            <v>63.5</v>
          </cell>
          <cell r="H141" t="str">
            <v>x</v>
          </cell>
          <cell r="I141">
            <v>79.5</v>
          </cell>
          <cell r="J141">
            <v>67500</v>
          </cell>
          <cell r="K141" t="str">
            <v>Pasta Lensi</v>
          </cell>
          <cell r="L141" t="str">
            <v>Astucci Legumi Alti</v>
          </cell>
          <cell r="M141" t="str">
            <v>Immobiliare</v>
          </cell>
          <cell r="N141">
            <v>1030</v>
          </cell>
          <cell r="O141" t="str">
            <v/>
          </cell>
        </row>
        <row r="142">
          <cell r="A142" t="str">
            <v>CR0073</v>
          </cell>
          <cell r="B142" t="str">
            <v>FM Cartiere</v>
          </cell>
          <cell r="C142" t="str">
            <v>62/2022</v>
          </cell>
          <cell r="D142" t="str">
            <v>1962 - 29/06/2022</v>
          </cell>
          <cell r="E142" t="str">
            <v>Ka AVANA</v>
          </cell>
          <cell r="F142">
            <v>350</v>
          </cell>
          <cell r="G142">
            <v>83.5</v>
          </cell>
          <cell r="H142" t="str">
            <v>x</v>
          </cell>
          <cell r="I142">
            <v>72.5</v>
          </cell>
          <cell r="J142">
            <v>-100</v>
          </cell>
          <cell r="K142" t="str">
            <v>Pasta Lensi</v>
          </cell>
          <cell r="L142" t="str">
            <v>Astucci Legumi Bassi</v>
          </cell>
          <cell r="M142" t="str">
            <v>Immobiliare</v>
          </cell>
          <cell r="N142">
            <v>840</v>
          </cell>
          <cell r="O142" t="str">
            <v>Esaurito</v>
          </cell>
        </row>
        <row r="143">
          <cell r="A143" t="str">
            <v>CR0085</v>
          </cell>
          <cell r="B143" t="str">
            <v>Emmaus</v>
          </cell>
          <cell r="C143" t="str">
            <v>467/2022</v>
          </cell>
          <cell r="D143" t="str">
            <v>27/0/5495 - 05/09/2022</v>
          </cell>
          <cell r="E143" t="str">
            <v>113 B/B</v>
          </cell>
          <cell r="F143">
            <v>350</v>
          </cell>
          <cell r="G143">
            <v>94</v>
          </cell>
          <cell r="H143" t="str">
            <v>x</v>
          </cell>
          <cell r="I143">
            <v>60</v>
          </cell>
          <cell r="J143">
            <v>1750</v>
          </cell>
          <cell r="K143" t="str">
            <v>Quaranta</v>
          </cell>
          <cell r="L143" t="str">
            <v>Astucci Maxi Florentine</v>
          </cell>
          <cell r="M143" t="str">
            <v>Arti Grafiche</v>
          </cell>
          <cell r="N143">
            <v>1125</v>
          </cell>
          <cell r="O143" t="str">
            <v/>
          </cell>
        </row>
        <row r="144">
          <cell r="A144" t="str">
            <v>CR0081</v>
          </cell>
          <cell r="B144" t="str">
            <v>Reno de Medici</v>
          </cell>
          <cell r="C144" t="str">
            <v>232/2022</v>
          </cell>
          <cell r="D144" t="str">
            <v>36770 - 23/08/22</v>
          </cell>
          <cell r="E144" t="str">
            <v>962 Avana</v>
          </cell>
          <cell r="F144">
            <v>350</v>
          </cell>
          <cell r="G144">
            <v>66.5</v>
          </cell>
          <cell r="H144" t="str">
            <v>x</v>
          </cell>
          <cell r="I144">
            <v>79</v>
          </cell>
          <cell r="J144">
            <v>13600</v>
          </cell>
          <cell r="K144" t="str">
            <v>Pasta Lensi</v>
          </cell>
          <cell r="L144" t="str">
            <v>Astucci Legumi x200</v>
          </cell>
          <cell r="M144" t="str">
            <v>Immobiliare</v>
          </cell>
          <cell r="N144">
            <v>1080</v>
          </cell>
          <cell r="O144" t="str">
            <v/>
          </cell>
        </row>
        <row r="145">
          <cell r="A145" t="str">
            <v>CR0119</v>
          </cell>
          <cell r="B145" t="str">
            <v>Reno de Medici</v>
          </cell>
          <cell r="C145" t="str">
            <v>437/2022</v>
          </cell>
          <cell r="D145" t="str">
            <v>39057 - 20/09/22</v>
          </cell>
          <cell r="E145" t="str">
            <v>962 Avana</v>
          </cell>
          <cell r="F145">
            <v>350</v>
          </cell>
          <cell r="G145">
            <v>66.5</v>
          </cell>
          <cell r="H145" t="str">
            <v>x</v>
          </cell>
          <cell r="I145">
            <v>79.5</v>
          </cell>
          <cell r="J145">
            <v>28700</v>
          </cell>
          <cell r="K145" t="str">
            <v>Pasta Lensi</v>
          </cell>
          <cell r="L145" t="str">
            <v>Astucci Legumi x200</v>
          </cell>
          <cell r="M145" t="str">
            <v>Immobiliare</v>
          </cell>
          <cell r="N145">
            <v>1055</v>
          </cell>
          <cell r="O145" t="str">
            <v/>
          </cell>
        </row>
        <row r="146">
          <cell r="A146" t="str">
            <v>CR0075</v>
          </cell>
          <cell r="B146" t="str">
            <v>Emmaus</v>
          </cell>
          <cell r="C146" t="str">
            <v>231/2022</v>
          </cell>
          <cell r="D146" t="str">
            <v>27/0/3186 - 07/05/2022</v>
          </cell>
          <cell r="E146" t="str">
            <v>962 Avana</v>
          </cell>
          <cell r="F146">
            <v>350</v>
          </cell>
          <cell r="G146">
            <v>87.5</v>
          </cell>
          <cell r="H146" t="str">
            <v>x</v>
          </cell>
          <cell r="I146">
            <v>72</v>
          </cell>
          <cell r="J146">
            <v>-100</v>
          </cell>
          <cell r="K146" t="str">
            <v>Pasta Lensi</v>
          </cell>
          <cell r="L146" t="str">
            <v>Astucci Legumi Alti New</v>
          </cell>
          <cell r="M146" t="str">
            <v>Immobiliare</v>
          </cell>
          <cell r="N146">
            <v>1150</v>
          </cell>
          <cell r="O146" t="str">
            <v>Esaurito</v>
          </cell>
        </row>
        <row r="147">
          <cell r="A147" t="str">
            <v>CR0211</v>
          </cell>
          <cell r="B147" t="str">
            <v>FM Cartiere</v>
          </cell>
          <cell r="C147" t="str">
            <v>198/2022</v>
          </cell>
          <cell r="D147">
            <v>0</v>
          </cell>
          <cell r="E147" t="str">
            <v>Ka AVANA</v>
          </cell>
          <cell r="F147">
            <v>350</v>
          </cell>
          <cell r="G147">
            <v>66.5</v>
          </cell>
          <cell r="H147" t="str">
            <v>x</v>
          </cell>
          <cell r="I147">
            <v>79</v>
          </cell>
          <cell r="J147">
            <v>4500</v>
          </cell>
          <cell r="K147" t="str">
            <v>Pasta Lensi</v>
          </cell>
          <cell r="L147" t="str">
            <v>Astucci Legumi x200</v>
          </cell>
          <cell r="M147" t="str">
            <v>Immobiliare</v>
          </cell>
          <cell r="N147">
            <v>1030</v>
          </cell>
          <cell r="O147" t="str">
            <v/>
          </cell>
        </row>
        <row r="148">
          <cell r="A148" t="str">
            <v>CR0116</v>
          </cell>
          <cell r="B148" t="str">
            <v>FM Cartiere</v>
          </cell>
          <cell r="C148" t="str">
            <v>382/2022</v>
          </cell>
          <cell r="D148" t="str">
            <v>2833 - 21/09/2022</v>
          </cell>
          <cell r="E148" t="str">
            <v>Ka AVANA</v>
          </cell>
          <cell r="F148">
            <v>350</v>
          </cell>
          <cell r="G148">
            <v>67.5</v>
          </cell>
          <cell r="H148" t="str">
            <v>x</v>
          </cell>
          <cell r="I148">
            <v>85.5</v>
          </cell>
          <cell r="J148">
            <v>19600</v>
          </cell>
          <cell r="K148" t="str">
            <v>Pasta Lensi</v>
          </cell>
          <cell r="L148" t="str">
            <v>Astucci Spaghetti</v>
          </cell>
          <cell r="M148" t="str">
            <v>Immobiliare</v>
          </cell>
          <cell r="N148">
            <v>1030</v>
          </cell>
          <cell r="O148" t="str">
            <v/>
          </cell>
        </row>
        <row r="149">
          <cell r="A149" t="str">
            <v>CR0135</v>
          </cell>
          <cell r="B149" t="str">
            <v>Reno de Medici</v>
          </cell>
          <cell r="C149" t="str">
            <v>481/2022</v>
          </cell>
          <cell r="D149" t="str">
            <v>41318 - 26/10/22</v>
          </cell>
          <cell r="E149" t="str">
            <v>962 Avana</v>
          </cell>
          <cell r="F149">
            <v>350</v>
          </cell>
          <cell r="G149">
            <v>67.5</v>
          </cell>
          <cell r="H149" t="str">
            <v>x</v>
          </cell>
          <cell r="I149">
            <v>85.5</v>
          </cell>
          <cell r="J149">
            <v>26400</v>
          </cell>
          <cell r="K149" t="str">
            <v>Pasta Lensi</v>
          </cell>
          <cell r="L149" t="str">
            <v>Astucci Spaghetti</v>
          </cell>
          <cell r="M149" t="str">
            <v>Immobiliare</v>
          </cell>
          <cell r="N149">
            <v>1055</v>
          </cell>
          <cell r="O149" t="str">
            <v/>
          </cell>
        </row>
        <row r="150">
          <cell r="A150" t="str">
            <v>CR0078</v>
          </cell>
          <cell r="B150" t="str">
            <v>FM Cartiere</v>
          </cell>
          <cell r="C150" t="str">
            <v>108/2021</v>
          </cell>
          <cell r="D150" t="str">
            <v>1962 - 29/06/2022</v>
          </cell>
          <cell r="E150" t="str">
            <v>Ka AVANA</v>
          </cell>
          <cell r="F150">
            <v>350</v>
          </cell>
          <cell r="G150">
            <v>71</v>
          </cell>
          <cell r="H150" t="str">
            <v>x</v>
          </cell>
          <cell r="I150">
            <v>94</v>
          </cell>
          <cell r="J150">
            <v>20000</v>
          </cell>
          <cell r="K150" t="str">
            <v>Pasta Lensi</v>
          </cell>
          <cell r="L150" t="str">
            <v>Astucci Spaghettoni</v>
          </cell>
          <cell r="M150" t="str">
            <v>Immobiliare</v>
          </cell>
          <cell r="N150">
            <v>990</v>
          </cell>
          <cell r="O150" t="str">
            <v/>
          </cell>
        </row>
        <row r="151">
          <cell r="A151" t="str">
            <v>CR0118</v>
          </cell>
          <cell r="B151" t="str">
            <v>Reno de Medici</v>
          </cell>
          <cell r="C151" t="str">
            <v>238/2022</v>
          </cell>
          <cell r="D151" t="str">
            <v>39058 - 20/09/22</v>
          </cell>
          <cell r="E151" t="str">
            <v>962 Avana</v>
          </cell>
          <cell r="F151">
            <v>350</v>
          </cell>
          <cell r="G151">
            <v>82</v>
          </cell>
          <cell r="H151" t="str">
            <v>x</v>
          </cell>
          <cell r="I151">
            <v>60.5</v>
          </cell>
          <cell r="J151">
            <v>28900</v>
          </cell>
          <cell r="K151" t="str">
            <v>Vallledoro</v>
          </cell>
          <cell r="L151" t="str">
            <v>Sungrì</v>
          </cell>
          <cell r="M151" t="str">
            <v>Immobiliare</v>
          </cell>
          <cell r="N151">
            <v>1055</v>
          </cell>
          <cell r="O151" t="str">
            <v/>
          </cell>
        </row>
        <row r="152">
          <cell r="A152" t="str">
            <v>CR0074</v>
          </cell>
          <cell r="B152" t="str">
            <v>FM Cartiere</v>
          </cell>
          <cell r="C152" t="str">
            <v>241/2022</v>
          </cell>
          <cell r="D152" t="str">
            <v>2408 - 05/08/2022</v>
          </cell>
          <cell r="E152" t="str">
            <v>Ka AVANA</v>
          </cell>
          <cell r="F152">
            <v>350</v>
          </cell>
          <cell r="G152">
            <v>83.5</v>
          </cell>
          <cell r="H152" t="str">
            <v>x</v>
          </cell>
          <cell r="I152">
            <v>72.5</v>
          </cell>
          <cell r="J152">
            <v>10300</v>
          </cell>
          <cell r="K152" t="str">
            <v>Pasta Lensi</v>
          </cell>
          <cell r="L152" t="str">
            <v>Astucci Legumi Bassi</v>
          </cell>
          <cell r="M152" t="str">
            <v>Immobiliare</v>
          </cell>
          <cell r="N152">
            <v>1030</v>
          </cell>
          <cell r="O152" t="str">
            <v/>
          </cell>
        </row>
        <row r="153">
          <cell r="A153" t="str">
            <v>CR0207</v>
          </cell>
          <cell r="B153" t="str">
            <v>FM Cartiere</v>
          </cell>
          <cell r="C153" t="str">
            <v>552/2022</v>
          </cell>
          <cell r="D153" t="str">
            <v>3399 - 07/11/2022</v>
          </cell>
          <cell r="E153" t="str">
            <v>07 B/G</v>
          </cell>
          <cell r="F153">
            <v>350</v>
          </cell>
          <cell r="G153">
            <v>91.5</v>
          </cell>
          <cell r="H153" t="str">
            <v>x</v>
          </cell>
          <cell r="I153">
            <v>60</v>
          </cell>
          <cell r="J153">
            <v>-100</v>
          </cell>
          <cell r="K153" t="str">
            <v>Pantytex</v>
          </cell>
          <cell r="L153" t="str">
            <v>Astucci Wibra</v>
          </cell>
          <cell r="M153" t="str">
            <v>Arti Grafiche</v>
          </cell>
          <cell r="N153">
            <v>950</v>
          </cell>
          <cell r="O153" t="str">
            <v>Esaurito</v>
          </cell>
        </row>
        <row r="154">
          <cell r="A154" t="str">
            <v>CR0088</v>
          </cell>
          <cell r="B154" t="str">
            <v>Favini</v>
          </cell>
          <cell r="C154" t="str">
            <v>452/2022</v>
          </cell>
          <cell r="D154" t="str">
            <v>ZV01/1008577 - 01/09/2022</v>
          </cell>
          <cell r="E154" t="str">
            <v>Remake Favini Colore VW</v>
          </cell>
          <cell r="F154">
            <v>380</v>
          </cell>
          <cell r="G154">
            <v>71</v>
          </cell>
          <cell r="H154" t="str">
            <v>x</v>
          </cell>
          <cell r="I154">
            <v>102</v>
          </cell>
          <cell r="J154">
            <v>-100</v>
          </cell>
          <cell r="K154" t="str">
            <v>Westwood</v>
          </cell>
          <cell r="L154" t="str">
            <v>Poncho</v>
          </cell>
          <cell r="M154" t="str">
            <v>Arti Grafiche</v>
          </cell>
          <cell r="N154">
            <v>2920</v>
          </cell>
          <cell r="O154" t="str">
            <v>Esaurito</v>
          </cell>
        </row>
        <row r="155">
          <cell r="A155" t="str">
            <v>CR0083</v>
          </cell>
          <cell r="B155" t="str">
            <v>Reno de Medici</v>
          </cell>
          <cell r="C155" t="str">
            <v>345/2022</v>
          </cell>
          <cell r="D155" t="str">
            <v>37694 02/09/2022</v>
          </cell>
          <cell r="E155" t="str">
            <v>962 Avana</v>
          </cell>
          <cell r="F155">
            <v>350</v>
          </cell>
          <cell r="G155">
            <v>83.5</v>
          </cell>
          <cell r="H155" t="str">
            <v>x</v>
          </cell>
          <cell r="I155">
            <v>72.5</v>
          </cell>
          <cell r="J155">
            <v>35000</v>
          </cell>
          <cell r="K155" t="str">
            <v>Pasta Lensi</v>
          </cell>
          <cell r="L155" t="str">
            <v>Astucci Legumi Bassi</v>
          </cell>
          <cell r="M155" t="str">
            <v>Immobiliare</v>
          </cell>
          <cell r="N155">
            <v>1055</v>
          </cell>
          <cell r="O155" t="str">
            <v/>
          </cell>
        </row>
        <row r="156">
          <cell r="A156" t="str">
            <v>CR0202</v>
          </cell>
          <cell r="B156" t="str">
            <v>Favini</v>
          </cell>
          <cell r="C156" t="str">
            <v>553/2022</v>
          </cell>
          <cell r="D156" t="str">
            <v>ZV/1010555 / 31/10/2022</v>
          </cell>
          <cell r="E156" t="str">
            <v>Remake Favini Colore VW</v>
          </cell>
          <cell r="F156">
            <v>380</v>
          </cell>
          <cell r="G156">
            <v>71</v>
          </cell>
          <cell r="H156" t="str">
            <v>x</v>
          </cell>
          <cell r="I156">
            <v>101</v>
          </cell>
          <cell r="J156">
            <v>-100</v>
          </cell>
          <cell r="K156" t="str">
            <v>Westwood</v>
          </cell>
          <cell r="L156" t="str">
            <v>Cravatte Tie</v>
          </cell>
          <cell r="M156" t="str">
            <v>Arti Grafiche</v>
          </cell>
          <cell r="N156">
            <v>3190</v>
          </cell>
          <cell r="O156" t="str">
            <v>Esaurito</v>
          </cell>
        </row>
        <row r="157">
          <cell r="A157" t="str">
            <v>CR0129</v>
          </cell>
          <cell r="B157" t="str">
            <v>Emmaus</v>
          </cell>
          <cell r="C157" t="str">
            <v>c22008452/2022</v>
          </cell>
          <cell r="D157" t="str">
            <v>27/0/5813 - 17/09/2022</v>
          </cell>
          <cell r="E157" t="str">
            <v>112 B/G</v>
          </cell>
          <cell r="F157">
            <v>385</v>
          </cell>
          <cell r="G157">
            <v>47.5</v>
          </cell>
          <cell r="H157" t="str">
            <v>x</v>
          </cell>
          <cell r="I157">
            <v>66</v>
          </cell>
          <cell r="J157">
            <v>-100</v>
          </cell>
          <cell r="K157" t="str">
            <v>Stringart</v>
          </cell>
          <cell r="L157" t="str">
            <v>Scatole Movi</v>
          </cell>
          <cell r="M157" t="str">
            <v>Arti Grafiche</v>
          </cell>
          <cell r="N157">
            <v>1235</v>
          </cell>
          <cell r="O157" t="str">
            <v>Esaurito</v>
          </cell>
        </row>
        <row r="158">
          <cell r="A158" t="str">
            <v>CR0114</v>
          </cell>
          <cell r="B158" t="str">
            <v>FM Cartiere</v>
          </cell>
          <cell r="C158" t="str">
            <v>382/2022</v>
          </cell>
          <cell r="D158" t="str">
            <v>2791/22 - 19/09/22</v>
          </cell>
          <cell r="E158" t="str">
            <v>Ka AVANA</v>
          </cell>
          <cell r="F158">
            <v>350</v>
          </cell>
          <cell r="G158">
            <v>83.5</v>
          </cell>
          <cell r="H158" t="str">
            <v>x</v>
          </cell>
          <cell r="I158">
            <v>72.5</v>
          </cell>
          <cell r="J158">
            <v>56800</v>
          </cell>
          <cell r="K158" t="str">
            <v>Pasta Lensi</v>
          </cell>
          <cell r="L158" t="str">
            <v>Astucci Legumi Bassi</v>
          </cell>
          <cell r="M158" t="str">
            <v>Immobiliare</v>
          </cell>
          <cell r="N158">
            <v>1030</v>
          </cell>
          <cell r="O158" t="str">
            <v/>
          </cell>
        </row>
        <row r="159">
          <cell r="A159" t="str">
            <v>CR0182</v>
          </cell>
          <cell r="B159" t="str">
            <v>Emmaus</v>
          </cell>
          <cell r="C159" t="str">
            <v>C22 009264</v>
          </cell>
          <cell r="D159" t="str">
            <v>27/0/6336 - 12/10/2022</v>
          </cell>
          <cell r="E159" t="str">
            <v>112 B/G</v>
          </cell>
          <cell r="F159">
            <v>385</v>
          </cell>
          <cell r="G159">
            <v>46</v>
          </cell>
          <cell r="H159" t="str">
            <v>x</v>
          </cell>
          <cell r="I159">
            <v>102</v>
          </cell>
          <cell r="J159">
            <v>-200</v>
          </cell>
          <cell r="K159" t="str">
            <v>RCM</v>
          </cell>
          <cell r="L159" t="str">
            <v>Astucci Everline</v>
          </cell>
          <cell r="M159" t="str">
            <v>Arti Grafiche</v>
          </cell>
          <cell r="N159">
            <v>1315</v>
          </cell>
          <cell r="O159" t="str">
            <v>Esaurito</v>
          </cell>
        </row>
        <row r="160">
          <cell r="A160" t="str">
            <v>CR0174</v>
          </cell>
          <cell r="B160" t="str">
            <v>Emmaus</v>
          </cell>
          <cell r="C160" t="str">
            <v>528/2022</v>
          </cell>
          <cell r="D160" t="str">
            <v>27/0/6336 - 12/10/2022</v>
          </cell>
          <cell r="E160" t="str">
            <v>112 B/G</v>
          </cell>
          <cell r="F160">
            <v>385</v>
          </cell>
          <cell r="G160">
            <v>63</v>
          </cell>
          <cell r="H160" t="str">
            <v>x</v>
          </cell>
          <cell r="I160">
            <v>79</v>
          </cell>
          <cell r="J160">
            <v>-100</v>
          </cell>
          <cell r="K160" t="str">
            <v>Moretto</v>
          </cell>
          <cell r="L160" t="str">
            <v>Cioccolate 12</v>
          </cell>
          <cell r="M160" t="str">
            <v>Arti Grafiche</v>
          </cell>
          <cell r="N160">
            <v>1255</v>
          </cell>
          <cell r="O160" t="str">
            <v>Esaurito</v>
          </cell>
        </row>
        <row r="161">
          <cell r="A161" t="str">
            <v>CR0084</v>
          </cell>
          <cell r="B161" t="str">
            <v>Reno de Medici</v>
          </cell>
          <cell r="C161" t="str">
            <v>345/2022</v>
          </cell>
          <cell r="D161" t="str">
            <v>37694 02/09/2022</v>
          </cell>
          <cell r="E161" t="str">
            <v>962 Avana</v>
          </cell>
          <cell r="F161">
            <v>350</v>
          </cell>
          <cell r="G161">
            <v>87.5</v>
          </cell>
          <cell r="H161" t="str">
            <v>x</v>
          </cell>
          <cell r="I161">
            <v>72.5</v>
          </cell>
          <cell r="J161">
            <v>16600</v>
          </cell>
          <cell r="K161" t="str">
            <v>Pasta Lensi</v>
          </cell>
          <cell r="L161" t="str">
            <v>Astucci Alti new</v>
          </cell>
          <cell r="M161" t="str">
            <v>Immobiliare</v>
          </cell>
          <cell r="N161">
            <v>1055</v>
          </cell>
          <cell r="O161" t="str">
            <v/>
          </cell>
        </row>
        <row r="162">
          <cell r="A162" t="str">
            <v>CR0090</v>
          </cell>
          <cell r="B162" t="str">
            <v>Emmaus</v>
          </cell>
          <cell r="C162" t="str">
            <v>480/2022</v>
          </cell>
          <cell r="D162" t="str">
            <v>27/0/5672</v>
          </cell>
          <cell r="E162" t="str">
            <v>113 B/B</v>
          </cell>
          <cell r="F162">
            <v>385</v>
          </cell>
          <cell r="G162">
            <v>77.5</v>
          </cell>
          <cell r="H162" t="str">
            <v>x</v>
          </cell>
          <cell r="I162">
            <v>72</v>
          </cell>
          <cell r="J162">
            <v>-100</v>
          </cell>
          <cell r="K162" t="str">
            <v>Quaranta</v>
          </cell>
          <cell r="L162" t="str">
            <v>Nuts</v>
          </cell>
          <cell r="M162" t="str">
            <v>Arti Grafiche</v>
          </cell>
          <cell r="N162">
            <v>1255</v>
          </cell>
          <cell r="O162" t="str">
            <v>Esaurito</v>
          </cell>
        </row>
        <row r="163">
          <cell r="A163" t="str">
            <v>CR0070</v>
          </cell>
          <cell r="B163" t="str">
            <v>Reno de Medici</v>
          </cell>
          <cell r="C163" t="str">
            <v>834/2021</v>
          </cell>
          <cell r="D163" t="str">
            <v>23262 - 16/02/2022</v>
          </cell>
          <cell r="E163" t="str">
            <v>113 B/B</v>
          </cell>
          <cell r="F163">
            <v>350</v>
          </cell>
          <cell r="G163">
            <v>93.5</v>
          </cell>
          <cell r="H163" t="str">
            <v>x</v>
          </cell>
          <cell r="I163">
            <v>71.5</v>
          </cell>
          <cell r="J163">
            <v>13300</v>
          </cell>
          <cell r="K163" t="str">
            <v>Prontofoods</v>
          </cell>
          <cell r="L163" t="str">
            <v>Astucci Budini</v>
          </cell>
          <cell r="M163" t="str">
            <v>Immobiliare</v>
          </cell>
          <cell r="N163">
            <v>910</v>
          </cell>
          <cell r="O163" t="str">
            <v/>
          </cell>
        </row>
        <row r="164">
          <cell r="A164" t="str">
            <v>CR0176</v>
          </cell>
          <cell r="B164" t="str">
            <v>Emmaus</v>
          </cell>
          <cell r="C164" t="str">
            <v>522/2022</v>
          </cell>
          <cell r="D164" t="str">
            <v>27/0/6194 - 06/10/2022</v>
          </cell>
          <cell r="E164" t="str">
            <v>112 B/G</v>
          </cell>
          <cell r="F164">
            <v>400</v>
          </cell>
          <cell r="G164">
            <v>42</v>
          </cell>
          <cell r="H164" t="str">
            <v>x</v>
          </cell>
          <cell r="I164">
            <v>67</v>
          </cell>
          <cell r="J164">
            <v>-100</v>
          </cell>
          <cell r="K164" t="str">
            <v>Tradigo</v>
          </cell>
          <cell r="L164" t="str">
            <v>Contenitori Confort</v>
          </cell>
          <cell r="M164" t="str">
            <v>Arti Grafiche</v>
          </cell>
          <cell r="N164">
            <v>1255</v>
          </cell>
          <cell r="O164" t="str">
            <v>Esaurito</v>
          </cell>
        </row>
        <row r="165">
          <cell r="A165" t="str">
            <v>CR0102</v>
          </cell>
          <cell r="B165" t="str">
            <v>Emmaus</v>
          </cell>
          <cell r="C165" t="str">
            <v>487/2022</v>
          </cell>
          <cell r="D165">
            <v>0</v>
          </cell>
          <cell r="E165" t="str">
            <v>112 B/G</v>
          </cell>
          <cell r="F165">
            <v>400</v>
          </cell>
          <cell r="G165">
            <v>60.5</v>
          </cell>
          <cell r="H165" t="str">
            <v>x</v>
          </cell>
          <cell r="I165">
            <v>106</v>
          </cell>
          <cell r="J165">
            <v>-100</v>
          </cell>
          <cell r="K165" t="str">
            <v>Essegel</v>
          </cell>
          <cell r="L165" t="str">
            <v>MD</v>
          </cell>
          <cell r="M165" t="str">
            <v>Arti Grafiche</v>
          </cell>
          <cell r="N165">
            <v>1235</v>
          </cell>
          <cell r="O165" t="str">
            <v>Esaurito</v>
          </cell>
        </row>
        <row r="166">
          <cell r="A166" t="str">
            <v>CR0117</v>
          </cell>
          <cell r="B166" t="str">
            <v>Reno de Medici</v>
          </cell>
          <cell r="C166" t="str">
            <v>437/2022</v>
          </cell>
          <cell r="D166" t="str">
            <v>38871 - 16/09/22</v>
          </cell>
          <cell r="E166" t="str">
            <v>962 Avana</v>
          </cell>
          <cell r="F166">
            <v>400</v>
          </cell>
          <cell r="G166">
            <v>60.5</v>
          </cell>
          <cell r="H166" t="str">
            <v>x</v>
          </cell>
          <cell r="I166">
            <v>106</v>
          </cell>
          <cell r="J166">
            <v>-100</v>
          </cell>
          <cell r="K166" t="str">
            <v>Essegel</v>
          </cell>
          <cell r="L166" t="str">
            <v>MD</v>
          </cell>
          <cell r="M166" t="str">
            <v>Arti Grafiche</v>
          </cell>
          <cell r="N166">
            <v>1055</v>
          </cell>
          <cell r="O166" t="str">
            <v>Esaurito</v>
          </cell>
        </row>
        <row r="167">
          <cell r="A167" t="str">
            <v>CR0099</v>
          </cell>
          <cell r="B167" t="str">
            <v>Emmaus</v>
          </cell>
          <cell r="C167" t="str">
            <v>C22 007950/2022</v>
          </cell>
          <cell r="D167" t="str">
            <v>27/0/5415 - 01/09/2022</v>
          </cell>
          <cell r="E167" t="str">
            <v>112 B/G</v>
          </cell>
          <cell r="F167">
            <v>400</v>
          </cell>
          <cell r="G167">
            <v>61.5</v>
          </cell>
          <cell r="H167" t="str">
            <v>x</v>
          </cell>
          <cell r="I167">
            <v>100.5</v>
          </cell>
          <cell r="J167">
            <v>-100</v>
          </cell>
          <cell r="K167" t="str">
            <v>Nero Nobile</v>
          </cell>
          <cell r="L167" t="str">
            <v>Ordine 559 Iper</v>
          </cell>
          <cell r="M167" t="str">
            <v>Arti Grafiche</v>
          </cell>
          <cell r="N167">
            <v>1085</v>
          </cell>
          <cell r="O167" t="str">
            <v>Esaurito</v>
          </cell>
        </row>
        <row r="168">
          <cell r="A168" t="str">
            <v>CR0132</v>
          </cell>
          <cell r="B168" t="str">
            <v>Iggesund</v>
          </cell>
          <cell r="C168" t="str">
            <v>469/2022</v>
          </cell>
          <cell r="D168" t="str">
            <v>469 - 06/10/2022</v>
          </cell>
          <cell r="E168" t="str">
            <v>Incada exel</v>
          </cell>
          <cell r="F168">
            <v>400</v>
          </cell>
          <cell r="G168">
            <v>62</v>
          </cell>
          <cell r="H168" t="str">
            <v>x</v>
          </cell>
          <cell r="I168">
            <v>100.5</v>
          </cell>
          <cell r="J168">
            <v>-100</v>
          </cell>
          <cell r="K168" t="str">
            <v>Nero nobile</v>
          </cell>
          <cell r="L168" t="str">
            <v>Astucci FS0380</v>
          </cell>
          <cell r="M168" t="str">
            <v>Arti Grafiche</v>
          </cell>
          <cell r="N168">
            <v>1350</v>
          </cell>
          <cell r="O168" t="str">
            <v>Esaurito</v>
          </cell>
        </row>
        <row r="169">
          <cell r="A169" t="str">
            <v>CR0096</v>
          </cell>
          <cell r="B169" t="str">
            <v>Mayr-Melnhof</v>
          </cell>
          <cell r="C169" t="str">
            <v>96/2022</v>
          </cell>
          <cell r="D169" t="str">
            <v>2555648-0001-01</v>
          </cell>
          <cell r="E169" t="str">
            <v>Graphopack</v>
          </cell>
          <cell r="F169">
            <v>400</v>
          </cell>
          <cell r="G169">
            <v>65.5</v>
          </cell>
          <cell r="H169" t="str">
            <v>x</v>
          </cell>
          <cell r="I169">
            <v>92.5</v>
          </cell>
          <cell r="J169">
            <v>-1700</v>
          </cell>
          <cell r="K169" t="str">
            <v>Linea verde</v>
          </cell>
          <cell r="L169" t="str">
            <v>Fasce Dimmidisi</v>
          </cell>
          <cell r="M169" t="str">
            <v>Immobiliare</v>
          </cell>
          <cell r="N169">
            <v>994</v>
          </cell>
          <cell r="O169" t="str">
            <v>Esaurito</v>
          </cell>
        </row>
        <row r="170">
          <cell r="A170" t="str">
            <v>CR0203</v>
          </cell>
          <cell r="B170" t="str">
            <v>Emmaus</v>
          </cell>
          <cell r="C170" t="str">
            <v>C22 009589</v>
          </cell>
          <cell r="D170" t="str">
            <v>27/0/6552 - 24/10/2022</v>
          </cell>
          <cell r="E170" t="str">
            <v>112 B/G</v>
          </cell>
          <cell r="F170">
            <v>385</v>
          </cell>
          <cell r="G170">
            <v>72</v>
          </cell>
          <cell r="H170" t="str">
            <v>x</v>
          </cell>
          <cell r="I170">
            <v>102</v>
          </cell>
          <cell r="J170">
            <v>-10</v>
          </cell>
          <cell r="K170" t="str">
            <v>RCM</v>
          </cell>
          <cell r="L170" t="str">
            <v>Astucci Mon Shampoing 11</v>
          </cell>
          <cell r="M170" t="str">
            <v>Arti Grafiche</v>
          </cell>
          <cell r="N170">
            <v>1190</v>
          </cell>
          <cell r="O170" t="str">
            <v>Esaurito</v>
          </cell>
        </row>
        <row r="171">
          <cell r="A171" t="str">
            <v>CR0163</v>
          </cell>
          <cell r="B171" t="str">
            <v>Cartiera Mel</v>
          </cell>
          <cell r="C171">
            <v>1500009479</v>
          </cell>
          <cell r="D171" t="str">
            <v>IAE2592/P56767</v>
          </cell>
          <cell r="E171" t="str">
            <v>Duplex B/G</v>
          </cell>
          <cell r="F171">
            <v>400</v>
          </cell>
          <cell r="G171">
            <v>72</v>
          </cell>
          <cell r="H171" t="str">
            <v>x</v>
          </cell>
          <cell r="I171">
            <v>102</v>
          </cell>
          <cell r="J171">
            <v>-100</v>
          </cell>
          <cell r="K171" t="str">
            <v>Alfagel</v>
          </cell>
          <cell r="L171" t="str">
            <v>Prova stampa</v>
          </cell>
          <cell r="M171" t="str">
            <v>Arti Grafiche</v>
          </cell>
          <cell r="N171">
            <v>1050</v>
          </cell>
          <cell r="O171" t="str">
            <v>Esaurito</v>
          </cell>
        </row>
        <row r="172">
          <cell r="A172" t="str">
            <v>CR0071</v>
          </cell>
          <cell r="B172" t="str">
            <v>Reno de Medici</v>
          </cell>
          <cell r="C172" t="str">
            <v>89/2022</v>
          </cell>
          <cell r="D172" t="str">
            <v>22975 - 09/05/2022</v>
          </cell>
          <cell r="E172" t="str">
            <v>113 B/B</v>
          </cell>
          <cell r="F172">
            <v>350</v>
          </cell>
          <cell r="G172">
            <v>93.5</v>
          </cell>
          <cell r="H172" t="str">
            <v>x</v>
          </cell>
          <cell r="I172">
            <v>71.5</v>
          </cell>
          <cell r="J172">
            <v>6640</v>
          </cell>
          <cell r="K172" t="str">
            <v>Prontofoods</v>
          </cell>
          <cell r="L172" t="str">
            <v>Astucci Budini</v>
          </cell>
          <cell r="M172" t="str">
            <v>Immobiliare</v>
          </cell>
          <cell r="N172">
            <v>1050</v>
          </cell>
          <cell r="O172" t="str">
            <v/>
          </cell>
        </row>
        <row r="173">
          <cell r="A173" t="str">
            <v>CR0087</v>
          </cell>
          <cell r="B173" t="str">
            <v>FM Cartiere</v>
          </cell>
          <cell r="C173" t="str">
            <v>1034/2022</v>
          </cell>
          <cell r="D173">
            <v>0</v>
          </cell>
          <cell r="E173" t="str">
            <v>113 B/B</v>
          </cell>
          <cell r="F173">
            <v>350</v>
          </cell>
          <cell r="G173">
            <v>93.5</v>
          </cell>
          <cell r="H173" t="str">
            <v>x</v>
          </cell>
          <cell r="I173">
            <v>71.5</v>
          </cell>
          <cell r="J173">
            <v>21369</v>
          </cell>
          <cell r="K173" t="str">
            <v>Prontofoods</v>
          </cell>
          <cell r="L173" t="str">
            <v>Astucci Budini</v>
          </cell>
          <cell r="M173" t="str">
            <v>Immobiliare</v>
          </cell>
          <cell r="N173">
            <v>1060</v>
          </cell>
          <cell r="O173" t="str">
            <v/>
          </cell>
        </row>
        <row r="174">
          <cell r="A174" t="str">
            <v>CR0128</v>
          </cell>
          <cell r="B174" t="str">
            <v>Commer Carta</v>
          </cell>
          <cell r="C174" t="str">
            <v>479/2022</v>
          </cell>
          <cell r="D174" t="str">
            <v>2205550 - 21/09/2022</v>
          </cell>
          <cell r="E174" t="str">
            <v>Twin Kraft</v>
          </cell>
          <cell r="F174">
            <v>400</v>
          </cell>
          <cell r="G174">
            <v>72</v>
          </cell>
          <cell r="H174" t="str">
            <v>x</v>
          </cell>
          <cell r="I174">
            <v>51</v>
          </cell>
          <cell r="J174">
            <v>-100</v>
          </cell>
          <cell r="K174" t="str">
            <v>Eire</v>
          </cell>
          <cell r="L174" t="str">
            <v>Astucci Riday</v>
          </cell>
          <cell r="M174" t="str">
            <v>Arti Grafiche</v>
          </cell>
          <cell r="N174">
            <v>1890</v>
          </cell>
          <cell r="O174" t="str">
            <v>Esaurito</v>
          </cell>
        </row>
        <row r="175">
          <cell r="A175" t="str">
            <v>CR0127</v>
          </cell>
          <cell r="B175" t="str">
            <v>FM Cartiere</v>
          </cell>
          <cell r="C175" t="str">
            <v>404/2022</v>
          </cell>
          <cell r="D175" t="str">
            <v>2681 - 09/09/2022</v>
          </cell>
          <cell r="E175" t="str">
            <v>Cartone 017</v>
          </cell>
          <cell r="F175">
            <v>350</v>
          </cell>
          <cell r="G175">
            <v>93.5</v>
          </cell>
          <cell r="H175" t="str">
            <v>x</v>
          </cell>
          <cell r="I175">
            <v>71.5</v>
          </cell>
          <cell r="J175">
            <v>21400</v>
          </cell>
          <cell r="K175" t="str">
            <v>Prontofoods</v>
          </cell>
          <cell r="L175" t="str">
            <v>Astucci Budini</v>
          </cell>
          <cell r="M175" t="str">
            <v>Immobiliare</v>
          </cell>
          <cell r="N175">
            <v>1060</v>
          </cell>
          <cell r="O175" t="str">
            <v/>
          </cell>
        </row>
        <row r="176">
          <cell r="A176" t="str">
            <v>CR0127</v>
          </cell>
          <cell r="B176" t="str">
            <v>FM Cartiere</v>
          </cell>
          <cell r="C176" t="str">
            <v>404/2022</v>
          </cell>
          <cell r="D176" t="str">
            <v>2681 - 09/09/2022</v>
          </cell>
          <cell r="E176" t="str">
            <v>Cartone 017</v>
          </cell>
          <cell r="F176">
            <v>350</v>
          </cell>
          <cell r="G176">
            <v>93.5</v>
          </cell>
          <cell r="H176" t="str">
            <v>x</v>
          </cell>
          <cell r="I176">
            <v>71.5</v>
          </cell>
          <cell r="J176">
            <v>21400</v>
          </cell>
          <cell r="K176" t="str">
            <v>Prontofoods</v>
          </cell>
          <cell r="L176" t="str">
            <v>Astucci Budini</v>
          </cell>
          <cell r="M176" t="str">
            <v>Immobiliare</v>
          </cell>
          <cell r="N176">
            <v>1060</v>
          </cell>
          <cell r="O176" t="str">
            <v/>
          </cell>
        </row>
        <row r="177">
          <cell r="A177" t="str">
            <v>CR0082</v>
          </cell>
          <cell r="B177" t="str">
            <v>Reno de Medici</v>
          </cell>
          <cell r="C177" t="str">
            <v>345/2022</v>
          </cell>
          <cell r="D177" t="str">
            <v>36770 - 23/08/22</v>
          </cell>
          <cell r="E177" t="str">
            <v>962 Avana</v>
          </cell>
          <cell r="F177">
            <v>350</v>
          </cell>
          <cell r="G177">
            <v>103.5</v>
          </cell>
          <cell r="H177" t="str">
            <v>x</v>
          </cell>
          <cell r="I177">
            <v>66</v>
          </cell>
          <cell r="J177">
            <v>20000</v>
          </cell>
          <cell r="K177" t="str">
            <v>Pasta Lensi</v>
          </cell>
          <cell r="L177" t="str">
            <v>Astucci Bassi new</v>
          </cell>
          <cell r="M177" t="str">
            <v>Immobiliare</v>
          </cell>
          <cell r="N177">
            <v>1055</v>
          </cell>
          <cell r="O177" t="str">
            <v/>
          </cell>
        </row>
        <row r="178">
          <cell r="A178" t="str">
            <v>CR0100</v>
          </cell>
          <cell r="B178" t="str">
            <v>Emmaus</v>
          </cell>
          <cell r="C178" t="str">
            <v>473/2022</v>
          </cell>
          <cell r="D178" t="str">
            <v>27/0/5509 - 06/09/2022</v>
          </cell>
          <cell r="E178" t="str">
            <v>112 B/G</v>
          </cell>
          <cell r="F178">
            <v>400</v>
          </cell>
          <cell r="G178">
            <v>76.5</v>
          </cell>
          <cell r="H178" t="str">
            <v>x</v>
          </cell>
          <cell r="I178">
            <v>72</v>
          </cell>
          <cell r="J178">
            <v>-200</v>
          </cell>
          <cell r="K178" t="str">
            <v>Gandola</v>
          </cell>
          <cell r="L178" t="str">
            <v>Pocy</v>
          </cell>
          <cell r="M178" t="str">
            <v>Arti Grafiche</v>
          </cell>
          <cell r="N178">
            <v>1085</v>
          </cell>
          <cell r="O178" t="str">
            <v>Esaurito</v>
          </cell>
        </row>
        <row r="179">
          <cell r="A179" t="str">
            <v>CR0146</v>
          </cell>
          <cell r="B179" t="str">
            <v>Emmaus</v>
          </cell>
          <cell r="C179" t="str">
            <v>493/2022</v>
          </cell>
          <cell r="D179" t="str">
            <v>27/0/5840 - 19/09/2022</v>
          </cell>
          <cell r="E179" t="str">
            <v>113 B/B</v>
          </cell>
          <cell r="F179">
            <v>400</v>
          </cell>
          <cell r="G179">
            <v>77.5</v>
          </cell>
          <cell r="H179" t="str">
            <v>x</v>
          </cell>
          <cell r="I179">
            <v>64.5</v>
          </cell>
          <cell r="J179">
            <v>-100</v>
          </cell>
          <cell r="K179" t="str">
            <v>Girardi</v>
          </cell>
          <cell r="L179" t="str">
            <v>Scatole H70</v>
          </cell>
          <cell r="M179" t="str">
            <v>Arti Grafiche</v>
          </cell>
          <cell r="N179">
            <v>1255</v>
          </cell>
          <cell r="O179" t="str">
            <v>Esaurito</v>
          </cell>
        </row>
        <row r="180">
          <cell r="A180" t="str">
            <v>CR0101</v>
          </cell>
          <cell r="B180" t="str">
            <v>Emmaus</v>
          </cell>
          <cell r="C180" t="str">
            <v>467/2022</v>
          </cell>
          <cell r="D180" t="str">
            <v>27/0/5495 - 05/09/2022</v>
          </cell>
          <cell r="E180" t="str">
            <v>112 B/G</v>
          </cell>
          <cell r="F180">
            <v>400</v>
          </cell>
          <cell r="G180">
            <v>96</v>
          </cell>
          <cell r="H180" t="str">
            <v>x</v>
          </cell>
          <cell r="I180">
            <v>85</v>
          </cell>
          <cell r="J180">
            <v>-100</v>
          </cell>
          <cell r="K180" t="str">
            <v>Gallo</v>
          </cell>
          <cell r="L180" t="str">
            <v>Neutro (Stock)</v>
          </cell>
          <cell r="M180" t="str">
            <v>Arti Grafiche</v>
          </cell>
          <cell r="N180">
            <v>980</v>
          </cell>
          <cell r="O180" t="str">
            <v>Esaurito</v>
          </cell>
        </row>
        <row r="181">
          <cell r="A181" t="str">
            <v>CR0205</v>
          </cell>
          <cell r="B181" t="str">
            <v>Emmaus</v>
          </cell>
          <cell r="C181" t="str">
            <v>562/2022</v>
          </cell>
          <cell r="D181" t="str">
            <v>27/0/6598 - 26/10/2022</v>
          </cell>
          <cell r="E181" t="str">
            <v>112 B/G</v>
          </cell>
          <cell r="F181">
            <v>385</v>
          </cell>
          <cell r="G181">
            <v>45</v>
          </cell>
          <cell r="H181" t="str">
            <v>x</v>
          </cell>
          <cell r="I181">
            <v>66</v>
          </cell>
          <cell r="J181">
            <v>-50</v>
          </cell>
          <cell r="K181" t="str">
            <v>Offel</v>
          </cell>
          <cell r="L181" t="str">
            <v>Scatole 33E</v>
          </cell>
          <cell r="M181" t="str">
            <v>Arti Grafiche</v>
          </cell>
          <cell r="N181">
            <v>1160</v>
          </cell>
          <cell r="O181" t="str">
            <v>Esaurito</v>
          </cell>
        </row>
        <row r="182">
          <cell r="A182" t="str">
            <v>CR0103</v>
          </cell>
          <cell r="B182" t="str">
            <v>Emmaus</v>
          </cell>
          <cell r="C182" t="str">
            <v>C22 003101</v>
          </cell>
          <cell r="D182" t="str">
            <v>27/0/2513 - 06/04/2022</v>
          </cell>
          <cell r="E182" t="str">
            <v>962 Avana</v>
          </cell>
          <cell r="F182">
            <v>445</v>
          </cell>
          <cell r="G182">
            <v>55</v>
          </cell>
          <cell r="H182" t="str">
            <v>x</v>
          </cell>
          <cell r="I182">
            <v>100</v>
          </cell>
          <cell r="J182">
            <v>-100</v>
          </cell>
          <cell r="K182" t="str">
            <v>Prontofoods</v>
          </cell>
          <cell r="L182" t="str">
            <v>Cioccolati 50</v>
          </cell>
          <cell r="M182" t="str">
            <v>Arti Grafiche</v>
          </cell>
          <cell r="N182">
            <v>1115</v>
          </cell>
          <cell r="O182" t="str">
            <v>Esaurito</v>
          </cell>
        </row>
        <row r="183">
          <cell r="A183" t="str">
            <v>CR0204</v>
          </cell>
          <cell r="B183" t="str">
            <v>Emmaus</v>
          </cell>
          <cell r="C183" t="str">
            <v>562/2022</v>
          </cell>
          <cell r="D183" t="str">
            <v>27/0/6598 - 26/10/2022</v>
          </cell>
          <cell r="E183" t="str">
            <v>112 B/G</v>
          </cell>
          <cell r="F183">
            <v>385</v>
          </cell>
          <cell r="G183">
            <v>53.5</v>
          </cell>
          <cell r="H183" t="str">
            <v>x</v>
          </cell>
          <cell r="I183">
            <v>73</v>
          </cell>
          <cell r="J183">
            <v>-100</v>
          </cell>
          <cell r="K183" t="str">
            <v>Offel</v>
          </cell>
          <cell r="L183" t="str">
            <v>Scatole 1E</v>
          </cell>
          <cell r="M183" t="str">
            <v>Arti Grafiche</v>
          </cell>
          <cell r="N183">
            <v>1160</v>
          </cell>
          <cell r="O183" t="str">
            <v>Esaurito</v>
          </cell>
        </row>
        <row r="184">
          <cell r="A184" t="str">
            <v>CR0197</v>
          </cell>
          <cell r="B184" t="str">
            <v>Emmaus</v>
          </cell>
          <cell r="C184" t="str">
            <v>C22 009530</v>
          </cell>
          <cell r="D184" t="str">
            <v>27/0/6552 - 24/10/2022</v>
          </cell>
          <cell r="E184" t="str">
            <v>112 B/G</v>
          </cell>
          <cell r="F184">
            <v>450</v>
          </cell>
          <cell r="G184">
            <v>56</v>
          </cell>
          <cell r="H184" t="str">
            <v>x</v>
          </cell>
          <cell r="I184">
            <v>69.5</v>
          </cell>
          <cell r="J184">
            <v>-100</v>
          </cell>
          <cell r="K184" t="str">
            <v>Lane Mondial</v>
          </cell>
          <cell r="L184" t="str">
            <v>Scatole Neutre</v>
          </cell>
          <cell r="M184" t="str">
            <v>Arti Grafiche</v>
          </cell>
          <cell r="N184">
            <v>1250</v>
          </cell>
          <cell r="O184" t="str">
            <v>Esaurito</v>
          </cell>
        </row>
        <row r="185">
          <cell r="A185" t="str">
            <v>CR0089</v>
          </cell>
          <cell r="B185" t="str">
            <v>FM Cartiere</v>
          </cell>
          <cell r="C185" t="str">
            <v>174/2022</v>
          </cell>
          <cell r="D185" t="str">
            <v>2166 - 14/07/2022</v>
          </cell>
          <cell r="E185" t="str">
            <v>Ka AVANA</v>
          </cell>
          <cell r="F185">
            <v>385</v>
          </cell>
          <cell r="G185">
            <v>60</v>
          </cell>
          <cell r="H185" t="str">
            <v>x</v>
          </cell>
          <cell r="I185">
            <v>75</v>
          </cell>
          <cell r="J185">
            <v>15400</v>
          </cell>
          <cell r="K185" t="str">
            <v>Prontofoods</v>
          </cell>
          <cell r="L185" t="str">
            <v>Orzi 500</v>
          </cell>
          <cell r="M185" t="str">
            <v>Immobiliare</v>
          </cell>
          <cell r="N185">
            <v>1030</v>
          </cell>
          <cell r="O185" t="str">
            <v/>
          </cell>
        </row>
        <row r="186">
          <cell r="A186" t="str">
            <v>CR0098</v>
          </cell>
          <cell r="B186" t="str">
            <v>Reno de Medici</v>
          </cell>
          <cell r="C186" t="str">
            <v>206/2022</v>
          </cell>
          <cell r="D186" t="str">
            <v>24150 - 15/07/2022</v>
          </cell>
          <cell r="E186" t="str">
            <v>962 Avana</v>
          </cell>
          <cell r="F186">
            <v>400</v>
          </cell>
          <cell r="G186">
            <v>41.5</v>
          </cell>
          <cell r="H186" t="str">
            <v>x</v>
          </cell>
          <cell r="I186">
            <v>92.5</v>
          </cell>
          <cell r="J186">
            <v>15600</v>
          </cell>
          <cell r="K186" t="str">
            <v>Prontofoods</v>
          </cell>
          <cell r="L186" t="str">
            <v>Orzi 32 buste</v>
          </cell>
          <cell r="M186" t="str">
            <v>Immobiliare</v>
          </cell>
          <cell r="N186">
            <v>1080</v>
          </cell>
          <cell r="O186" t="str">
            <v/>
          </cell>
        </row>
        <row r="187">
          <cell r="A187" t="str">
            <v>CR0107</v>
          </cell>
          <cell r="B187" t="str">
            <v>Emmaus</v>
          </cell>
          <cell r="C187" t="str">
            <v>470/2022</v>
          </cell>
          <cell r="D187" t="str">
            <v>27/0/5495 - 05/09/2022</v>
          </cell>
          <cell r="E187" t="str">
            <v>112 B/G</v>
          </cell>
          <cell r="F187">
            <v>450</v>
          </cell>
          <cell r="G187">
            <v>63.5</v>
          </cell>
          <cell r="H187" t="str">
            <v>x</v>
          </cell>
          <cell r="I187">
            <v>43.5</v>
          </cell>
          <cell r="J187">
            <v>-100</v>
          </cell>
          <cell r="K187" t="str">
            <v>Fortis</v>
          </cell>
          <cell r="L187" t="str">
            <v>Astucci 142</v>
          </cell>
          <cell r="M187" t="str">
            <v>Arti Grafiche</v>
          </cell>
          <cell r="N187">
            <v>1105</v>
          </cell>
          <cell r="O187" t="str">
            <v>Esaurito</v>
          </cell>
        </row>
        <row r="188">
          <cell r="A188" t="str">
            <v>CR0133</v>
          </cell>
          <cell r="B188" t="str">
            <v>Reno de Medici</v>
          </cell>
          <cell r="C188" t="str">
            <v>489/2022</v>
          </cell>
          <cell r="D188" t="str">
            <v>41096 - 21/10/2022</v>
          </cell>
          <cell r="E188" t="str">
            <v>112 B/G</v>
          </cell>
          <cell r="F188">
            <v>400</v>
          </cell>
          <cell r="G188">
            <v>65.5</v>
          </cell>
          <cell r="H188" t="str">
            <v>x</v>
          </cell>
          <cell r="I188">
            <v>92.5</v>
          </cell>
          <cell r="J188">
            <v>66300</v>
          </cell>
          <cell r="K188" t="str">
            <v>Linea Verde</v>
          </cell>
          <cell r="L188" t="str">
            <v>Dimmidisi</v>
          </cell>
          <cell r="M188" t="str">
            <v>Immobiliare</v>
          </cell>
          <cell r="N188">
            <v>1030</v>
          </cell>
          <cell r="O188" t="str">
            <v/>
          </cell>
        </row>
        <row r="189">
          <cell r="A189" t="str">
            <v>CR0091</v>
          </cell>
          <cell r="B189" t="str">
            <v>Mayr-Melnhof</v>
          </cell>
          <cell r="C189" t="str">
            <v>909/2021</v>
          </cell>
          <cell r="D189" t="str">
            <v>267615 - 05/04/2022</v>
          </cell>
          <cell r="E189" t="str">
            <v>Graphopack Kraft</v>
          </cell>
          <cell r="F189">
            <v>400</v>
          </cell>
          <cell r="G189">
            <v>73</v>
          </cell>
          <cell r="H189" t="str">
            <v>x</v>
          </cell>
          <cell r="I189">
            <v>75</v>
          </cell>
          <cell r="J189">
            <v>35800</v>
          </cell>
          <cell r="K189" t="str">
            <v>Prontofoods</v>
          </cell>
          <cell r="L189" t="str">
            <v>Astucci Zuccheri 500</v>
          </cell>
          <cell r="M189" t="str">
            <v>Immobiliare</v>
          </cell>
          <cell r="N189">
            <v>1015</v>
          </cell>
          <cell r="O189" t="str">
            <v/>
          </cell>
        </row>
        <row r="190">
          <cell r="A190" t="str">
            <v>CR0168</v>
          </cell>
          <cell r="B190" t="str">
            <v>Emmaus</v>
          </cell>
          <cell r="C190" t="str">
            <v>519/2022</v>
          </cell>
          <cell r="D190" t="str">
            <v>27/0/6176 - 05/10</v>
          </cell>
          <cell r="E190" t="str">
            <v>962 Avana</v>
          </cell>
          <cell r="F190">
            <v>500</v>
          </cell>
          <cell r="G190">
            <v>62</v>
          </cell>
          <cell r="H190" t="str">
            <v>x</v>
          </cell>
          <cell r="I190">
            <v>102</v>
          </cell>
          <cell r="J190">
            <v>-100</v>
          </cell>
          <cell r="K190" t="str">
            <v>Panificio Metelli</v>
          </cell>
          <cell r="L190" t="str">
            <v>Scatole Panettone</v>
          </cell>
          <cell r="M190" t="str">
            <v>Arti Grafiche</v>
          </cell>
          <cell r="N190">
            <v>1285</v>
          </cell>
          <cell r="O190" t="str">
            <v>Esaurito</v>
          </cell>
        </row>
        <row r="191">
          <cell r="A191" t="str">
            <v>CR0092</v>
          </cell>
          <cell r="B191" t="str">
            <v>Reno de Medici</v>
          </cell>
          <cell r="C191" t="str">
            <v>107/2022</v>
          </cell>
          <cell r="D191">
            <v>0</v>
          </cell>
          <cell r="E191" t="str">
            <v>962 Avana</v>
          </cell>
          <cell r="F191">
            <v>400</v>
          </cell>
          <cell r="G191">
            <v>73.5</v>
          </cell>
          <cell r="H191" t="str">
            <v>x</v>
          </cell>
          <cell r="I191">
            <v>85</v>
          </cell>
          <cell r="J191">
            <v>12500</v>
          </cell>
          <cell r="K191" t="str">
            <v>Pasta Lensi</v>
          </cell>
          <cell r="L191" t="str">
            <v>Astucci Legumi Altissimi</v>
          </cell>
          <cell r="M191" t="str">
            <v>Immobiliare</v>
          </cell>
          <cell r="N191">
            <v>915</v>
          </cell>
          <cell r="O191" t="str">
            <v/>
          </cell>
        </row>
        <row r="192">
          <cell r="A192" t="str">
            <v>CR0093</v>
          </cell>
          <cell r="B192" t="str">
            <v>Reno de Medici</v>
          </cell>
          <cell r="C192" t="str">
            <v>199/2022</v>
          </cell>
          <cell r="D192" t="str">
            <v>23812 - 27/06/22</v>
          </cell>
          <cell r="E192" t="str">
            <v>962 Avana</v>
          </cell>
          <cell r="F192">
            <v>400</v>
          </cell>
          <cell r="G192">
            <v>73.5</v>
          </cell>
          <cell r="H192" t="str">
            <v>x</v>
          </cell>
          <cell r="I192">
            <v>84.5</v>
          </cell>
          <cell r="J192">
            <v>10400</v>
          </cell>
          <cell r="K192" t="str">
            <v>Pasta Lensi</v>
          </cell>
          <cell r="L192" t="str">
            <v>Astucci Legumi Altissimi</v>
          </cell>
          <cell r="M192" t="str">
            <v>Immobiliare</v>
          </cell>
          <cell r="N192">
            <v>1055</v>
          </cell>
          <cell r="O192" t="str">
            <v/>
          </cell>
        </row>
        <row r="193">
          <cell r="A193" t="str">
            <v>CR0190</v>
          </cell>
          <cell r="B193" t="str">
            <v>FM Cartiere</v>
          </cell>
          <cell r="C193" t="str">
            <v>534/2022</v>
          </cell>
          <cell r="D193" t="str">
            <v>3328 - 31/10/22</v>
          </cell>
          <cell r="E193" t="str">
            <v>Ka AVANA</v>
          </cell>
          <cell r="F193">
            <v>320</v>
          </cell>
          <cell r="G193">
            <v>65.2</v>
          </cell>
          <cell r="H193" t="str">
            <v>x</v>
          </cell>
          <cell r="I193">
            <v>101</v>
          </cell>
          <cell r="J193">
            <v>-100</v>
          </cell>
          <cell r="K193" t="str">
            <v>Edo</v>
          </cell>
          <cell r="L193" t="str">
            <v>Astucci Citron</v>
          </cell>
          <cell r="M193" t="str">
            <v>Arti Grafiche</v>
          </cell>
          <cell r="N193">
            <v>1025</v>
          </cell>
          <cell r="O193" t="str">
            <v>Esaurito</v>
          </cell>
        </row>
        <row r="194">
          <cell r="A194" t="str">
            <v>CR0094</v>
          </cell>
          <cell r="B194" t="str">
            <v>FM Cartiere</v>
          </cell>
          <cell r="C194" t="str">
            <v>198/2022</v>
          </cell>
          <cell r="D194">
            <v>0</v>
          </cell>
          <cell r="E194" t="str">
            <v>Ka AVANA</v>
          </cell>
          <cell r="F194">
            <v>400</v>
          </cell>
          <cell r="G194">
            <v>73.5</v>
          </cell>
          <cell r="H194" t="str">
            <v>x</v>
          </cell>
          <cell r="I194">
            <v>84.5</v>
          </cell>
          <cell r="J194">
            <v>30000</v>
          </cell>
          <cell r="K194" t="str">
            <v>Pasta Lensi</v>
          </cell>
          <cell r="L194" t="str">
            <v>Astucci Legumi Altissimi</v>
          </cell>
          <cell r="M194" t="str">
            <v>Immobiliare</v>
          </cell>
          <cell r="N194">
            <v>1030</v>
          </cell>
          <cell r="O194" t="str">
            <v/>
          </cell>
        </row>
        <row r="195">
          <cell r="A195" t="str">
            <v>CR0095</v>
          </cell>
          <cell r="B195" t="str">
            <v>FM Cartiere</v>
          </cell>
          <cell r="C195" t="str">
            <v>241/2022</v>
          </cell>
          <cell r="D195" t="str">
            <v>2408 - 05/08/2022</v>
          </cell>
          <cell r="E195" t="str">
            <v>Ka AVANA</v>
          </cell>
          <cell r="F195">
            <v>400</v>
          </cell>
          <cell r="G195">
            <v>73.5</v>
          </cell>
          <cell r="H195" t="str">
            <v>x</v>
          </cell>
          <cell r="I195">
            <v>84.5</v>
          </cell>
          <cell r="J195">
            <v>44100</v>
          </cell>
          <cell r="K195" t="str">
            <v>Pasta Lensi</v>
          </cell>
          <cell r="L195" t="str">
            <v>Astucci Legumi Altissimi</v>
          </cell>
          <cell r="M195" t="str">
            <v>Immobiliare</v>
          </cell>
          <cell r="N195">
            <v>1030</v>
          </cell>
          <cell r="O195" t="str">
            <v/>
          </cell>
        </row>
        <row r="196">
          <cell r="A196" t="str">
            <v>CR0214</v>
          </cell>
          <cell r="B196" t="str">
            <v>Emmaus</v>
          </cell>
          <cell r="C196" t="str">
            <v>C22 009807</v>
          </cell>
          <cell r="D196" t="str">
            <v>27/0/6739 - 05/11/2022</v>
          </cell>
          <cell r="E196" t="str">
            <v>112 B/G</v>
          </cell>
          <cell r="F196">
            <v>400</v>
          </cell>
          <cell r="G196">
            <v>86</v>
          </cell>
          <cell r="H196" t="str">
            <v>x</v>
          </cell>
          <cell r="I196">
            <v>76</v>
          </cell>
          <cell r="J196">
            <v>3700</v>
          </cell>
          <cell r="K196" t="str">
            <v>Prontofoods</v>
          </cell>
          <cell r="L196" t="str">
            <v>griglie neutre</v>
          </cell>
          <cell r="M196" t="str">
            <v>Arti Grafiche</v>
          </cell>
          <cell r="N196">
            <v>1050</v>
          </cell>
          <cell r="O196" t="str">
            <v/>
          </cell>
        </row>
        <row r="197">
          <cell r="A197" t="str">
            <v>CR0200</v>
          </cell>
          <cell r="B197" t="str">
            <v>FM Cartiere</v>
          </cell>
          <cell r="C197" t="str">
            <v>544/2022</v>
          </cell>
          <cell r="D197" t="str">
            <v>3399 - 07/11/2022</v>
          </cell>
          <cell r="E197" t="str">
            <v>07 B/G</v>
          </cell>
          <cell r="F197">
            <v>400</v>
          </cell>
          <cell r="G197">
            <v>99.5</v>
          </cell>
          <cell r="H197" t="str">
            <v>x</v>
          </cell>
          <cell r="I197">
            <v>110</v>
          </cell>
          <cell r="J197">
            <v>9800</v>
          </cell>
          <cell r="K197" t="str">
            <v>La Popsi</v>
          </cell>
          <cell r="L197" t="str">
            <v>10 Gelati Cazzaniga</v>
          </cell>
          <cell r="M197" t="str">
            <v>Arti Grafiche</v>
          </cell>
          <cell r="N197">
            <v>950</v>
          </cell>
          <cell r="O197" t="str">
            <v/>
          </cell>
        </row>
        <row r="198">
          <cell r="A198" t="str">
            <v>CR0097</v>
          </cell>
          <cell r="B198" t="str">
            <v>Reno de Medici</v>
          </cell>
          <cell r="C198" t="str">
            <v>824/2021</v>
          </cell>
          <cell r="D198" t="str">
            <v>22091 - 31/03/2022</v>
          </cell>
          <cell r="E198" t="str">
            <v>962 Avana</v>
          </cell>
          <cell r="F198">
            <v>400</v>
          </cell>
          <cell r="G198">
            <v>102</v>
          </cell>
          <cell r="H198" t="str">
            <v>x</v>
          </cell>
          <cell r="I198">
            <v>55</v>
          </cell>
          <cell r="J198">
            <v>16600</v>
          </cell>
          <cell r="K198" t="str">
            <v>Edo</v>
          </cell>
          <cell r="L198" t="str">
            <v>Astucci Scotti Gelato</v>
          </cell>
          <cell r="M198" t="str">
            <v>Arti Grafiche</v>
          </cell>
          <cell r="N198">
            <v>935</v>
          </cell>
          <cell r="O198" t="str">
            <v/>
          </cell>
        </row>
        <row r="199">
          <cell r="A199" t="str">
            <v>CR0108</v>
          </cell>
          <cell r="B199" t="str">
            <v>Italmicro</v>
          </cell>
          <cell r="C199" t="str">
            <v>663/2021</v>
          </cell>
          <cell r="D199">
            <v>0</v>
          </cell>
          <cell r="E199" t="str">
            <v>NEPNEPNEP222/F</v>
          </cell>
          <cell r="F199">
            <v>1000</v>
          </cell>
          <cell r="G199">
            <v>50</v>
          </cell>
          <cell r="H199" t="str">
            <v>x</v>
          </cell>
          <cell r="I199">
            <v>70</v>
          </cell>
          <cell r="J199">
            <v>-100</v>
          </cell>
          <cell r="K199" t="str">
            <v>RCM</v>
          </cell>
          <cell r="L199" t="str">
            <v>Interni neri astucci</v>
          </cell>
          <cell r="M199" t="str">
            <v>Arti Grafiche</v>
          </cell>
          <cell r="N199">
            <v>0.38500000000000001</v>
          </cell>
          <cell r="O199" t="str">
            <v>Esaurito</v>
          </cell>
        </row>
        <row r="200">
          <cell r="A200" t="str">
            <v>CR0106</v>
          </cell>
          <cell r="B200" t="str">
            <v>FM Cartiere</v>
          </cell>
          <cell r="C200" t="str">
            <v>174/2022</v>
          </cell>
          <cell r="D200" t="str">
            <v>2126 - 11/07/2022</v>
          </cell>
          <cell r="E200" t="str">
            <v>Ka AVANA</v>
          </cell>
          <cell r="F200">
            <v>450</v>
          </cell>
          <cell r="G200">
            <v>47</v>
          </cell>
          <cell r="H200" t="str">
            <v>x</v>
          </cell>
          <cell r="I200">
            <v>92.5</v>
          </cell>
          <cell r="J200">
            <v>15170</v>
          </cell>
          <cell r="K200" t="str">
            <v>Prontofoods</v>
          </cell>
          <cell r="L200" t="str">
            <v>Orzi 50 Buste</v>
          </cell>
          <cell r="M200" t="str">
            <v>Immobiliare</v>
          </cell>
          <cell r="N200">
            <v>1030</v>
          </cell>
          <cell r="O200" t="str">
            <v/>
          </cell>
        </row>
        <row r="201">
          <cell r="A201" t="str">
            <v>CR0104</v>
          </cell>
          <cell r="B201" t="str">
            <v>Mayr-Melnhof</v>
          </cell>
          <cell r="C201" t="str">
            <v>497/2021</v>
          </cell>
          <cell r="D201" t="str">
            <v>2492534-0001 - 17/09/2021</v>
          </cell>
          <cell r="E201" t="str">
            <v>Graphopack Kraft</v>
          </cell>
          <cell r="F201">
            <v>450</v>
          </cell>
          <cell r="G201">
            <v>60</v>
          </cell>
          <cell r="H201" t="str">
            <v>x</v>
          </cell>
          <cell r="I201">
            <v>75</v>
          </cell>
          <cell r="J201">
            <v>32800</v>
          </cell>
          <cell r="K201" t="str">
            <v>Prontofoods</v>
          </cell>
          <cell r="L201" t="str">
            <v>Zuccheri 1KG</v>
          </cell>
          <cell r="M201" t="str">
            <v>Immobiliare</v>
          </cell>
          <cell r="N201">
            <v>645</v>
          </cell>
          <cell r="O201" t="str">
            <v/>
          </cell>
        </row>
        <row r="202">
          <cell r="A202" t="str">
            <v>CR0105</v>
          </cell>
          <cell r="B202" t="str">
            <v>Mayr-Melnhof</v>
          </cell>
          <cell r="C202" t="str">
            <v>909/2021</v>
          </cell>
          <cell r="D202" t="str">
            <v>267615 - 05/04/2022</v>
          </cell>
          <cell r="E202" t="str">
            <v>Graphopack Kraft</v>
          </cell>
          <cell r="F202">
            <v>450</v>
          </cell>
          <cell r="G202">
            <v>60</v>
          </cell>
          <cell r="H202" t="str">
            <v>x</v>
          </cell>
          <cell r="I202">
            <v>75</v>
          </cell>
          <cell r="J202">
            <v>40022</v>
          </cell>
          <cell r="K202" t="str">
            <v>Prontofoods</v>
          </cell>
          <cell r="L202" t="str">
            <v>Zuccheri 1KG</v>
          </cell>
          <cell r="M202" t="str">
            <v>Immobiliare</v>
          </cell>
          <cell r="N202">
            <v>1015</v>
          </cell>
          <cell r="O202" t="str">
            <v/>
          </cell>
        </row>
        <row r="203">
          <cell r="A203" t="str">
            <v>CR0225</v>
          </cell>
          <cell r="B203" t="str">
            <v>Polyedra</v>
          </cell>
          <cell r="C203" t="str">
            <v>591/22</v>
          </cell>
          <cell r="D203" t="str">
            <v>54-240-10-64970 - 14/11</v>
          </cell>
          <cell r="E203" t="str">
            <v>Excellent TOP</v>
          </cell>
          <cell r="F203">
            <v>450</v>
          </cell>
          <cell r="G203">
            <v>72</v>
          </cell>
          <cell r="H203" t="str">
            <v>x</v>
          </cell>
          <cell r="I203">
            <v>102</v>
          </cell>
          <cell r="J203">
            <v>800</v>
          </cell>
          <cell r="K203" t="str">
            <v>Gallo</v>
          </cell>
          <cell r="L203" t="str">
            <v>Solette DD</v>
          </cell>
          <cell r="M203" t="str">
            <v>Arti Grafiche</v>
          </cell>
          <cell r="N203">
            <v>3200</v>
          </cell>
          <cell r="O203" t="str">
            <v/>
          </cell>
        </row>
        <row r="204">
          <cell r="A204" t="str">
            <v>CR0215</v>
          </cell>
          <cell r="B204" t="str">
            <v>Emmaus</v>
          </cell>
          <cell r="C204" t="str">
            <v>582/2022</v>
          </cell>
          <cell r="D204" t="str">
            <v>27/0/6867 - 10/11/2022</v>
          </cell>
          <cell r="E204" t="str">
            <v>112 B/G</v>
          </cell>
          <cell r="F204">
            <v>500</v>
          </cell>
          <cell r="G204">
            <v>63</v>
          </cell>
          <cell r="H204" t="str">
            <v>x</v>
          </cell>
          <cell r="I204">
            <v>91</v>
          </cell>
          <cell r="J204">
            <v>600</v>
          </cell>
          <cell r="K204" t="str">
            <v>Plastic Center</v>
          </cell>
          <cell r="L204" t="str">
            <v>Astucci Soft Meches</v>
          </cell>
          <cell r="M204" t="str">
            <v>Arti Grafiche</v>
          </cell>
          <cell r="N204">
            <v>1190</v>
          </cell>
          <cell r="O204" t="str">
            <v/>
          </cell>
        </row>
        <row r="205">
          <cell r="A205" t="str">
            <v>CR0217</v>
          </cell>
          <cell r="B205" t="str">
            <v>Ondulati Santerno</v>
          </cell>
          <cell r="C205" t="str">
            <v>579/2022</v>
          </cell>
          <cell r="D205" t="str">
            <v>20870 - 11/11/2022</v>
          </cell>
          <cell r="E205" t="str">
            <v>KMK/262/E</v>
          </cell>
          <cell r="F205">
            <v>1000</v>
          </cell>
          <cell r="G205">
            <v>46.5</v>
          </cell>
          <cell r="H205" t="str">
            <v>x</v>
          </cell>
          <cell r="I205">
            <v>76</v>
          </cell>
          <cell r="J205">
            <v>-50</v>
          </cell>
          <cell r="K205" t="str">
            <v>Vegas</v>
          </cell>
          <cell r="L205" t="str">
            <v>Bauletti Sonno</v>
          </cell>
          <cell r="M205" t="str">
            <v>Arti Grafiche</v>
          </cell>
          <cell r="N205">
            <v>0</v>
          </cell>
          <cell r="O205" t="str">
            <v>Esaurito</v>
          </cell>
        </row>
        <row r="206">
          <cell r="A206" t="str">
            <v>CR0196</v>
          </cell>
          <cell r="B206" t="str">
            <v>Italmicro</v>
          </cell>
          <cell r="C206" t="str">
            <v>546/2022</v>
          </cell>
          <cell r="D206" t="str">
            <v>B 2022 0 12 3523 - 4/11/22</v>
          </cell>
          <cell r="E206" t="str">
            <v>NEPNEPNEP222/F</v>
          </cell>
          <cell r="F206">
            <v>1000</v>
          </cell>
          <cell r="G206">
            <v>50</v>
          </cell>
          <cell r="H206" t="str">
            <v>x</v>
          </cell>
          <cell r="I206">
            <v>70</v>
          </cell>
          <cell r="J206">
            <v>2500</v>
          </cell>
          <cell r="K206" t="str">
            <v>Nero Nobile</v>
          </cell>
          <cell r="L206" t="str">
            <v>Interni neri astucci</v>
          </cell>
          <cell r="M206" t="str">
            <v>Arti Grafiche</v>
          </cell>
          <cell r="N206">
            <v>1250</v>
          </cell>
          <cell r="O206" t="str">
            <v/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iacenza_Fustelle"/>
      <sheetName val="DB_Fustelle"/>
      <sheetName val="Giacenza_Polimeri"/>
      <sheetName val="DB_Polimero"/>
      <sheetName val="Giacenza_UV"/>
      <sheetName val="DB_UV"/>
      <sheetName val="Giacenza_Pellicole"/>
      <sheetName val="DB_Pellicole"/>
    </sheetNames>
    <sheetDataSet>
      <sheetData sheetId="0"/>
      <sheetData sheetId="1">
        <row r="3">
          <cell r="A3" t="str">
            <v>FU0001</v>
          </cell>
          <cell r="B3" t="str">
            <v>Fusteltecnica</v>
          </cell>
          <cell r="C3" t="str">
            <v>E09217</v>
          </cell>
          <cell r="D3" t="str">
            <v>Pantytex</v>
          </cell>
          <cell r="E3" t="str">
            <v>Astucci wibra abbinati</v>
          </cell>
          <cell r="F3" t="str">
            <v>BOBST 1260</v>
          </cell>
          <cell r="G3">
            <v>9</v>
          </cell>
          <cell r="H3" t="str">
            <v>Si</v>
          </cell>
          <cell r="I3" t="str">
            <v>Si</v>
          </cell>
          <cell r="J3" t="str">
            <v>No</v>
          </cell>
          <cell r="K3">
            <v>0</v>
          </cell>
          <cell r="L3" t="str">
            <v>Si</v>
          </cell>
          <cell r="M3" t="str">
            <v>DIana X80</v>
          </cell>
          <cell r="N3" t="str">
            <v>Lineare</v>
          </cell>
        </row>
        <row r="4">
          <cell r="A4" t="str">
            <v>FU0002</v>
          </cell>
          <cell r="B4" t="str">
            <v>Fusteltecnica</v>
          </cell>
          <cell r="C4" t="str">
            <v>E09238</v>
          </cell>
          <cell r="D4" t="str">
            <v>Pantytex</v>
          </cell>
          <cell r="E4" t="str">
            <v>Astucci To Go Hema</v>
          </cell>
          <cell r="F4" t="str">
            <v>BOBST 104</v>
          </cell>
          <cell r="G4">
            <v>6</v>
          </cell>
          <cell r="H4" t="str">
            <v>Si</v>
          </cell>
          <cell r="I4" t="str">
            <v>No</v>
          </cell>
          <cell r="J4" t="str">
            <v>No</v>
          </cell>
          <cell r="K4">
            <v>0</v>
          </cell>
          <cell r="L4" t="str">
            <v>Si</v>
          </cell>
          <cell r="M4" t="str">
            <v>Diana Pro 114</v>
          </cell>
          <cell r="N4" t="str">
            <v>Fondo Automatico</v>
          </cell>
        </row>
        <row r="5">
          <cell r="A5" t="str">
            <v>FU0003</v>
          </cell>
          <cell r="B5" t="str">
            <v>Lasercom</v>
          </cell>
          <cell r="C5" t="str">
            <v>Lomba505F</v>
          </cell>
          <cell r="D5" t="str">
            <v>Pasta Lensi</v>
          </cell>
          <cell r="E5" t="str">
            <v>Cavallotti Henji</v>
          </cell>
          <cell r="F5" t="str">
            <v>BOBST 104</v>
          </cell>
          <cell r="G5">
            <v>13</v>
          </cell>
          <cell r="H5" t="str">
            <v>No</v>
          </cell>
          <cell r="I5" t="str">
            <v>No</v>
          </cell>
          <cell r="J5" t="str">
            <v>No</v>
          </cell>
          <cell r="K5">
            <v>0</v>
          </cell>
          <cell r="L5" t="str">
            <v>No</v>
          </cell>
          <cell r="M5">
            <v>0</v>
          </cell>
          <cell r="N5">
            <v>0</v>
          </cell>
        </row>
        <row r="6">
          <cell r="A6" t="str">
            <v>FU0004</v>
          </cell>
          <cell r="B6" t="str">
            <v>Lasercom</v>
          </cell>
          <cell r="C6" t="str">
            <v>Lomb439F</v>
          </cell>
          <cell r="D6" t="str">
            <v>Pasta Lensi</v>
          </cell>
          <cell r="E6" t="str">
            <v>Cavallotti Henji</v>
          </cell>
          <cell r="F6" t="str">
            <v>BOBST 104</v>
          </cell>
          <cell r="G6">
            <v>15</v>
          </cell>
          <cell r="H6" t="str">
            <v>No</v>
          </cell>
          <cell r="I6" t="str">
            <v>No</v>
          </cell>
          <cell r="J6" t="str">
            <v>No</v>
          </cell>
          <cell r="K6">
            <v>0</v>
          </cell>
          <cell r="L6" t="str">
            <v>No</v>
          </cell>
          <cell r="M6">
            <v>0</v>
          </cell>
          <cell r="N6">
            <v>0</v>
          </cell>
        </row>
        <row r="7">
          <cell r="A7" t="str">
            <v>FU0005</v>
          </cell>
          <cell r="B7" t="str">
            <v>Lasercom</v>
          </cell>
          <cell r="C7" t="str">
            <v>Lomba450</v>
          </cell>
          <cell r="D7" t="str">
            <v>Pantytex</v>
          </cell>
          <cell r="E7" t="str">
            <v>Cavallotti adesivi CA</v>
          </cell>
          <cell r="F7" t="str">
            <v>BOBST 104</v>
          </cell>
          <cell r="G7">
            <v>6</v>
          </cell>
          <cell r="H7" t="str">
            <v>No</v>
          </cell>
          <cell r="I7" t="str">
            <v>No</v>
          </cell>
          <cell r="J7" t="str">
            <v>No</v>
          </cell>
          <cell r="K7">
            <v>0</v>
          </cell>
          <cell r="L7" t="str">
            <v>No</v>
          </cell>
          <cell r="M7">
            <v>0</v>
          </cell>
          <cell r="N7">
            <v>0</v>
          </cell>
        </row>
        <row r="8">
          <cell r="A8" t="str">
            <v>FU0006</v>
          </cell>
          <cell r="B8" t="str">
            <v>Lasercom</v>
          </cell>
          <cell r="C8" t="str">
            <v>Lomba485</v>
          </cell>
          <cell r="D8" t="str">
            <v>Gallo</v>
          </cell>
          <cell r="E8" t="str">
            <v>Abbinato Marie Chantal</v>
          </cell>
          <cell r="F8" t="str">
            <v>BOBST 104</v>
          </cell>
          <cell r="G8">
            <v>9</v>
          </cell>
          <cell r="H8" t="str">
            <v>No</v>
          </cell>
          <cell r="I8" t="str">
            <v>No</v>
          </cell>
          <cell r="J8" t="str">
            <v>No</v>
          </cell>
          <cell r="K8">
            <v>0</v>
          </cell>
          <cell r="L8" t="str">
            <v>Si</v>
          </cell>
          <cell r="M8" t="str">
            <v>DIana X80</v>
          </cell>
          <cell r="N8" t="str">
            <v>Lineare</v>
          </cell>
        </row>
        <row r="9">
          <cell r="A9" t="str">
            <v>FU0007</v>
          </cell>
          <cell r="B9" t="str">
            <v>Lasercom</v>
          </cell>
          <cell r="C9" t="str">
            <v>Lomba936</v>
          </cell>
          <cell r="D9" t="str">
            <v>Lane mondial</v>
          </cell>
          <cell r="E9" t="str">
            <v>Scatola grande</v>
          </cell>
          <cell r="F9" t="str">
            <v>BOBST 1260</v>
          </cell>
          <cell r="G9">
            <v>1</v>
          </cell>
          <cell r="H9" t="str">
            <v>Si</v>
          </cell>
          <cell r="I9" t="str">
            <v>Si</v>
          </cell>
          <cell r="J9" t="str">
            <v>No</v>
          </cell>
          <cell r="K9">
            <v>0</v>
          </cell>
          <cell r="L9" t="str">
            <v>Si</v>
          </cell>
          <cell r="M9" t="str">
            <v>Diana Pro 114</v>
          </cell>
          <cell r="N9" t="str">
            <v>Quattro angoli</v>
          </cell>
        </row>
        <row r="10">
          <cell r="A10" t="str">
            <v>FU0008</v>
          </cell>
          <cell r="B10" t="str">
            <v>Fusteltecnica</v>
          </cell>
          <cell r="C10" t="str">
            <v>M03710</v>
          </cell>
          <cell r="D10" t="str">
            <v>Prontofoods</v>
          </cell>
          <cell r="E10" t="str">
            <v xml:space="preserve">Astucci 10 buste </v>
          </cell>
          <cell r="F10" t="str">
            <v>BOBST 1260</v>
          </cell>
          <cell r="G10">
            <v>4</v>
          </cell>
          <cell r="H10" t="str">
            <v>Si</v>
          </cell>
          <cell r="I10" t="str">
            <v>Si</v>
          </cell>
          <cell r="J10" t="str">
            <v>No</v>
          </cell>
          <cell r="K10">
            <v>0</v>
          </cell>
          <cell r="L10" t="str">
            <v>Si</v>
          </cell>
          <cell r="M10" t="str">
            <v>DIana X80</v>
          </cell>
          <cell r="N10" t="str">
            <v>Lineare</v>
          </cell>
        </row>
        <row r="11">
          <cell r="A11" t="str">
            <v>FU0009</v>
          </cell>
          <cell r="B11" t="str">
            <v>Fusteltecnica</v>
          </cell>
          <cell r="C11" t="str">
            <v>E13995</v>
          </cell>
          <cell r="D11" t="str">
            <v>JBS</v>
          </cell>
          <cell r="E11" t="str">
            <v>Appendini Decoy 9-308</v>
          </cell>
          <cell r="F11" t="str">
            <v>BOBST 1260</v>
          </cell>
          <cell r="G11">
            <v>4</v>
          </cell>
          <cell r="H11" t="str">
            <v>Si</v>
          </cell>
          <cell r="I11" t="str">
            <v>Si</v>
          </cell>
          <cell r="J11" t="str">
            <v>No</v>
          </cell>
          <cell r="K11">
            <v>0</v>
          </cell>
          <cell r="L11" t="str">
            <v>No</v>
          </cell>
          <cell r="M11">
            <v>0</v>
          </cell>
          <cell r="N11">
            <v>0</v>
          </cell>
        </row>
        <row r="12">
          <cell r="A12" t="str">
            <v>FU0010</v>
          </cell>
          <cell r="B12" t="str">
            <v>Fusteltecnica</v>
          </cell>
          <cell r="C12" t="str">
            <v>E15838</v>
          </cell>
          <cell r="D12" t="str">
            <v>Pantytex</v>
          </cell>
          <cell r="E12" t="str">
            <v>Buste soffiettogambaletto Hema</v>
          </cell>
          <cell r="F12" t="str">
            <v>BOBST 104</v>
          </cell>
          <cell r="G12">
            <v>7</v>
          </cell>
          <cell r="H12" t="str">
            <v>Si</v>
          </cell>
          <cell r="I12" t="str">
            <v>No</v>
          </cell>
          <cell r="J12" t="str">
            <v>No</v>
          </cell>
          <cell r="K12">
            <v>0</v>
          </cell>
          <cell r="L12" t="str">
            <v>Si</v>
          </cell>
          <cell r="M12" t="str">
            <v>Diana Pro 114</v>
          </cell>
          <cell r="N12" t="str">
            <v>Soffietto</v>
          </cell>
        </row>
        <row r="13">
          <cell r="A13" t="str">
            <v>FU0011</v>
          </cell>
          <cell r="B13" t="str">
            <v>Fusteltecnica</v>
          </cell>
          <cell r="C13" t="str">
            <v>E09244</v>
          </cell>
          <cell r="D13" t="str">
            <v>Pantytex</v>
          </cell>
          <cell r="E13" t="str">
            <v>Solette CA 2021 New</v>
          </cell>
          <cell r="F13" t="str">
            <v>BOBST 104</v>
          </cell>
          <cell r="G13">
            <v>9</v>
          </cell>
          <cell r="H13" t="str">
            <v>Si</v>
          </cell>
          <cell r="I13" t="str">
            <v>No</v>
          </cell>
          <cell r="J13" t="str">
            <v>No</v>
          </cell>
          <cell r="K13">
            <v>0</v>
          </cell>
          <cell r="L13" t="str">
            <v>No</v>
          </cell>
          <cell r="M13">
            <v>0</v>
          </cell>
          <cell r="N13">
            <v>0</v>
          </cell>
        </row>
        <row r="14">
          <cell r="A14" t="str">
            <v>FU0012</v>
          </cell>
          <cell r="B14" t="str">
            <v>Fusteltecnica</v>
          </cell>
          <cell r="C14" t="str">
            <v>E13994</v>
          </cell>
          <cell r="D14" t="str">
            <v>JBS</v>
          </cell>
          <cell r="E14" t="str">
            <v>Appendini Decoy 9-309</v>
          </cell>
          <cell r="F14" t="str">
            <v>BOBST 104</v>
          </cell>
          <cell r="G14">
            <v>6</v>
          </cell>
          <cell r="H14" t="str">
            <v>Si</v>
          </cell>
          <cell r="I14" t="str">
            <v>No</v>
          </cell>
          <cell r="J14" t="str">
            <v>No</v>
          </cell>
          <cell r="K14">
            <v>0</v>
          </cell>
          <cell r="L14" t="str">
            <v>No</v>
          </cell>
          <cell r="M14">
            <v>0</v>
          </cell>
          <cell r="N14">
            <v>0</v>
          </cell>
        </row>
        <row r="15">
          <cell r="A15" t="str">
            <v>FU0013</v>
          </cell>
          <cell r="B15" t="str">
            <v>Fusteltecnica</v>
          </cell>
          <cell r="C15" t="str">
            <v>E15430</v>
          </cell>
          <cell r="D15" t="str">
            <v>Prontofoods</v>
          </cell>
          <cell r="E15" t="str">
            <v>Astucci 5 buste</v>
          </cell>
          <cell r="F15" t="str">
            <v>BOBST 104</v>
          </cell>
          <cell r="G15">
            <v>9</v>
          </cell>
          <cell r="H15" t="str">
            <v>Si</v>
          </cell>
          <cell r="I15" t="str">
            <v>No</v>
          </cell>
          <cell r="J15" t="str">
            <v>No</v>
          </cell>
          <cell r="K15">
            <v>0</v>
          </cell>
          <cell r="L15" t="str">
            <v>Si</v>
          </cell>
          <cell r="M15" t="str">
            <v>DIana X80</v>
          </cell>
          <cell r="N15" t="str">
            <v>Lineare</v>
          </cell>
        </row>
        <row r="16">
          <cell r="A16" t="str">
            <v>FU0014</v>
          </cell>
          <cell r="B16" t="str">
            <v>Lasercom</v>
          </cell>
          <cell r="C16" t="str">
            <v>Lomba330</v>
          </cell>
          <cell r="D16" t="str">
            <v>Fortis</v>
          </cell>
          <cell r="E16" t="str">
            <v>Astucci fondo automatico lungo</v>
          </cell>
          <cell r="F16" t="str">
            <v>BOBST 104</v>
          </cell>
          <cell r="G16">
            <v>4</v>
          </cell>
          <cell r="H16" t="str">
            <v>Si</v>
          </cell>
          <cell r="I16" t="str">
            <v>No</v>
          </cell>
          <cell r="J16" t="str">
            <v>No</v>
          </cell>
          <cell r="K16">
            <v>0</v>
          </cell>
          <cell r="L16" t="str">
            <v>Si</v>
          </cell>
          <cell r="M16" t="str">
            <v>Diana Pro 114</v>
          </cell>
          <cell r="N16" t="str">
            <v>Fondo Automatico</v>
          </cell>
        </row>
        <row r="17">
          <cell r="A17" t="str">
            <v>FU0015</v>
          </cell>
          <cell r="B17" t="str">
            <v>Fusteltecnica</v>
          </cell>
          <cell r="C17" t="str">
            <v>R04968</v>
          </cell>
          <cell r="D17" t="str">
            <v>Gallo</v>
          </cell>
          <cell r="E17" t="str">
            <v>Cavallotti Abbinati Vari</v>
          </cell>
          <cell r="F17" t="str">
            <v>BOBST 104</v>
          </cell>
          <cell r="G17">
            <v>26</v>
          </cell>
          <cell r="H17" t="str">
            <v>No</v>
          </cell>
          <cell r="I17" t="str">
            <v>No</v>
          </cell>
          <cell r="J17" t="str">
            <v>No</v>
          </cell>
          <cell r="K17">
            <v>0</v>
          </cell>
          <cell r="L17" t="str">
            <v>No</v>
          </cell>
          <cell r="M17">
            <v>0</v>
          </cell>
          <cell r="N17">
            <v>0</v>
          </cell>
        </row>
        <row r="18">
          <cell r="A18" t="str">
            <v>FU0016</v>
          </cell>
          <cell r="B18" t="str">
            <v>Fusteltecnica</v>
          </cell>
          <cell r="C18" t="str">
            <v>R04928</v>
          </cell>
          <cell r="D18" t="str">
            <v>Cooperativa Vitivi.</v>
          </cell>
          <cell r="E18" t="str">
            <v>Scatola 4 bottiglie</v>
          </cell>
          <cell r="F18" t="str">
            <v>BOBST 104</v>
          </cell>
          <cell r="G18">
            <v>1</v>
          </cell>
          <cell r="H18" t="str">
            <v>No</v>
          </cell>
          <cell r="I18" t="str">
            <v>No</v>
          </cell>
          <cell r="J18" t="str">
            <v>No</v>
          </cell>
          <cell r="K18">
            <v>0</v>
          </cell>
          <cell r="L18" t="str">
            <v>Si</v>
          </cell>
          <cell r="M18" t="str">
            <v>Diana Pro 114</v>
          </cell>
          <cell r="N18" t="str">
            <v>Fondo Automatico</v>
          </cell>
        </row>
        <row r="19">
          <cell r="A19" t="str">
            <v>FU0017</v>
          </cell>
          <cell r="B19" t="str">
            <v>Fusteltecnica</v>
          </cell>
          <cell r="C19" t="str">
            <v>G19976</v>
          </cell>
          <cell r="D19" t="str">
            <v>Bredasole</v>
          </cell>
          <cell r="E19" t="str">
            <v>Scatola 1 Bottiglia</v>
          </cell>
          <cell r="F19" t="str">
            <v>BOBST 1260</v>
          </cell>
          <cell r="G19">
            <v>2</v>
          </cell>
          <cell r="H19" t="str">
            <v>No</v>
          </cell>
          <cell r="I19" t="str">
            <v>Si</v>
          </cell>
          <cell r="J19" t="str">
            <v>No</v>
          </cell>
          <cell r="K19">
            <v>0</v>
          </cell>
          <cell r="L19" t="str">
            <v>Si</v>
          </cell>
          <cell r="M19" t="str">
            <v>Diana Pro 114</v>
          </cell>
          <cell r="N19" t="str">
            <v>Fondo Automatico</v>
          </cell>
        </row>
        <row r="20">
          <cell r="A20" t="str">
            <v>FU0018</v>
          </cell>
          <cell r="B20" t="str">
            <v>Lasercom</v>
          </cell>
          <cell r="C20" t="str">
            <v>Lomb306N</v>
          </cell>
          <cell r="D20" t="str">
            <v>Dolci</v>
          </cell>
          <cell r="E20" t="str">
            <v>Inserti Domyos</v>
          </cell>
          <cell r="F20" t="str">
            <v>BOBST 104</v>
          </cell>
          <cell r="G20">
            <v>6</v>
          </cell>
          <cell r="H20" t="str">
            <v>Si</v>
          </cell>
          <cell r="I20" t="str">
            <v>No</v>
          </cell>
          <cell r="J20" t="str">
            <v>No</v>
          </cell>
          <cell r="K20">
            <v>0</v>
          </cell>
          <cell r="L20" t="str">
            <v>No</v>
          </cell>
          <cell r="M20">
            <v>0</v>
          </cell>
          <cell r="N20">
            <v>0</v>
          </cell>
        </row>
        <row r="21">
          <cell r="A21" t="str">
            <v>FU0019</v>
          </cell>
          <cell r="B21" t="str">
            <v>Lasercom</v>
          </cell>
          <cell r="C21" t="str">
            <v>Lomba228</v>
          </cell>
          <cell r="D21" t="str">
            <v>Pantytex</v>
          </cell>
          <cell r="E21" t="str">
            <v>Inserti Ca</v>
          </cell>
          <cell r="F21" t="str">
            <v>BOBST 104</v>
          </cell>
          <cell r="G21">
            <v>5</v>
          </cell>
          <cell r="H21" t="str">
            <v>Si</v>
          </cell>
          <cell r="I21" t="str">
            <v>No</v>
          </cell>
          <cell r="J21" t="str">
            <v>No</v>
          </cell>
          <cell r="K21">
            <v>0</v>
          </cell>
          <cell r="L21" t="str">
            <v>No</v>
          </cell>
          <cell r="M21">
            <v>0</v>
          </cell>
          <cell r="N21">
            <v>0</v>
          </cell>
        </row>
        <row r="22">
          <cell r="A22" t="str">
            <v>FU0020</v>
          </cell>
          <cell r="B22" t="str">
            <v>Fusteltecnica</v>
          </cell>
          <cell r="C22" t="str">
            <v>E07997</v>
          </cell>
          <cell r="D22" t="str">
            <v>Tracy</v>
          </cell>
          <cell r="E22" t="str">
            <v>Appendini Punta classica</v>
          </cell>
          <cell r="F22" t="str">
            <v>BOBST 104</v>
          </cell>
          <cell r="G22">
            <v>4</v>
          </cell>
          <cell r="H22" t="str">
            <v>Si</v>
          </cell>
          <cell r="I22" t="str">
            <v>No</v>
          </cell>
          <cell r="J22" t="str">
            <v>No</v>
          </cell>
          <cell r="K22">
            <v>0</v>
          </cell>
          <cell r="L22" t="str">
            <v>No</v>
          </cell>
          <cell r="M22">
            <v>0</v>
          </cell>
          <cell r="N22">
            <v>0</v>
          </cell>
        </row>
        <row r="23">
          <cell r="A23" t="str">
            <v>FU0021</v>
          </cell>
          <cell r="B23" t="str">
            <v>Lasercom</v>
          </cell>
          <cell r="C23" t="str">
            <v>Lomba246</v>
          </cell>
          <cell r="D23" t="str">
            <v>Tracy</v>
          </cell>
          <cell r="E23" t="str">
            <v>Fascette Coolmax militari</v>
          </cell>
          <cell r="F23" t="str">
            <v>BOBST 104</v>
          </cell>
          <cell r="G23">
            <v>10</v>
          </cell>
          <cell r="H23" t="str">
            <v>No</v>
          </cell>
          <cell r="I23" t="str">
            <v>No</v>
          </cell>
          <cell r="J23" t="str">
            <v>No</v>
          </cell>
          <cell r="K23">
            <v>0</v>
          </cell>
          <cell r="L23" t="str">
            <v>No</v>
          </cell>
          <cell r="M23">
            <v>0</v>
          </cell>
          <cell r="N23">
            <v>0</v>
          </cell>
        </row>
        <row r="24">
          <cell r="A24" t="str">
            <v>FU0022</v>
          </cell>
          <cell r="B24" t="str">
            <v>Fusteltecnica</v>
          </cell>
          <cell r="C24" t="str">
            <v>R03593</v>
          </cell>
          <cell r="D24" t="str">
            <v>Tracy</v>
          </cell>
          <cell r="E24" t="str">
            <v>Appendini Punta piccoli</v>
          </cell>
          <cell r="F24" t="str">
            <v>BOBST 1260</v>
          </cell>
          <cell r="G24">
            <v>4</v>
          </cell>
          <cell r="H24" t="str">
            <v>No</v>
          </cell>
          <cell r="I24" t="str">
            <v>Si</v>
          </cell>
          <cell r="J24" t="str">
            <v>No</v>
          </cell>
          <cell r="K24">
            <v>0</v>
          </cell>
          <cell r="L24" t="str">
            <v>No</v>
          </cell>
          <cell r="M24">
            <v>0</v>
          </cell>
          <cell r="N24">
            <v>0</v>
          </cell>
        </row>
        <row r="25">
          <cell r="A25" t="str">
            <v>FU0023</v>
          </cell>
          <cell r="B25" t="str">
            <v>Fusteltecnica</v>
          </cell>
          <cell r="C25" t="str">
            <v>R04080</v>
          </cell>
          <cell r="D25" t="str">
            <v>Gallo</v>
          </cell>
          <cell r="E25" t="str">
            <v>Cavallotti DD Luxe angoli arrotondati</v>
          </cell>
          <cell r="F25" t="str">
            <v>BOBST 104</v>
          </cell>
          <cell r="G25">
            <v>12</v>
          </cell>
          <cell r="H25" t="str">
            <v>No</v>
          </cell>
          <cell r="I25" t="str">
            <v>No</v>
          </cell>
          <cell r="J25" t="str">
            <v>No</v>
          </cell>
          <cell r="K25">
            <v>0</v>
          </cell>
          <cell r="L25" t="str">
            <v>No</v>
          </cell>
          <cell r="M25">
            <v>0</v>
          </cell>
          <cell r="N25">
            <v>0</v>
          </cell>
        </row>
        <row r="26">
          <cell r="A26" t="str">
            <v>FU0024</v>
          </cell>
          <cell r="B26" t="str">
            <v>Fusteltecnica</v>
          </cell>
          <cell r="C26" t="str">
            <v>R04935</v>
          </cell>
          <cell r="D26" t="str">
            <v>Love and Bra</v>
          </cell>
          <cell r="E26" t="str">
            <v>Espositori Astucci</v>
          </cell>
          <cell r="F26" t="str">
            <v>BOBST 104</v>
          </cell>
          <cell r="G26">
            <v>1</v>
          </cell>
          <cell r="H26" t="str">
            <v>No</v>
          </cell>
          <cell r="I26" t="str">
            <v>No</v>
          </cell>
          <cell r="J26" t="str">
            <v>No</v>
          </cell>
          <cell r="K26">
            <v>0</v>
          </cell>
          <cell r="L26" t="str">
            <v>Si</v>
          </cell>
          <cell r="M26" t="str">
            <v>DIana X80</v>
          </cell>
          <cell r="N26" t="str">
            <v>Lineare</v>
          </cell>
        </row>
        <row r="27">
          <cell r="A27" t="str">
            <v>FU0025</v>
          </cell>
          <cell r="B27" t="str">
            <v>Fusteltecnica</v>
          </cell>
          <cell r="C27" t="str">
            <v>G18620</v>
          </cell>
          <cell r="D27" t="str">
            <v>Prontofoods</v>
          </cell>
          <cell r="E27" t="str">
            <v>Dolcificanti 60 buste</v>
          </cell>
          <cell r="F27" t="str">
            <v>BOBST 104</v>
          </cell>
          <cell r="G27">
            <v>8</v>
          </cell>
          <cell r="H27" t="str">
            <v>Si</v>
          </cell>
          <cell r="I27" t="str">
            <v>No</v>
          </cell>
          <cell r="J27" t="str">
            <v>No</v>
          </cell>
          <cell r="K27">
            <v>0</v>
          </cell>
          <cell r="L27" t="str">
            <v>No</v>
          </cell>
          <cell r="M27">
            <v>0</v>
          </cell>
          <cell r="N27">
            <v>0</v>
          </cell>
        </row>
        <row r="28">
          <cell r="A28" t="str">
            <v>FU0026</v>
          </cell>
          <cell r="B28" t="str">
            <v>Fusteltecnica</v>
          </cell>
          <cell r="C28" t="str">
            <v>E14147</v>
          </cell>
          <cell r="D28" t="str">
            <v>Pantytex</v>
          </cell>
          <cell r="E28" t="str">
            <v>Appendini Red Bird 0,6</v>
          </cell>
          <cell r="F28" t="str">
            <v>BOBST 104</v>
          </cell>
          <cell r="G28">
            <v>8</v>
          </cell>
          <cell r="H28" t="str">
            <v>Si</v>
          </cell>
          <cell r="I28" t="str">
            <v>No</v>
          </cell>
          <cell r="J28" t="str">
            <v>No</v>
          </cell>
          <cell r="K28">
            <v>0</v>
          </cell>
          <cell r="L28" t="str">
            <v>No</v>
          </cell>
          <cell r="M28">
            <v>0</v>
          </cell>
          <cell r="N28">
            <v>0</v>
          </cell>
        </row>
        <row r="29">
          <cell r="A29" t="str">
            <v>FU0027</v>
          </cell>
          <cell r="B29" t="str">
            <v>Fusteltecnica</v>
          </cell>
          <cell r="C29" t="str">
            <v>M02633</v>
          </cell>
          <cell r="D29" t="str">
            <v>Pantytex</v>
          </cell>
          <cell r="E29" t="str">
            <v>Appendini Red Bird 15</v>
          </cell>
          <cell r="F29" t="str">
            <v>BOBST 104</v>
          </cell>
          <cell r="G29">
            <v>8</v>
          </cell>
          <cell r="H29" t="str">
            <v>Si</v>
          </cell>
          <cell r="I29" t="str">
            <v>No</v>
          </cell>
          <cell r="J29" t="str">
            <v>No</v>
          </cell>
          <cell r="K29">
            <v>0</v>
          </cell>
          <cell r="L29" t="str">
            <v>No</v>
          </cell>
          <cell r="M29">
            <v>0</v>
          </cell>
          <cell r="N29">
            <v>0</v>
          </cell>
        </row>
        <row r="30">
          <cell r="A30" t="str">
            <v>FU0028</v>
          </cell>
          <cell r="B30" t="str">
            <v>Lasercom</v>
          </cell>
          <cell r="C30" t="str">
            <v>Lomba33F</v>
          </cell>
          <cell r="D30" t="str">
            <v>Prontofoods</v>
          </cell>
          <cell r="E30" t="str">
            <v>Astucci Orzo 50 cialde</v>
          </cell>
          <cell r="F30" t="str">
            <v>BOBST 104</v>
          </cell>
          <cell r="G30">
            <v>2</v>
          </cell>
          <cell r="H30" t="str">
            <v>Si</v>
          </cell>
          <cell r="I30" t="str">
            <v>No</v>
          </cell>
          <cell r="J30" t="str">
            <v>No</v>
          </cell>
          <cell r="K30">
            <v>0</v>
          </cell>
          <cell r="L30" t="str">
            <v>Si</v>
          </cell>
          <cell r="M30" t="str">
            <v>DIana X80</v>
          </cell>
          <cell r="N30" t="str">
            <v>Lineare</v>
          </cell>
        </row>
        <row r="31">
          <cell r="A31" t="str">
            <v>FU0029</v>
          </cell>
          <cell r="B31" t="str">
            <v>Fusteltecnica</v>
          </cell>
          <cell r="C31" t="str">
            <v>G20881</v>
          </cell>
          <cell r="D31" t="str">
            <v>Tradigo</v>
          </cell>
          <cell r="E31" t="str">
            <v>Astucci Master 50 ml</v>
          </cell>
          <cell r="F31" t="str">
            <v>BOBST 1260</v>
          </cell>
          <cell r="G31">
            <v>10</v>
          </cell>
          <cell r="H31" t="str">
            <v>Si</v>
          </cell>
          <cell r="I31" t="str">
            <v>Si</v>
          </cell>
          <cell r="J31" t="str">
            <v>No</v>
          </cell>
          <cell r="K31">
            <v>0</v>
          </cell>
          <cell r="L31" t="str">
            <v>Si</v>
          </cell>
          <cell r="M31" t="str">
            <v>DIana X80</v>
          </cell>
          <cell r="N31" t="str">
            <v>Lineare</v>
          </cell>
        </row>
        <row r="32">
          <cell r="A32" t="str">
            <v>FU0030</v>
          </cell>
          <cell r="B32" t="str">
            <v>Fusteltecnica</v>
          </cell>
          <cell r="C32" t="str">
            <v>G11023</v>
          </cell>
          <cell r="D32" t="str">
            <v>JBS</v>
          </cell>
          <cell r="E32" t="str">
            <v>Buste soffietto symfoni</v>
          </cell>
          <cell r="F32" t="str">
            <v>BOBST 1260</v>
          </cell>
          <cell r="G32">
            <v>4</v>
          </cell>
          <cell r="H32" t="str">
            <v>Si</v>
          </cell>
          <cell r="I32" t="str">
            <v>Si</v>
          </cell>
          <cell r="J32" t="str">
            <v>No</v>
          </cell>
          <cell r="K32">
            <v>0</v>
          </cell>
          <cell r="L32" t="str">
            <v>Si</v>
          </cell>
          <cell r="M32" t="str">
            <v>Diana Pro 114</v>
          </cell>
          <cell r="N32" t="str">
            <v>Soffietto</v>
          </cell>
        </row>
        <row r="33">
          <cell r="A33" t="str">
            <v>FU0031</v>
          </cell>
          <cell r="B33" t="str">
            <v>Fusteltecnica</v>
          </cell>
          <cell r="C33" t="str">
            <v>A02623</v>
          </cell>
          <cell r="D33" t="str">
            <v>Pantytex</v>
          </cell>
          <cell r="E33" t="str">
            <v>Astucci Anni Rolfi dorso 12</v>
          </cell>
          <cell r="F33" t="str">
            <v>BOBST 1260</v>
          </cell>
          <cell r="G33">
            <v>8</v>
          </cell>
          <cell r="H33" t="str">
            <v>Si</v>
          </cell>
          <cell r="I33" t="str">
            <v>Si</v>
          </cell>
          <cell r="J33" t="str">
            <v>No</v>
          </cell>
          <cell r="K33">
            <v>0</v>
          </cell>
          <cell r="L33" t="str">
            <v>Si</v>
          </cell>
          <cell r="M33" t="str">
            <v>DIana X80</v>
          </cell>
          <cell r="N33" t="str">
            <v>Lineare</v>
          </cell>
        </row>
        <row r="34">
          <cell r="A34" t="str">
            <v>FU0032</v>
          </cell>
          <cell r="B34" t="str">
            <v>Lasercom</v>
          </cell>
          <cell r="C34" t="str">
            <v>Lomba506</v>
          </cell>
          <cell r="D34" t="str">
            <v>Pantytex</v>
          </cell>
          <cell r="E34" t="str">
            <v>Appendini Hema 1,5 (2014)</v>
          </cell>
          <cell r="F34" t="str">
            <v>BOBST 1260</v>
          </cell>
          <cell r="G34">
            <v>6</v>
          </cell>
          <cell r="H34" t="str">
            <v>Si</v>
          </cell>
          <cell r="I34" t="str">
            <v>Si</v>
          </cell>
          <cell r="J34" t="str">
            <v>No</v>
          </cell>
          <cell r="K34">
            <v>0</v>
          </cell>
          <cell r="L34" t="str">
            <v>No</v>
          </cell>
          <cell r="M34">
            <v>0</v>
          </cell>
          <cell r="N34">
            <v>0</v>
          </cell>
        </row>
        <row r="35">
          <cell r="A35" t="str">
            <v>FU0033</v>
          </cell>
          <cell r="B35" t="str">
            <v>Fusteltecnica</v>
          </cell>
          <cell r="C35" t="str">
            <v>R03745</v>
          </cell>
          <cell r="D35" t="str">
            <v>Prontofoods</v>
          </cell>
          <cell r="E35" t="str">
            <v>Astucci Camomille</v>
          </cell>
          <cell r="F35" t="str">
            <v>BOBST 104</v>
          </cell>
          <cell r="G35">
            <v>9</v>
          </cell>
          <cell r="H35" t="str">
            <v>Si</v>
          </cell>
          <cell r="I35" t="str">
            <v>No</v>
          </cell>
          <cell r="J35" t="str">
            <v>No</v>
          </cell>
          <cell r="K35">
            <v>0</v>
          </cell>
          <cell r="L35" t="str">
            <v>No</v>
          </cell>
          <cell r="M35">
            <v>0</v>
          </cell>
          <cell r="N35">
            <v>0</v>
          </cell>
        </row>
        <row r="36">
          <cell r="A36" t="str">
            <v>FU0034</v>
          </cell>
          <cell r="B36" t="str">
            <v>Fusteltecnica</v>
          </cell>
          <cell r="C36" t="str">
            <v>R02980</v>
          </cell>
          <cell r="D36" t="str">
            <v>JBS</v>
          </cell>
          <cell r="E36" t="str">
            <v>Inserti Decoy con foto</v>
          </cell>
          <cell r="F36" t="str">
            <v>BOBST 1260</v>
          </cell>
          <cell r="G36">
            <v>5</v>
          </cell>
          <cell r="H36" t="str">
            <v>Si</v>
          </cell>
          <cell r="I36" t="str">
            <v>Si</v>
          </cell>
          <cell r="J36" t="str">
            <v>No</v>
          </cell>
          <cell r="K36">
            <v>0</v>
          </cell>
          <cell r="L36" t="str">
            <v>No</v>
          </cell>
          <cell r="M36">
            <v>0</v>
          </cell>
          <cell r="N36">
            <v>0</v>
          </cell>
        </row>
        <row r="37">
          <cell r="A37" t="str">
            <v>FU0035</v>
          </cell>
          <cell r="B37" t="str">
            <v>Fusteltecnica</v>
          </cell>
          <cell r="C37" t="str">
            <v>G17070</v>
          </cell>
          <cell r="D37" t="str">
            <v>Pantytex</v>
          </cell>
          <cell r="E37" t="str">
            <v>Appendini Hema 1,5 classici</v>
          </cell>
          <cell r="F37" t="str">
            <v>BOBST 1260</v>
          </cell>
          <cell r="G37">
            <v>8</v>
          </cell>
          <cell r="H37" t="str">
            <v>Si</v>
          </cell>
          <cell r="I37" t="str">
            <v>Si</v>
          </cell>
          <cell r="J37" t="str">
            <v>No</v>
          </cell>
          <cell r="K37">
            <v>0</v>
          </cell>
          <cell r="L37" t="str">
            <v>No</v>
          </cell>
          <cell r="M37">
            <v>0</v>
          </cell>
          <cell r="N37">
            <v>0</v>
          </cell>
        </row>
        <row r="38">
          <cell r="A38" t="str">
            <v>FU0036</v>
          </cell>
          <cell r="B38" t="str">
            <v>Lasercom</v>
          </cell>
          <cell r="C38" t="str">
            <v>Lomba488</v>
          </cell>
          <cell r="D38" t="str">
            <v>Imballaggi 2L</v>
          </cell>
          <cell r="E38" t="str">
            <v>Scatole Il Granaio</v>
          </cell>
          <cell r="F38" t="str">
            <v>BOBST 1260</v>
          </cell>
          <cell r="G38">
            <v>1</v>
          </cell>
          <cell r="H38" t="str">
            <v>Si</v>
          </cell>
          <cell r="I38" t="str">
            <v>Si</v>
          </cell>
          <cell r="J38" t="str">
            <v>No</v>
          </cell>
          <cell r="K38">
            <v>0</v>
          </cell>
          <cell r="L38" t="str">
            <v>No</v>
          </cell>
          <cell r="M38">
            <v>0</v>
          </cell>
          <cell r="N38">
            <v>0</v>
          </cell>
        </row>
        <row r="39">
          <cell r="A39" t="str">
            <v>FU0037</v>
          </cell>
          <cell r="B39" t="str">
            <v>Fusteltecnica</v>
          </cell>
          <cell r="C39" t="str">
            <v>M02696</v>
          </cell>
          <cell r="D39" t="str">
            <v>Pantytex</v>
          </cell>
          <cell r="E39" t="str">
            <v>Buste Hunkemoller</v>
          </cell>
          <cell r="F39" t="str">
            <v>BOBST 1260</v>
          </cell>
          <cell r="G39">
            <v>6</v>
          </cell>
          <cell r="H39" t="str">
            <v>Si</v>
          </cell>
          <cell r="I39" t="str">
            <v>Si</v>
          </cell>
          <cell r="J39" t="str">
            <v>No</v>
          </cell>
          <cell r="K39">
            <v>0</v>
          </cell>
          <cell r="L39" t="str">
            <v>Si</v>
          </cell>
          <cell r="M39" t="str">
            <v>Diana Pro 114</v>
          </cell>
          <cell r="N39" t="str">
            <v>Disco</v>
          </cell>
        </row>
        <row r="40">
          <cell r="A40" t="str">
            <v>FU0038</v>
          </cell>
          <cell r="B40" t="str">
            <v>Lasercom</v>
          </cell>
          <cell r="C40" t="str">
            <v>Lomba616</v>
          </cell>
          <cell r="D40" t="str">
            <v>PM one</v>
          </cell>
          <cell r="E40" t="str">
            <v>Cartellini amoundsen</v>
          </cell>
          <cell r="F40" t="str">
            <v>BOBST 104</v>
          </cell>
          <cell r="G40">
            <v>25</v>
          </cell>
          <cell r="H40" t="str">
            <v>No</v>
          </cell>
          <cell r="I40" t="str">
            <v>No</v>
          </cell>
          <cell r="J40" t="str">
            <v>No</v>
          </cell>
          <cell r="K40">
            <v>0</v>
          </cell>
          <cell r="L40" t="str">
            <v>No</v>
          </cell>
          <cell r="M40">
            <v>0</v>
          </cell>
          <cell r="N40">
            <v>0</v>
          </cell>
        </row>
        <row r="41">
          <cell r="A41" t="str">
            <v>FU0039</v>
          </cell>
          <cell r="B41" t="str">
            <v>Fusteltecnica</v>
          </cell>
          <cell r="C41" t="str">
            <v>E13523</v>
          </cell>
          <cell r="D41" t="str">
            <v>Cooperativa Vitivi.</v>
          </cell>
          <cell r="E41" t="str">
            <v>Scatola 3 Bottiglie</v>
          </cell>
          <cell r="F41" t="str">
            <v>BOBST 1260</v>
          </cell>
          <cell r="G41">
            <v>1</v>
          </cell>
          <cell r="H41" t="str">
            <v>No</v>
          </cell>
          <cell r="I41" t="str">
            <v>Si</v>
          </cell>
          <cell r="J41" t="str">
            <v>No</v>
          </cell>
          <cell r="K41">
            <v>0</v>
          </cell>
          <cell r="L41" t="str">
            <v>Si</v>
          </cell>
          <cell r="M41" t="str">
            <v>Diana Pro 114</v>
          </cell>
          <cell r="N41" t="str">
            <v>Fondo Automatico</v>
          </cell>
        </row>
        <row r="42">
          <cell r="A42" t="str">
            <v>FU0040</v>
          </cell>
          <cell r="B42" t="str">
            <v>Lasercom</v>
          </cell>
          <cell r="C42" t="str">
            <v>Lomba425</v>
          </cell>
          <cell r="D42" t="str">
            <v>Gallo</v>
          </cell>
          <cell r="E42" t="str">
            <v>Abbinato Fascette Varie</v>
          </cell>
          <cell r="F42" t="str">
            <v>BOBST 104</v>
          </cell>
          <cell r="G42">
            <v>14</v>
          </cell>
          <cell r="H42" t="str">
            <v>No</v>
          </cell>
          <cell r="I42" t="str">
            <v>No</v>
          </cell>
          <cell r="J42" t="str">
            <v>No</v>
          </cell>
          <cell r="K42">
            <v>0</v>
          </cell>
          <cell r="L42" t="str">
            <v>No</v>
          </cell>
          <cell r="M42">
            <v>0</v>
          </cell>
          <cell r="N42">
            <v>0</v>
          </cell>
        </row>
        <row r="43">
          <cell r="A43" t="str">
            <v>FU0041</v>
          </cell>
          <cell r="B43" t="str">
            <v>Fusteltecnica</v>
          </cell>
          <cell r="C43" t="str">
            <v>G18007</v>
          </cell>
          <cell r="D43" t="str">
            <v>Calzificio Italiano</v>
          </cell>
          <cell r="E43" t="str">
            <v>Cavallotti Performance</v>
          </cell>
          <cell r="F43" t="str">
            <v>BOBST 104</v>
          </cell>
          <cell r="G43">
            <v>8</v>
          </cell>
          <cell r="H43" t="str">
            <v>No</v>
          </cell>
          <cell r="I43" t="str">
            <v>No</v>
          </cell>
          <cell r="J43" t="str">
            <v>No</v>
          </cell>
          <cell r="K43">
            <v>0</v>
          </cell>
          <cell r="L43" t="str">
            <v>No</v>
          </cell>
          <cell r="M43">
            <v>0</v>
          </cell>
          <cell r="N43">
            <v>0</v>
          </cell>
        </row>
        <row r="44">
          <cell r="A44" t="str">
            <v>FU0042</v>
          </cell>
          <cell r="B44" t="str">
            <v>Fusteltecnica</v>
          </cell>
          <cell r="C44" t="str">
            <v>E09233</v>
          </cell>
          <cell r="D44" t="str">
            <v>Tradigo</v>
          </cell>
          <cell r="E44" t="str">
            <v>Astucci Master D18</v>
          </cell>
          <cell r="F44" t="str">
            <v>BOBST 1260</v>
          </cell>
          <cell r="G44">
            <v>3</v>
          </cell>
          <cell r="H44" t="str">
            <v>Si</v>
          </cell>
          <cell r="I44" t="str">
            <v>Si</v>
          </cell>
          <cell r="J44" t="str">
            <v>No</v>
          </cell>
          <cell r="K44">
            <v>0</v>
          </cell>
          <cell r="L44" t="str">
            <v>Si</v>
          </cell>
          <cell r="M44" t="str">
            <v>DIana X80</v>
          </cell>
          <cell r="N44" t="str">
            <v>Lineare</v>
          </cell>
        </row>
        <row r="45">
          <cell r="A45" t="str">
            <v>FU0043</v>
          </cell>
          <cell r="B45" t="str">
            <v>Fusteltecnica</v>
          </cell>
          <cell r="C45" t="str">
            <v>E13669</v>
          </cell>
          <cell r="D45" t="str">
            <v>Prontofoods</v>
          </cell>
          <cell r="E45" t="str">
            <v>Astucci Cioccolati 50 buste</v>
          </cell>
          <cell r="F45" t="str">
            <v>BOBST 1260</v>
          </cell>
          <cell r="G45">
            <v>2</v>
          </cell>
          <cell r="H45" t="str">
            <v>Si</v>
          </cell>
          <cell r="I45" t="str">
            <v>Si</v>
          </cell>
          <cell r="J45" t="str">
            <v>No</v>
          </cell>
          <cell r="K45">
            <v>0</v>
          </cell>
          <cell r="L45" t="str">
            <v>Si</v>
          </cell>
          <cell r="M45" t="str">
            <v>Diana Pro 114</v>
          </cell>
          <cell r="N45" t="str">
            <v>Fondo Automatico</v>
          </cell>
        </row>
        <row r="46">
          <cell r="A46" t="str">
            <v>FU0044</v>
          </cell>
          <cell r="B46" t="str">
            <v>Fusteltecnica</v>
          </cell>
          <cell r="C46" t="str">
            <v>K02690</v>
          </cell>
          <cell r="D46" t="str">
            <v>Pantytex</v>
          </cell>
          <cell r="E46" t="str">
            <v>Inserti ellen amber continuativo</v>
          </cell>
          <cell r="F46" t="str">
            <v>BOBST 104</v>
          </cell>
          <cell r="G46">
            <v>14</v>
          </cell>
          <cell r="H46" t="str">
            <v>Si</v>
          </cell>
          <cell r="I46" t="str">
            <v>No</v>
          </cell>
          <cell r="J46" t="str">
            <v>No</v>
          </cell>
          <cell r="K46">
            <v>0</v>
          </cell>
          <cell r="L46" t="str">
            <v>No</v>
          </cell>
          <cell r="M46">
            <v>0</v>
          </cell>
          <cell r="N46">
            <v>0</v>
          </cell>
        </row>
        <row r="47">
          <cell r="A47" t="str">
            <v>FU0045</v>
          </cell>
          <cell r="B47" t="str">
            <v>Lasercom</v>
          </cell>
          <cell r="C47" t="str">
            <v>Lomba113F</v>
          </cell>
          <cell r="D47" t="str">
            <v>Love and Bra</v>
          </cell>
          <cell r="E47" t="str">
            <v>Fondi 4 Angoli H.7</v>
          </cell>
          <cell r="F47" t="str">
            <v>BOBST 104</v>
          </cell>
          <cell r="G47">
            <v>2</v>
          </cell>
          <cell r="H47" t="str">
            <v>Si</v>
          </cell>
          <cell r="I47" t="str">
            <v>No</v>
          </cell>
          <cell r="J47" t="str">
            <v>No</v>
          </cell>
          <cell r="K47">
            <v>0</v>
          </cell>
          <cell r="L47" t="str">
            <v>Si</v>
          </cell>
          <cell r="M47" t="str">
            <v>Diana Pro 114</v>
          </cell>
          <cell r="N47" t="str">
            <v>Quattro angoli</v>
          </cell>
        </row>
        <row r="48">
          <cell r="A48" t="str">
            <v>FU0046</v>
          </cell>
          <cell r="B48" t="str">
            <v>Fusteltecnica</v>
          </cell>
          <cell r="C48" t="str">
            <v>M01410</v>
          </cell>
          <cell r="D48" t="str">
            <v>Prontofoods</v>
          </cell>
          <cell r="E48" t="str">
            <v>Griglie Blister + Bonadei Eco Corta</v>
          </cell>
          <cell r="F48" t="str">
            <v>BOBST 104</v>
          </cell>
          <cell r="G48">
            <v>2</v>
          </cell>
          <cell r="H48" t="str">
            <v>Si</v>
          </cell>
          <cell r="I48" t="str">
            <v>No</v>
          </cell>
          <cell r="J48" t="str">
            <v>No</v>
          </cell>
          <cell r="K48">
            <v>0</v>
          </cell>
          <cell r="L48" t="str">
            <v>Si</v>
          </cell>
          <cell r="M48" t="str">
            <v>Diana Pro 114</v>
          </cell>
          <cell r="N48" t="str">
            <v>Quattro angoli</v>
          </cell>
        </row>
        <row r="49">
          <cell r="A49" t="str">
            <v>FU0047</v>
          </cell>
          <cell r="B49" t="str">
            <v>Fusteltecnica</v>
          </cell>
          <cell r="C49" t="str">
            <v>R03971</v>
          </cell>
          <cell r="D49" t="str">
            <v>Pantytex</v>
          </cell>
          <cell r="E49" t="str">
            <v>Appendini CA anticellulite</v>
          </cell>
          <cell r="F49" t="str">
            <v>BOBST 1260</v>
          </cell>
          <cell r="G49">
            <v>6</v>
          </cell>
          <cell r="H49" t="str">
            <v>Si</v>
          </cell>
          <cell r="I49" t="str">
            <v>Si</v>
          </cell>
          <cell r="J49" t="str">
            <v>No</v>
          </cell>
          <cell r="K49">
            <v>0</v>
          </cell>
          <cell r="L49" t="str">
            <v>No</v>
          </cell>
          <cell r="M49">
            <v>0</v>
          </cell>
          <cell r="N49">
            <v>0</v>
          </cell>
        </row>
        <row r="50">
          <cell r="A50" t="str">
            <v>FU0048</v>
          </cell>
          <cell r="B50" t="str">
            <v>Lasercom</v>
          </cell>
          <cell r="C50" t="str">
            <v>Lomba473</v>
          </cell>
          <cell r="D50" t="str">
            <v>Bergen</v>
          </cell>
          <cell r="E50" t="str">
            <v>Astucci Fulmine</v>
          </cell>
          <cell r="F50" t="str">
            <v>BOBST 104</v>
          </cell>
          <cell r="G50">
            <v>6</v>
          </cell>
          <cell r="H50" t="str">
            <v>Si</v>
          </cell>
          <cell r="I50" t="str">
            <v>No</v>
          </cell>
          <cell r="J50" t="str">
            <v>No</v>
          </cell>
          <cell r="K50">
            <v>0</v>
          </cell>
          <cell r="L50" t="str">
            <v>Si</v>
          </cell>
          <cell r="M50" t="str">
            <v>DIana X80</v>
          </cell>
          <cell r="N50" t="str">
            <v>Lineare</v>
          </cell>
        </row>
        <row r="51">
          <cell r="A51" t="str">
            <v>FU0049</v>
          </cell>
          <cell r="B51" t="str">
            <v>Fusteltecnica</v>
          </cell>
          <cell r="C51" t="str">
            <v>R03969</v>
          </cell>
          <cell r="D51" t="str">
            <v>Bergen</v>
          </cell>
          <cell r="E51" t="str">
            <v>Astucci Selly</v>
          </cell>
          <cell r="F51" t="str">
            <v>BOBST 104</v>
          </cell>
          <cell r="G51">
            <v>8</v>
          </cell>
          <cell r="H51" t="str">
            <v>Si</v>
          </cell>
          <cell r="I51" t="str">
            <v>No</v>
          </cell>
          <cell r="J51" t="str">
            <v>No</v>
          </cell>
          <cell r="K51">
            <v>0</v>
          </cell>
          <cell r="L51" t="str">
            <v>Si</v>
          </cell>
          <cell r="M51" t="str">
            <v>DIana X80</v>
          </cell>
          <cell r="N51" t="str">
            <v>Lineare</v>
          </cell>
        </row>
        <row r="52">
          <cell r="A52" t="str">
            <v>FU0050</v>
          </cell>
          <cell r="B52" t="str">
            <v>Fusteltecnica</v>
          </cell>
          <cell r="C52" t="str">
            <v>R03031</v>
          </cell>
          <cell r="D52" t="str">
            <v>Bergen</v>
          </cell>
          <cell r="E52" t="str">
            <v>Astucci Endurance</v>
          </cell>
          <cell r="F52" t="str">
            <v>BOBST 1260</v>
          </cell>
          <cell r="G52">
            <v>8</v>
          </cell>
          <cell r="H52" t="str">
            <v>Si</v>
          </cell>
          <cell r="I52" t="str">
            <v>Si</v>
          </cell>
          <cell r="J52" t="str">
            <v>No</v>
          </cell>
          <cell r="K52">
            <v>0</v>
          </cell>
          <cell r="L52" t="str">
            <v>Si</v>
          </cell>
          <cell r="M52" t="str">
            <v>DIana X80</v>
          </cell>
          <cell r="N52" t="str">
            <v>Lineare</v>
          </cell>
        </row>
        <row r="53">
          <cell r="A53" t="str">
            <v>FU0051</v>
          </cell>
          <cell r="B53" t="str">
            <v>Fusteltecnica</v>
          </cell>
          <cell r="C53" t="str">
            <v>R04018</v>
          </cell>
          <cell r="D53" t="str">
            <v>Coop Cartai</v>
          </cell>
          <cell r="E53" t="str">
            <v>Vassoi Alimentari</v>
          </cell>
          <cell r="F53" t="str">
            <v>BOBST 104</v>
          </cell>
          <cell r="G53">
            <v>15</v>
          </cell>
          <cell r="H53" t="str">
            <v>Si</v>
          </cell>
          <cell r="I53" t="str">
            <v>No</v>
          </cell>
          <cell r="J53" t="str">
            <v>No</v>
          </cell>
          <cell r="K53">
            <v>0</v>
          </cell>
          <cell r="L53" t="str">
            <v>No</v>
          </cell>
          <cell r="M53">
            <v>0</v>
          </cell>
          <cell r="N53">
            <v>0</v>
          </cell>
        </row>
        <row r="54">
          <cell r="A54" t="str">
            <v>FU0052</v>
          </cell>
          <cell r="B54" t="str">
            <v>Fusteltecnica</v>
          </cell>
          <cell r="C54" t="str">
            <v>K02237</v>
          </cell>
          <cell r="D54" t="str">
            <v>Coop Cartai</v>
          </cell>
          <cell r="E54" t="str">
            <v>Vassoi Alimentari</v>
          </cell>
          <cell r="F54" t="str">
            <v>BOBST 104</v>
          </cell>
          <cell r="G54">
            <v>10</v>
          </cell>
          <cell r="H54" t="str">
            <v>No</v>
          </cell>
          <cell r="I54" t="str">
            <v>No</v>
          </cell>
          <cell r="J54" t="str">
            <v>No</v>
          </cell>
          <cell r="K54">
            <v>0</v>
          </cell>
          <cell r="L54" t="str">
            <v>No</v>
          </cell>
          <cell r="M54">
            <v>0</v>
          </cell>
          <cell r="N54">
            <v>0</v>
          </cell>
        </row>
        <row r="55">
          <cell r="A55" t="str">
            <v>FU0053</v>
          </cell>
          <cell r="B55" t="str">
            <v>Lasercom</v>
          </cell>
          <cell r="C55" t="str">
            <v>Lomba447</v>
          </cell>
          <cell r="D55" t="str">
            <v>La Nocciola</v>
          </cell>
          <cell r="E55" t="str">
            <v>Scatola Panettone</v>
          </cell>
          <cell r="F55" t="str">
            <v>BOBST 1260</v>
          </cell>
          <cell r="G55">
            <v>1</v>
          </cell>
          <cell r="H55" t="str">
            <v>No</v>
          </cell>
          <cell r="I55" t="str">
            <v>Si</v>
          </cell>
          <cell r="J55" t="str">
            <v>No</v>
          </cell>
          <cell r="K55">
            <v>0</v>
          </cell>
          <cell r="L55" t="str">
            <v>Si</v>
          </cell>
          <cell r="M55" t="str">
            <v>Diana Pro 114</v>
          </cell>
          <cell r="N55" t="str">
            <v>Americana</v>
          </cell>
        </row>
        <row r="56">
          <cell r="A56" t="str">
            <v>FU0054</v>
          </cell>
          <cell r="B56" t="str">
            <v>Fusteltecnica</v>
          </cell>
          <cell r="C56" t="str">
            <v>R03310</v>
          </cell>
          <cell r="D56" t="str">
            <v>La Nocciola</v>
          </cell>
          <cell r="E56" t="str">
            <v>Scatole La Nocciola Grande Piccolo</v>
          </cell>
          <cell r="F56" t="str">
            <v>BOBST 1260</v>
          </cell>
          <cell r="G56">
            <v>2</v>
          </cell>
          <cell r="H56" t="str">
            <v>No</v>
          </cell>
          <cell r="I56" t="str">
            <v>Si</v>
          </cell>
          <cell r="J56" t="str">
            <v>No</v>
          </cell>
          <cell r="K56">
            <v>0</v>
          </cell>
          <cell r="L56" t="str">
            <v>Si</v>
          </cell>
          <cell r="M56" t="str">
            <v>DIana X80</v>
          </cell>
          <cell r="N56" t="str">
            <v>Lineare</v>
          </cell>
        </row>
        <row r="57">
          <cell r="A57" t="str">
            <v>FU0055</v>
          </cell>
          <cell r="B57" t="str">
            <v>Fusteltecnica</v>
          </cell>
          <cell r="C57" t="str">
            <v>M01477</v>
          </cell>
          <cell r="D57" t="str">
            <v>La Nocciola</v>
          </cell>
          <cell r="E57" t="str">
            <v>Scatole La Nocciola 1 Grande 2 Piccoli</v>
          </cell>
          <cell r="F57" t="str">
            <v>BOBST 104</v>
          </cell>
          <cell r="G57">
            <v>3</v>
          </cell>
          <cell r="H57" t="str">
            <v>No</v>
          </cell>
          <cell r="I57" t="str">
            <v>No</v>
          </cell>
          <cell r="J57" t="str">
            <v>No</v>
          </cell>
          <cell r="K57">
            <v>0</v>
          </cell>
          <cell r="L57" t="str">
            <v>Si</v>
          </cell>
          <cell r="M57" t="str">
            <v>DIana X80</v>
          </cell>
          <cell r="N57" t="str">
            <v>Lineare</v>
          </cell>
        </row>
        <row r="58">
          <cell r="A58" t="str">
            <v>FU0056</v>
          </cell>
          <cell r="B58" t="str">
            <v>Fusteltecnica</v>
          </cell>
          <cell r="C58" t="str">
            <v>E14644</v>
          </cell>
          <cell r="D58" t="str">
            <v>Love and Bra</v>
          </cell>
          <cell r="E58" t="str">
            <v>Astucci H75 Cubo</v>
          </cell>
          <cell r="F58" t="str">
            <v>BOBST 1260</v>
          </cell>
          <cell r="G58">
            <v>4</v>
          </cell>
          <cell r="H58" t="str">
            <v>Si</v>
          </cell>
          <cell r="I58" t="str">
            <v>Si</v>
          </cell>
          <cell r="J58" t="str">
            <v>No</v>
          </cell>
          <cell r="K58">
            <v>0</v>
          </cell>
          <cell r="L58" t="str">
            <v>Si</v>
          </cell>
          <cell r="M58" t="str">
            <v>DIana X80</v>
          </cell>
          <cell r="N58" t="str">
            <v>Lineare</v>
          </cell>
        </row>
        <row r="59">
          <cell r="A59" t="str">
            <v>FU0057</v>
          </cell>
          <cell r="B59" t="str">
            <v>Fusteltecnica</v>
          </cell>
          <cell r="C59" t="str">
            <v>R03092</v>
          </cell>
          <cell r="D59" t="str">
            <v>Bergen</v>
          </cell>
          <cell r="E59" t="str">
            <v>Interni Microonda Endurance</v>
          </cell>
          <cell r="F59" t="str">
            <v>BOBST 1260</v>
          </cell>
          <cell r="G59">
            <v>12</v>
          </cell>
          <cell r="H59" t="str">
            <v>Si</v>
          </cell>
          <cell r="I59" t="str">
            <v>Si</v>
          </cell>
          <cell r="J59" t="str">
            <v>No</v>
          </cell>
          <cell r="K59">
            <v>0</v>
          </cell>
          <cell r="L59" t="str">
            <v>No</v>
          </cell>
          <cell r="M59">
            <v>0</v>
          </cell>
          <cell r="N59">
            <v>0</v>
          </cell>
        </row>
        <row r="60">
          <cell r="A60" t="str">
            <v>FU0058</v>
          </cell>
          <cell r="B60" t="str">
            <v>Fusteltecnica</v>
          </cell>
          <cell r="C60" t="str">
            <v>R03091</v>
          </cell>
          <cell r="D60" t="str">
            <v>Bergen</v>
          </cell>
          <cell r="E60" t="str">
            <v>Astucci Endurance "Nuovi"</v>
          </cell>
          <cell r="F60" t="str">
            <v>BOBST 1260</v>
          </cell>
          <cell r="G60">
            <v>8</v>
          </cell>
          <cell r="H60" t="str">
            <v>Si</v>
          </cell>
          <cell r="I60" t="str">
            <v>Si</v>
          </cell>
          <cell r="J60" t="str">
            <v>No</v>
          </cell>
          <cell r="K60">
            <v>0</v>
          </cell>
          <cell r="L60" t="str">
            <v>Si</v>
          </cell>
          <cell r="M60" t="str">
            <v>DIana X80</v>
          </cell>
          <cell r="N60" t="str">
            <v>Lineare</v>
          </cell>
        </row>
        <row r="61">
          <cell r="A61" t="str">
            <v>FU0059</v>
          </cell>
          <cell r="B61" t="str">
            <v>Fusteltecnica</v>
          </cell>
          <cell r="C61" t="str">
            <v>G18570</v>
          </cell>
          <cell r="D61" t="str">
            <v>Cizeta</v>
          </cell>
          <cell r="E61" t="str">
            <v>Inserti Salus</v>
          </cell>
          <cell r="F61" t="str">
            <v>BOBST 104</v>
          </cell>
          <cell r="G61">
            <v>6</v>
          </cell>
          <cell r="H61" t="str">
            <v>No</v>
          </cell>
          <cell r="I61" t="str">
            <v>No</v>
          </cell>
          <cell r="J61" t="str">
            <v>No</v>
          </cell>
          <cell r="K61">
            <v>0</v>
          </cell>
          <cell r="L61" t="str">
            <v>No</v>
          </cell>
          <cell r="M61">
            <v>0</v>
          </cell>
          <cell r="N61">
            <v>0</v>
          </cell>
        </row>
        <row r="62">
          <cell r="A62" t="str">
            <v>FU0060</v>
          </cell>
          <cell r="B62" t="str">
            <v>Lasercom</v>
          </cell>
          <cell r="C62" t="str">
            <v>Lom203CC</v>
          </cell>
          <cell r="D62" t="str">
            <v>Cizeta</v>
          </cell>
          <cell r="E62" t="str">
            <v>Fondi Salus Modificati</v>
          </cell>
          <cell r="F62" t="str">
            <v>BOBST 104</v>
          </cell>
          <cell r="G62">
            <v>2</v>
          </cell>
          <cell r="H62" t="str">
            <v>No</v>
          </cell>
          <cell r="I62" t="str">
            <v>No</v>
          </cell>
          <cell r="J62" t="str">
            <v>No</v>
          </cell>
          <cell r="K62">
            <v>0</v>
          </cell>
          <cell r="L62" t="str">
            <v>Si</v>
          </cell>
          <cell r="M62" t="str">
            <v>Diana Pro 114</v>
          </cell>
          <cell r="N62" t="str">
            <v>Americana</v>
          </cell>
        </row>
        <row r="63">
          <cell r="A63" t="str">
            <v>FU0061</v>
          </cell>
          <cell r="B63" t="str">
            <v>Fusteltecnica</v>
          </cell>
          <cell r="C63" t="str">
            <v>E09582</v>
          </cell>
          <cell r="D63" t="str">
            <v>Tracy</v>
          </cell>
          <cell r="E63" t="str">
            <v>Appendini Gemo Kids</v>
          </cell>
          <cell r="F63" t="str">
            <v>BOBST 1260</v>
          </cell>
          <cell r="G63">
            <v>8</v>
          </cell>
          <cell r="H63" t="str">
            <v>No</v>
          </cell>
          <cell r="I63" t="str">
            <v>Si</v>
          </cell>
          <cell r="J63" t="str">
            <v>No</v>
          </cell>
          <cell r="K63">
            <v>0</v>
          </cell>
          <cell r="L63" t="str">
            <v>No</v>
          </cell>
          <cell r="M63">
            <v>0</v>
          </cell>
          <cell r="N63">
            <v>0</v>
          </cell>
        </row>
        <row r="64">
          <cell r="A64" t="str">
            <v>FU0062</v>
          </cell>
          <cell r="B64" t="str">
            <v>Fusteltecnica</v>
          </cell>
          <cell r="C64" t="str">
            <v>E09641</v>
          </cell>
          <cell r="D64" t="str">
            <v>Essegel</v>
          </cell>
          <cell r="E64" t="str">
            <v>Astucci Essegel MD</v>
          </cell>
          <cell r="F64" t="str">
            <v>BOBST 1260</v>
          </cell>
          <cell r="G64">
            <v>4</v>
          </cell>
          <cell r="H64" t="str">
            <v>No</v>
          </cell>
          <cell r="I64" t="str">
            <v>Si</v>
          </cell>
          <cell r="J64" t="str">
            <v>No</v>
          </cell>
          <cell r="K64">
            <v>0</v>
          </cell>
          <cell r="L64" t="str">
            <v>No</v>
          </cell>
          <cell r="M64">
            <v>0</v>
          </cell>
          <cell r="N64">
            <v>0</v>
          </cell>
        </row>
        <row r="65">
          <cell r="A65" t="str">
            <v>FU0063</v>
          </cell>
          <cell r="B65" t="str">
            <v>Fusteltecnica</v>
          </cell>
          <cell r="C65" t="str">
            <v>E09564</v>
          </cell>
          <cell r="D65" t="str">
            <v>Quaranta</v>
          </cell>
          <cell r="E65" t="str">
            <v>Espositore Jolly 25 PZ</v>
          </cell>
          <cell r="F65" t="str">
            <v>BOBST 1260</v>
          </cell>
          <cell r="G65">
            <v>1</v>
          </cell>
          <cell r="H65" t="str">
            <v>No</v>
          </cell>
          <cell r="I65" t="str">
            <v>Si</v>
          </cell>
          <cell r="J65" t="str">
            <v>Si</v>
          </cell>
          <cell r="K65">
            <v>2</v>
          </cell>
          <cell r="L65" t="str">
            <v>No</v>
          </cell>
          <cell r="M65">
            <v>0</v>
          </cell>
          <cell r="N65">
            <v>0</v>
          </cell>
        </row>
        <row r="66">
          <cell r="A66" t="str">
            <v>FU0064</v>
          </cell>
          <cell r="B66" t="str">
            <v>Fusteltecnica</v>
          </cell>
          <cell r="C66" t="str">
            <v>E09649</v>
          </cell>
          <cell r="D66" t="str">
            <v>Vegas</v>
          </cell>
          <cell r="E66" t="str">
            <v>Astucci con Anta D25</v>
          </cell>
          <cell r="F66" t="str">
            <v>BOBST 1260</v>
          </cell>
          <cell r="G66">
            <v>4</v>
          </cell>
          <cell r="H66" t="str">
            <v>No</v>
          </cell>
          <cell r="I66" t="str">
            <v>Si</v>
          </cell>
          <cell r="J66" t="str">
            <v>No</v>
          </cell>
          <cell r="K66">
            <v>0</v>
          </cell>
          <cell r="L66" t="str">
            <v>Si</v>
          </cell>
          <cell r="M66" t="str">
            <v>Diana Pro 114</v>
          </cell>
          <cell r="N66" t="str">
            <v>Speciali</v>
          </cell>
        </row>
        <row r="67">
          <cell r="A67" t="str">
            <v>FU0065</v>
          </cell>
          <cell r="B67" t="str">
            <v>Fusteltecnica</v>
          </cell>
          <cell r="C67" t="str">
            <v>B01677</v>
          </cell>
          <cell r="D67" t="str">
            <v>Pantytex</v>
          </cell>
          <cell r="E67" t="str">
            <v>Buste Bipa</v>
          </cell>
          <cell r="F67" t="str">
            <v>BOBST 104</v>
          </cell>
          <cell r="G67">
            <v>3</v>
          </cell>
          <cell r="H67" t="str">
            <v>No</v>
          </cell>
          <cell r="I67" t="str">
            <v>No</v>
          </cell>
          <cell r="J67" t="str">
            <v>No</v>
          </cell>
          <cell r="K67">
            <v>0</v>
          </cell>
          <cell r="L67" t="str">
            <v>Si</v>
          </cell>
          <cell r="M67" t="str">
            <v>Diana Pro 114</v>
          </cell>
          <cell r="N67" t="str">
            <v>Soffietto</v>
          </cell>
        </row>
        <row r="68">
          <cell r="A68" t="str">
            <v>FU0066</v>
          </cell>
          <cell r="B68" t="str">
            <v>Fusteltecnica</v>
          </cell>
          <cell r="C68" t="str">
            <v>E09661</v>
          </cell>
          <cell r="D68" t="str">
            <v>Cinturificio Bresciano</v>
          </cell>
          <cell r="E68" t="str">
            <v>Astucci GMV</v>
          </cell>
          <cell r="F68" t="str">
            <v>BOBST 1260</v>
          </cell>
          <cell r="G68">
            <v>4</v>
          </cell>
          <cell r="H68" t="str">
            <v>Si</v>
          </cell>
          <cell r="I68" t="str">
            <v>Si</v>
          </cell>
          <cell r="J68" t="str">
            <v>No</v>
          </cell>
          <cell r="K68">
            <v>0</v>
          </cell>
          <cell r="L68" t="str">
            <v>Si</v>
          </cell>
          <cell r="M68" t="str">
            <v>Diana Pro 114</v>
          </cell>
          <cell r="N68" t="str">
            <v>Fondo Automatico</v>
          </cell>
        </row>
        <row r="69">
          <cell r="A69" t="str">
            <v>FU0067</v>
          </cell>
          <cell r="B69" t="str">
            <v>Fusteltecnica</v>
          </cell>
          <cell r="C69" t="str">
            <v>E096526</v>
          </cell>
          <cell r="D69" t="str">
            <v>Rcm</v>
          </cell>
          <cell r="E69" t="str">
            <v>Astucci CBD Sim 1-3</v>
          </cell>
          <cell r="F69" t="str">
            <v>BOBST 104</v>
          </cell>
          <cell r="G69">
            <v>3</v>
          </cell>
          <cell r="H69" t="str">
            <v>No</v>
          </cell>
          <cell r="I69" t="str">
            <v>No</v>
          </cell>
          <cell r="J69" t="str">
            <v>No</v>
          </cell>
          <cell r="K69">
            <v>0</v>
          </cell>
          <cell r="L69" t="str">
            <v>Si</v>
          </cell>
          <cell r="M69" t="str">
            <v>DIana X80</v>
          </cell>
          <cell r="N69" t="str">
            <v>Lineare</v>
          </cell>
        </row>
        <row r="70">
          <cell r="A70" t="str">
            <v>FU0068</v>
          </cell>
          <cell r="B70" t="str">
            <v>Fusteltecnica</v>
          </cell>
          <cell r="C70" t="str">
            <v>E09695</v>
          </cell>
          <cell r="D70" t="str">
            <v>Rcm</v>
          </cell>
          <cell r="E70" t="str">
            <v>Astucci CBD Sim 5-6</v>
          </cell>
          <cell r="F70" t="str">
            <v>BOBST 104</v>
          </cell>
          <cell r="G70">
            <v>2</v>
          </cell>
          <cell r="H70" t="str">
            <v>No</v>
          </cell>
          <cell r="I70" t="str">
            <v>No</v>
          </cell>
          <cell r="J70" t="str">
            <v>No</v>
          </cell>
          <cell r="K70">
            <v>0</v>
          </cell>
          <cell r="L70" t="str">
            <v>Si</v>
          </cell>
          <cell r="M70" t="str">
            <v>DIana X80</v>
          </cell>
          <cell r="N70" t="str">
            <v>Lineare</v>
          </cell>
        </row>
        <row r="71">
          <cell r="A71" t="str">
            <v>FU0069</v>
          </cell>
          <cell r="B71" t="str">
            <v>Fusteltecnica</v>
          </cell>
          <cell r="C71" t="str">
            <v>E09697</v>
          </cell>
          <cell r="D71" t="str">
            <v>Rcm</v>
          </cell>
          <cell r="E71" t="str">
            <v>Astucci CBD 1-3-5-6</v>
          </cell>
          <cell r="F71" t="str">
            <v>BOBST 104</v>
          </cell>
          <cell r="G71">
            <v>6</v>
          </cell>
          <cell r="H71" t="str">
            <v>No</v>
          </cell>
          <cell r="I71" t="str">
            <v>No</v>
          </cell>
          <cell r="J71" t="str">
            <v>No</v>
          </cell>
          <cell r="K71">
            <v>0</v>
          </cell>
          <cell r="L71" t="str">
            <v>Si</v>
          </cell>
          <cell r="M71" t="str">
            <v>DIana X80</v>
          </cell>
          <cell r="N71" t="str">
            <v>Lineare</v>
          </cell>
        </row>
        <row r="72">
          <cell r="A72" t="str">
            <v>FU0070</v>
          </cell>
          <cell r="B72" t="str">
            <v>Fusteltecnica</v>
          </cell>
          <cell r="C72" t="str">
            <v>R00252</v>
          </cell>
          <cell r="D72" t="str">
            <v>JBS</v>
          </cell>
          <cell r="E72" t="str">
            <v>Decoy 9-316 Sagomati Lunghi</v>
          </cell>
          <cell r="F72" t="str">
            <v>BOBST 104</v>
          </cell>
          <cell r="G72">
            <v>6</v>
          </cell>
          <cell r="H72" t="str">
            <v>No</v>
          </cell>
          <cell r="I72" t="str">
            <v>No</v>
          </cell>
          <cell r="J72" t="str">
            <v>No</v>
          </cell>
          <cell r="K72">
            <v>0</v>
          </cell>
          <cell r="L72" t="str">
            <v>No</v>
          </cell>
          <cell r="M72">
            <v>0</v>
          </cell>
          <cell r="N72">
            <v>0</v>
          </cell>
        </row>
        <row r="73">
          <cell r="A73" t="str">
            <v>FU0071</v>
          </cell>
          <cell r="B73" t="str">
            <v>Lasercom</v>
          </cell>
          <cell r="C73" t="str">
            <v>Lomba277</v>
          </cell>
          <cell r="D73" t="str">
            <v>JBS</v>
          </cell>
          <cell r="E73" t="str">
            <v>Appendini Ginatricot</v>
          </cell>
          <cell r="F73" t="str">
            <v>BOBST 104</v>
          </cell>
          <cell r="G73">
            <v>6</v>
          </cell>
          <cell r="H73" t="str">
            <v>No</v>
          </cell>
          <cell r="I73" t="str">
            <v>No</v>
          </cell>
          <cell r="J73" t="str">
            <v>No</v>
          </cell>
          <cell r="K73">
            <v>0</v>
          </cell>
          <cell r="L73" t="str">
            <v>No</v>
          </cell>
          <cell r="M73">
            <v>0</v>
          </cell>
          <cell r="N73">
            <v>0</v>
          </cell>
        </row>
        <row r="74">
          <cell r="A74" t="str">
            <v>FU0072</v>
          </cell>
          <cell r="B74" t="str">
            <v>Fusteltecnica</v>
          </cell>
          <cell r="C74" t="str">
            <v>E14458</v>
          </cell>
          <cell r="D74" t="str">
            <v>JBS</v>
          </cell>
          <cell r="E74" t="str">
            <v>Appendini Synfony Dual</v>
          </cell>
          <cell r="F74" t="str">
            <v>BOBST 104</v>
          </cell>
          <cell r="G74">
            <v>4</v>
          </cell>
          <cell r="H74" t="str">
            <v>No</v>
          </cell>
          <cell r="I74" t="str">
            <v>No</v>
          </cell>
          <cell r="J74" t="str">
            <v>No</v>
          </cell>
          <cell r="K74">
            <v>0</v>
          </cell>
          <cell r="L74" t="str">
            <v>No</v>
          </cell>
          <cell r="M74">
            <v>0</v>
          </cell>
          <cell r="N74">
            <v>0</v>
          </cell>
        </row>
        <row r="75">
          <cell r="A75" t="str">
            <v>FU0073</v>
          </cell>
          <cell r="B75" t="str">
            <v>Fusteltecnica</v>
          </cell>
          <cell r="C75" t="str">
            <v>E12219</v>
          </cell>
          <cell r="D75" t="str">
            <v>JBS</v>
          </cell>
          <cell r="E75" t="str">
            <v>Appendini Decoy</v>
          </cell>
          <cell r="F75" t="str">
            <v>BOBST 104</v>
          </cell>
          <cell r="G75">
            <v>4</v>
          </cell>
          <cell r="H75" t="str">
            <v>No</v>
          </cell>
          <cell r="I75" t="str">
            <v>No</v>
          </cell>
          <cell r="J75" t="str">
            <v>No</v>
          </cell>
          <cell r="K75">
            <v>0</v>
          </cell>
          <cell r="L75" t="str">
            <v>No</v>
          </cell>
          <cell r="M75">
            <v>0</v>
          </cell>
          <cell r="N75">
            <v>0</v>
          </cell>
        </row>
        <row r="76">
          <cell r="A76" t="str">
            <v>FU0074</v>
          </cell>
          <cell r="B76" t="str">
            <v>Fusteltecnica</v>
          </cell>
          <cell r="C76" t="str">
            <v>E09717</v>
          </cell>
          <cell r="D76" t="str">
            <v>Rcm</v>
          </cell>
          <cell r="E76" t="str">
            <v>Interni neri 81-82</v>
          </cell>
          <cell r="F76" t="str">
            <v>BOBST 1260</v>
          </cell>
          <cell r="G76">
            <v>14</v>
          </cell>
          <cell r="H76" t="str">
            <v>No</v>
          </cell>
          <cell r="I76" t="str">
            <v>Si</v>
          </cell>
          <cell r="J76" t="str">
            <v>No</v>
          </cell>
          <cell r="K76">
            <v>0</v>
          </cell>
          <cell r="L76" t="str">
            <v>No</v>
          </cell>
          <cell r="M76">
            <v>0</v>
          </cell>
          <cell r="N76">
            <v>0</v>
          </cell>
        </row>
        <row r="77">
          <cell r="A77" t="str">
            <v>FU0075</v>
          </cell>
          <cell r="B77" t="str">
            <v>Fusteltecnica</v>
          </cell>
          <cell r="C77" t="str">
            <v>A16393</v>
          </cell>
          <cell r="D77" t="str">
            <v>Girardi</v>
          </cell>
          <cell r="E77" t="str">
            <v>Inserti Doppia Piega</v>
          </cell>
          <cell r="F77" t="str">
            <v>BOBST 104</v>
          </cell>
          <cell r="G77">
            <v>5</v>
          </cell>
          <cell r="H77" t="str">
            <v>No</v>
          </cell>
          <cell r="I77" t="str">
            <v>No</v>
          </cell>
          <cell r="J77" t="str">
            <v>No</v>
          </cell>
          <cell r="K77">
            <v>0</v>
          </cell>
          <cell r="L77" t="str">
            <v>No</v>
          </cell>
          <cell r="M77">
            <v>0</v>
          </cell>
          <cell r="N77">
            <v>0</v>
          </cell>
        </row>
        <row r="78">
          <cell r="A78" t="str">
            <v>FU0076</v>
          </cell>
          <cell r="B78" t="str">
            <v>Fusteltecnica</v>
          </cell>
          <cell r="C78" t="str">
            <v>M00200</v>
          </cell>
          <cell r="D78" t="str">
            <v>Girardi</v>
          </cell>
          <cell r="E78" t="str">
            <v>Cartella Colori</v>
          </cell>
          <cell r="F78" t="str">
            <v>BOBST 104</v>
          </cell>
          <cell r="G78">
            <v>1</v>
          </cell>
          <cell r="H78" t="str">
            <v>No</v>
          </cell>
          <cell r="I78" t="str">
            <v>No</v>
          </cell>
          <cell r="J78" t="str">
            <v>No</v>
          </cell>
          <cell r="K78">
            <v>0</v>
          </cell>
          <cell r="L78" t="str">
            <v>No</v>
          </cell>
          <cell r="M78">
            <v>0</v>
          </cell>
          <cell r="N78">
            <v>0</v>
          </cell>
        </row>
        <row r="79">
          <cell r="A79" t="str">
            <v>FU0077</v>
          </cell>
          <cell r="B79" t="str">
            <v>Fusteltecnica</v>
          </cell>
          <cell r="C79" t="str">
            <v>E13470</v>
          </cell>
          <cell r="D79" t="str">
            <v>Girardi</v>
          </cell>
          <cell r="E79" t="str">
            <v>Appendino Girardi Con Gancio</v>
          </cell>
          <cell r="F79" t="str">
            <v>BOBST 104</v>
          </cell>
          <cell r="G79">
            <v>6</v>
          </cell>
          <cell r="H79" t="str">
            <v>No</v>
          </cell>
          <cell r="I79" t="str">
            <v>No</v>
          </cell>
          <cell r="J79" t="str">
            <v>No</v>
          </cell>
          <cell r="K79">
            <v>0</v>
          </cell>
          <cell r="L79" t="str">
            <v>No</v>
          </cell>
          <cell r="M79">
            <v>0</v>
          </cell>
          <cell r="N79">
            <v>0</v>
          </cell>
        </row>
        <row r="80">
          <cell r="A80" t="str">
            <v>FU0078</v>
          </cell>
          <cell r="B80" t="str">
            <v>Lasercom</v>
          </cell>
          <cell r="C80" t="str">
            <v>Lomb321N</v>
          </cell>
          <cell r="D80" t="str">
            <v>JBS</v>
          </cell>
          <cell r="E80" t="str">
            <v>Appendino Fashion  Point</v>
          </cell>
          <cell r="F80" t="str">
            <v>BOBST 104</v>
          </cell>
          <cell r="G80">
            <v>3</v>
          </cell>
          <cell r="H80" t="str">
            <v>No</v>
          </cell>
          <cell r="I80" t="str">
            <v>No</v>
          </cell>
          <cell r="J80" t="str">
            <v>No</v>
          </cell>
          <cell r="K80">
            <v>0</v>
          </cell>
          <cell r="L80" t="str">
            <v>No</v>
          </cell>
          <cell r="M80">
            <v>0</v>
          </cell>
          <cell r="N80">
            <v>0</v>
          </cell>
        </row>
        <row r="81">
          <cell r="A81" t="str">
            <v>FU0079</v>
          </cell>
          <cell r="B81" t="str">
            <v>Lasercom</v>
          </cell>
          <cell r="C81" t="str">
            <v>Lomba225</v>
          </cell>
          <cell r="D81" t="str">
            <v>Love and Bra</v>
          </cell>
          <cell r="E81" t="str">
            <v>Astucci Queen Collection Grandi</v>
          </cell>
          <cell r="F81" t="str">
            <v>BOBST 104</v>
          </cell>
          <cell r="G81">
            <v>4</v>
          </cell>
          <cell r="H81" t="str">
            <v>No</v>
          </cell>
          <cell r="I81" t="str">
            <v>No</v>
          </cell>
          <cell r="J81" t="str">
            <v>No</v>
          </cell>
          <cell r="K81">
            <v>0</v>
          </cell>
          <cell r="L81" t="str">
            <v>Si</v>
          </cell>
          <cell r="M81" t="str">
            <v>DIana X80</v>
          </cell>
          <cell r="N81" t="str">
            <v>Lineare</v>
          </cell>
        </row>
        <row r="82">
          <cell r="A82" t="str">
            <v>FU0080</v>
          </cell>
          <cell r="B82" t="str">
            <v>Lasercom</v>
          </cell>
          <cell r="C82" t="str">
            <v>Lomb159F</v>
          </cell>
          <cell r="D82" t="str">
            <v>Love and Bra</v>
          </cell>
          <cell r="E82" t="str">
            <v>Fondo N.6</v>
          </cell>
          <cell r="F82" t="str">
            <v>BOBST 104</v>
          </cell>
          <cell r="G82">
            <v>1</v>
          </cell>
          <cell r="H82" t="str">
            <v>No</v>
          </cell>
          <cell r="I82" t="str">
            <v>No</v>
          </cell>
          <cell r="J82" t="str">
            <v>No</v>
          </cell>
          <cell r="K82">
            <v>0</v>
          </cell>
          <cell r="L82" t="str">
            <v>Si</v>
          </cell>
          <cell r="M82" t="str">
            <v>Diana Pro 114</v>
          </cell>
          <cell r="N82" t="str">
            <v>Americana</v>
          </cell>
        </row>
        <row r="83">
          <cell r="A83" t="str">
            <v>FU0081</v>
          </cell>
          <cell r="B83" t="str">
            <v>Lasercom</v>
          </cell>
          <cell r="C83" t="str">
            <v>Lomb159C</v>
          </cell>
          <cell r="D83" t="str">
            <v>Love and Bra</v>
          </cell>
          <cell r="E83" t="str">
            <v>Coperchio N.6</v>
          </cell>
          <cell r="F83" t="str">
            <v>BOBST 104</v>
          </cell>
          <cell r="G83">
            <v>1</v>
          </cell>
          <cell r="H83" t="str">
            <v>No</v>
          </cell>
          <cell r="I83" t="str">
            <v>No</v>
          </cell>
          <cell r="J83" t="str">
            <v>No</v>
          </cell>
          <cell r="K83">
            <v>0</v>
          </cell>
          <cell r="L83" t="str">
            <v>Si</v>
          </cell>
          <cell r="M83" t="str">
            <v>Diana Pro 114</v>
          </cell>
          <cell r="N83" t="str">
            <v>Americana</v>
          </cell>
        </row>
        <row r="84">
          <cell r="A84" t="str">
            <v>FU0082</v>
          </cell>
          <cell r="B84" t="str">
            <v>Fusteltecnica</v>
          </cell>
          <cell r="C84" t="str">
            <v>E15228</v>
          </cell>
          <cell r="D84" t="str">
            <v>Love and Bra</v>
          </cell>
          <cell r="E84" t="str">
            <v>Espositore Italia</v>
          </cell>
          <cell r="F84" t="str">
            <v>BOBST 104</v>
          </cell>
          <cell r="G84">
            <v>1</v>
          </cell>
          <cell r="H84" t="str">
            <v>No</v>
          </cell>
          <cell r="I84" t="str">
            <v>No</v>
          </cell>
          <cell r="J84" t="str">
            <v>No</v>
          </cell>
          <cell r="K84">
            <v>0</v>
          </cell>
          <cell r="L84" t="str">
            <v>Si</v>
          </cell>
          <cell r="M84" t="str">
            <v>DIana X80</v>
          </cell>
          <cell r="N84" t="str">
            <v>Lineare</v>
          </cell>
        </row>
        <row r="85">
          <cell r="A85" t="str">
            <v>FU0083</v>
          </cell>
          <cell r="B85" t="str">
            <v>Lasercom</v>
          </cell>
          <cell r="C85" t="str">
            <v>Lomba345</v>
          </cell>
          <cell r="D85" t="str">
            <v>Gallo</v>
          </cell>
          <cell r="E85" t="str">
            <v>Cartellini Adesivi</v>
          </cell>
          <cell r="F85" t="str">
            <v>BOBST 1260</v>
          </cell>
          <cell r="G85">
            <v>8</v>
          </cell>
          <cell r="H85" t="str">
            <v>No</v>
          </cell>
          <cell r="I85" t="str">
            <v>Si</v>
          </cell>
          <cell r="J85" t="str">
            <v>No</v>
          </cell>
          <cell r="K85">
            <v>0</v>
          </cell>
          <cell r="L85" t="str">
            <v>No</v>
          </cell>
          <cell r="M85">
            <v>0</v>
          </cell>
          <cell r="N85">
            <v>0</v>
          </cell>
        </row>
        <row r="86">
          <cell r="A86" t="str">
            <v>FU0084</v>
          </cell>
          <cell r="B86" t="str">
            <v>Fusteltecnica</v>
          </cell>
          <cell r="C86" t="str">
            <v>M09550</v>
          </cell>
          <cell r="D86" t="str">
            <v>D&amp;G</v>
          </cell>
          <cell r="E86" t="str">
            <v>Pack bussola</v>
          </cell>
          <cell r="F86" t="str">
            <v>BOBST 1260</v>
          </cell>
          <cell r="G86">
            <v>2</v>
          </cell>
          <cell r="H86" t="str">
            <v>No</v>
          </cell>
          <cell r="I86" t="str">
            <v>Si</v>
          </cell>
          <cell r="J86" t="str">
            <v>No</v>
          </cell>
          <cell r="K86">
            <v>0</v>
          </cell>
          <cell r="L86" t="str">
            <v>Si</v>
          </cell>
          <cell r="M86" t="str">
            <v>Diana Pro 114</v>
          </cell>
          <cell r="N86" t="str">
            <v>Fondo Automatico</v>
          </cell>
        </row>
        <row r="87">
          <cell r="A87" t="str">
            <v>FU0085</v>
          </cell>
          <cell r="B87" t="str">
            <v>Lasercom</v>
          </cell>
          <cell r="C87" t="str">
            <v>Lomb413N</v>
          </cell>
          <cell r="D87" t="str">
            <v>Rcm</v>
          </cell>
          <cell r="E87" t="str">
            <v>Astucci natural color</v>
          </cell>
          <cell r="F87" t="str">
            <v>BOBST 1260</v>
          </cell>
          <cell r="G87">
            <v>2</v>
          </cell>
          <cell r="H87" t="str">
            <v>No</v>
          </cell>
          <cell r="I87" t="str">
            <v>Si</v>
          </cell>
          <cell r="J87" t="str">
            <v>No</v>
          </cell>
          <cell r="K87">
            <v>0</v>
          </cell>
          <cell r="L87" t="str">
            <v>Si</v>
          </cell>
          <cell r="M87" t="str">
            <v>DIana X80</v>
          </cell>
          <cell r="N87" t="str">
            <v>Lineare</v>
          </cell>
        </row>
        <row r="88">
          <cell r="A88" t="str">
            <v>FU0086</v>
          </cell>
          <cell r="B88" t="str">
            <v>Lasercom</v>
          </cell>
          <cell r="C88" t="str">
            <v>LOMBA903</v>
          </cell>
          <cell r="D88" t="str">
            <v>PAntytex</v>
          </cell>
          <cell r="E88" t="str">
            <v>Appendini desiree</v>
          </cell>
          <cell r="F88" t="str">
            <v>BOBST 1260</v>
          </cell>
          <cell r="G88">
            <v>4</v>
          </cell>
          <cell r="H88" t="str">
            <v>No</v>
          </cell>
          <cell r="I88" t="str">
            <v>Si</v>
          </cell>
          <cell r="J88" t="str">
            <v>No</v>
          </cell>
          <cell r="K88">
            <v>0</v>
          </cell>
          <cell r="L88" t="str">
            <v>No</v>
          </cell>
          <cell r="M88">
            <v>0</v>
          </cell>
          <cell r="N88">
            <v>0</v>
          </cell>
        </row>
        <row r="89">
          <cell r="A89" t="str">
            <v>FU0087</v>
          </cell>
          <cell r="B89" t="str">
            <v>Lasercom</v>
          </cell>
          <cell r="C89" t="str">
            <v>Lomba248</v>
          </cell>
          <cell r="D89" t="str">
            <v>Gizeta</v>
          </cell>
          <cell r="E89" t="str">
            <v>Scatola Borghi Uomo H8 Fondo + Coperchio</v>
          </cell>
          <cell r="F89" t="str">
            <v>BOBST 1260</v>
          </cell>
          <cell r="G89">
            <v>2</v>
          </cell>
          <cell r="H89" t="str">
            <v>No</v>
          </cell>
          <cell r="I89" t="str">
            <v>Si</v>
          </cell>
          <cell r="J89" t="str">
            <v>No</v>
          </cell>
          <cell r="K89">
            <v>0</v>
          </cell>
          <cell r="L89" t="str">
            <v>Si</v>
          </cell>
          <cell r="M89" t="str">
            <v>Diana Pro 114</v>
          </cell>
          <cell r="N89" t="str">
            <v>Americana</v>
          </cell>
        </row>
        <row r="90">
          <cell r="A90" t="str">
            <v>FU0088</v>
          </cell>
          <cell r="B90" t="str">
            <v>Lasercom</v>
          </cell>
          <cell r="C90" t="str">
            <v>Lomba201</v>
          </cell>
          <cell r="D90" t="str">
            <v>Gizeta</v>
          </cell>
          <cell r="E90" t="str">
            <v>Scatola Borghi Uomo H6 Fondo + Coperchio</v>
          </cell>
          <cell r="F90" t="str">
            <v>BOBST 104</v>
          </cell>
          <cell r="G90">
            <v>2</v>
          </cell>
          <cell r="H90" t="str">
            <v>No</v>
          </cell>
          <cell r="I90" t="str">
            <v>No</v>
          </cell>
          <cell r="J90" t="str">
            <v>No</v>
          </cell>
          <cell r="K90">
            <v>0</v>
          </cell>
          <cell r="L90" t="str">
            <v>Si</v>
          </cell>
          <cell r="M90" t="str">
            <v>Diana Pro 114</v>
          </cell>
          <cell r="N90" t="str">
            <v>Americana</v>
          </cell>
        </row>
        <row r="91">
          <cell r="A91" t="str">
            <v>FU0089</v>
          </cell>
          <cell r="B91" t="str">
            <v>Lasercom</v>
          </cell>
          <cell r="C91" t="str">
            <v>Lomba643</v>
          </cell>
          <cell r="D91" t="str">
            <v>World Med</v>
          </cell>
          <cell r="E91" t="str">
            <v>Scatole neb expert</v>
          </cell>
          <cell r="F91" t="str">
            <v>BOBST 1260</v>
          </cell>
          <cell r="G91">
            <v>2</v>
          </cell>
          <cell r="H91" t="str">
            <v>No</v>
          </cell>
          <cell r="I91" t="str">
            <v>Si</v>
          </cell>
          <cell r="J91" t="str">
            <v>No</v>
          </cell>
          <cell r="K91">
            <v>0</v>
          </cell>
          <cell r="L91" t="str">
            <v>Si</v>
          </cell>
          <cell r="M91" t="str">
            <v>Diana Pro 114</v>
          </cell>
          <cell r="N91" t="str">
            <v>Fondo Automatico</v>
          </cell>
        </row>
        <row r="92">
          <cell r="A92" t="str">
            <v>FU0090</v>
          </cell>
          <cell r="B92" t="str">
            <v>Fusteltecnica</v>
          </cell>
          <cell r="C92" t="str">
            <v>E05589</v>
          </cell>
          <cell r="D92" t="str">
            <v>Isa</v>
          </cell>
          <cell r="E92" t="str">
            <v>Scatola dsq completa</v>
          </cell>
          <cell r="F92" t="str">
            <v>BOBST 1260</v>
          </cell>
          <cell r="G92">
            <v>2</v>
          </cell>
          <cell r="H92" t="str">
            <v>No</v>
          </cell>
          <cell r="I92" t="str">
            <v>Si</v>
          </cell>
          <cell r="J92" t="str">
            <v>No</v>
          </cell>
          <cell r="K92">
            <v>0</v>
          </cell>
          <cell r="L92" t="str">
            <v>Si</v>
          </cell>
          <cell r="M92" t="str">
            <v>DIana X80</v>
          </cell>
          <cell r="N92" t="str">
            <v>Lineare</v>
          </cell>
        </row>
        <row r="93">
          <cell r="A93" t="str">
            <v>FU0091</v>
          </cell>
          <cell r="B93" t="str">
            <v>Lasercom</v>
          </cell>
          <cell r="C93" t="str">
            <v>Lomba644</v>
          </cell>
          <cell r="D93" t="str">
            <v>Battaglio</v>
          </cell>
          <cell r="E93" t="str">
            <v>Fascette Work 3 Orsi</v>
          </cell>
          <cell r="F93" t="str">
            <v>BOBST 1260</v>
          </cell>
          <cell r="G93">
            <v>7</v>
          </cell>
          <cell r="H93" t="str">
            <v>No</v>
          </cell>
          <cell r="I93" t="str">
            <v>Si</v>
          </cell>
          <cell r="J93" t="str">
            <v>No</v>
          </cell>
          <cell r="K93">
            <v>0</v>
          </cell>
          <cell r="L93" t="str">
            <v>No</v>
          </cell>
          <cell r="M93">
            <v>0</v>
          </cell>
          <cell r="N93">
            <v>0</v>
          </cell>
        </row>
        <row r="94">
          <cell r="A94" t="str">
            <v>FU0092</v>
          </cell>
          <cell r="B94" t="str">
            <v>Lasercom</v>
          </cell>
          <cell r="C94" t="str">
            <v>Lomba646</v>
          </cell>
          <cell r="D94" t="str">
            <v>Battaglio</v>
          </cell>
          <cell r="E94" t="str">
            <v>Cavallotti 3 orsi ideafissa</v>
          </cell>
          <cell r="F94" t="str">
            <v>BOBST 1260</v>
          </cell>
          <cell r="G94">
            <v>12</v>
          </cell>
          <cell r="H94" t="str">
            <v>No</v>
          </cell>
          <cell r="I94" t="str">
            <v>Si</v>
          </cell>
          <cell r="J94" t="str">
            <v>No</v>
          </cell>
          <cell r="K94">
            <v>0</v>
          </cell>
          <cell r="L94" t="str">
            <v>No</v>
          </cell>
          <cell r="M94">
            <v>0</v>
          </cell>
          <cell r="N94">
            <v>0</v>
          </cell>
        </row>
        <row r="95">
          <cell r="A95" t="str">
            <v>FU0093</v>
          </cell>
          <cell r="B95" t="str">
            <v>Fusteltecnica</v>
          </cell>
          <cell r="C95" t="str">
            <v>E05643</v>
          </cell>
          <cell r="D95" t="str">
            <v>Rcm</v>
          </cell>
          <cell r="E95" t="str">
            <v>Astucci spa</v>
          </cell>
          <cell r="F95" t="str">
            <v>BOBST 104</v>
          </cell>
          <cell r="G95">
            <v>3</v>
          </cell>
          <cell r="H95" t="str">
            <v>No</v>
          </cell>
          <cell r="I95" t="str">
            <v>No</v>
          </cell>
          <cell r="J95" t="str">
            <v>No</v>
          </cell>
          <cell r="K95">
            <v>0</v>
          </cell>
          <cell r="L95" t="str">
            <v>Si</v>
          </cell>
          <cell r="M95" t="str">
            <v>DIana X80</v>
          </cell>
          <cell r="N95" t="str">
            <v>Lineare</v>
          </cell>
        </row>
        <row r="96">
          <cell r="A96" t="str">
            <v>FU0094</v>
          </cell>
          <cell r="B96" t="str">
            <v>Fusteltecnica</v>
          </cell>
          <cell r="C96" t="str">
            <v>G18628</v>
          </cell>
          <cell r="D96" t="str">
            <v>Arti Grafiche</v>
          </cell>
          <cell r="E96" t="str">
            <v>Fustella Prova</v>
          </cell>
          <cell r="F96" t="str">
            <v>BOBST 104</v>
          </cell>
          <cell r="G96">
            <v>70</v>
          </cell>
          <cell r="H96" t="str">
            <v>No</v>
          </cell>
          <cell r="I96" t="str">
            <v>No</v>
          </cell>
          <cell r="J96" t="str">
            <v>No</v>
          </cell>
          <cell r="K96">
            <v>0</v>
          </cell>
          <cell r="L96" t="str">
            <v>No</v>
          </cell>
          <cell r="M96">
            <v>0</v>
          </cell>
          <cell r="N96">
            <v>0</v>
          </cell>
        </row>
        <row r="97">
          <cell r="A97" t="str">
            <v>FU0095</v>
          </cell>
          <cell r="B97">
            <v>0</v>
          </cell>
          <cell r="C97" t="str">
            <v>AM2342</v>
          </cell>
          <cell r="D97" t="str">
            <v>Nuova Virgiliana</v>
          </cell>
          <cell r="E97" t="str">
            <v>Bonnie Doon Piccoli</v>
          </cell>
          <cell r="F97" t="str">
            <v>BOBST 104</v>
          </cell>
          <cell r="G97">
            <v>15</v>
          </cell>
          <cell r="H97" t="str">
            <v>No</v>
          </cell>
          <cell r="I97" t="str">
            <v>No</v>
          </cell>
          <cell r="J97" t="str">
            <v>No</v>
          </cell>
          <cell r="K97">
            <v>0</v>
          </cell>
          <cell r="L97" t="str">
            <v>No</v>
          </cell>
          <cell r="M97">
            <v>0</v>
          </cell>
          <cell r="N97">
            <v>0</v>
          </cell>
        </row>
        <row r="98">
          <cell r="A98" t="str">
            <v>FU0096</v>
          </cell>
          <cell r="B98">
            <v>0</v>
          </cell>
          <cell r="C98" t="str">
            <v>AG2629</v>
          </cell>
          <cell r="D98" t="str">
            <v>Nuova Virgiliana</v>
          </cell>
          <cell r="E98" t="str">
            <v>Bonnie Doon</v>
          </cell>
          <cell r="F98" t="str">
            <v>BOBST 104</v>
          </cell>
          <cell r="G98">
            <v>12</v>
          </cell>
          <cell r="H98" t="str">
            <v>No</v>
          </cell>
          <cell r="I98" t="str">
            <v>No</v>
          </cell>
          <cell r="J98" t="str">
            <v>No</v>
          </cell>
          <cell r="K98">
            <v>0</v>
          </cell>
          <cell r="L98" t="str">
            <v>No</v>
          </cell>
          <cell r="M98">
            <v>0</v>
          </cell>
          <cell r="N98">
            <v>0</v>
          </cell>
        </row>
        <row r="99">
          <cell r="A99" t="str">
            <v>FU0097</v>
          </cell>
          <cell r="B99" t="str">
            <v>Fusteltecnica</v>
          </cell>
          <cell r="C99" t="str">
            <v>G20840</v>
          </cell>
          <cell r="D99" t="str">
            <v>Nuova Virgiliana</v>
          </cell>
          <cell r="E99" t="str">
            <v>Appendini Lumpi - Linija</v>
          </cell>
          <cell r="F99" t="str">
            <v>BOBST 104</v>
          </cell>
          <cell r="G99">
            <v>8</v>
          </cell>
          <cell r="H99" t="str">
            <v>No</v>
          </cell>
          <cell r="I99" t="str">
            <v>No</v>
          </cell>
          <cell r="J99" t="str">
            <v>No</v>
          </cell>
          <cell r="K99">
            <v>0</v>
          </cell>
          <cell r="L99" t="str">
            <v>No</v>
          </cell>
          <cell r="M99">
            <v>0</v>
          </cell>
          <cell r="N99">
            <v>0</v>
          </cell>
        </row>
        <row r="100">
          <cell r="A100" t="str">
            <v>FU0098</v>
          </cell>
          <cell r="B100" t="str">
            <v>Fusteltecnica</v>
          </cell>
          <cell r="C100" t="str">
            <v>E14136</v>
          </cell>
          <cell r="D100" t="str">
            <v>Mariflos</v>
          </cell>
          <cell r="E100" t="str">
            <v>Appendini Red Bird + Tirelle Spring Hill</v>
          </cell>
          <cell r="F100" t="str">
            <v>BOBST 104</v>
          </cell>
          <cell r="G100">
            <v>7</v>
          </cell>
          <cell r="H100" t="str">
            <v>No</v>
          </cell>
          <cell r="I100" t="str">
            <v>No</v>
          </cell>
          <cell r="J100" t="str">
            <v>No</v>
          </cell>
          <cell r="K100">
            <v>0</v>
          </cell>
          <cell r="L100" t="str">
            <v>No</v>
          </cell>
          <cell r="M100">
            <v>0</v>
          </cell>
          <cell r="N100">
            <v>0</v>
          </cell>
        </row>
        <row r="101">
          <cell r="A101" t="str">
            <v>FU0099</v>
          </cell>
          <cell r="B101" t="str">
            <v>Fusteltecnica</v>
          </cell>
          <cell r="C101" t="str">
            <v>E14531</v>
          </cell>
          <cell r="D101" t="str">
            <v>Moretto</v>
          </cell>
          <cell r="E101" t="str">
            <v>Astucci La Frapperia, Vita, 50 buste</v>
          </cell>
          <cell r="F101" t="str">
            <v>BOBST 1260</v>
          </cell>
          <cell r="G101">
            <v>2</v>
          </cell>
          <cell r="H101" t="str">
            <v>No</v>
          </cell>
          <cell r="I101" t="str">
            <v>Si</v>
          </cell>
          <cell r="J101" t="str">
            <v>No</v>
          </cell>
          <cell r="K101">
            <v>0</v>
          </cell>
          <cell r="L101" t="str">
            <v>Si</v>
          </cell>
          <cell r="M101" t="str">
            <v>Diana Pro 114</v>
          </cell>
          <cell r="N101" t="str">
            <v>Fondo Automatico</v>
          </cell>
        </row>
        <row r="102">
          <cell r="A102" t="str">
            <v>FU0100</v>
          </cell>
          <cell r="B102" t="str">
            <v>Lasercom</v>
          </cell>
          <cell r="C102" t="str">
            <v>Lomba243</v>
          </cell>
          <cell r="D102" t="str">
            <v>Mariflos</v>
          </cell>
          <cell r="E102" t="str">
            <v>Sagomati Lunghi</v>
          </cell>
          <cell r="F102" t="str">
            <v>BOBST 1260</v>
          </cell>
          <cell r="G102">
            <v>12</v>
          </cell>
          <cell r="H102" t="str">
            <v>No</v>
          </cell>
          <cell r="I102" t="str">
            <v>Si</v>
          </cell>
          <cell r="J102" t="str">
            <v>No</v>
          </cell>
          <cell r="K102">
            <v>0</v>
          </cell>
          <cell r="L102" t="str">
            <v>No</v>
          </cell>
          <cell r="M102">
            <v>0</v>
          </cell>
          <cell r="N102">
            <v>0</v>
          </cell>
        </row>
        <row r="103">
          <cell r="A103" t="str">
            <v>FU0101</v>
          </cell>
          <cell r="B103" t="str">
            <v>Fusteltecnica</v>
          </cell>
          <cell r="C103" t="str">
            <v>R03418</v>
          </cell>
          <cell r="D103" t="str">
            <v>Mariflos</v>
          </cell>
          <cell r="E103" t="str">
            <v>Sagomati Corti Mis 2</v>
          </cell>
          <cell r="F103" t="str">
            <v>BOBST 1260</v>
          </cell>
          <cell r="G103">
            <v>12</v>
          </cell>
          <cell r="H103" t="str">
            <v>No</v>
          </cell>
          <cell r="I103" t="str">
            <v>Si</v>
          </cell>
          <cell r="J103" t="str">
            <v>No</v>
          </cell>
          <cell r="K103">
            <v>0</v>
          </cell>
          <cell r="L103" t="str">
            <v>No</v>
          </cell>
          <cell r="M103">
            <v>0</v>
          </cell>
          <cell r="N103">
            <v>0</v>
          </cell>
        </row>
        <row r="104">
          <cell r="A104" t="str">
            <v>FU0102</v>
          </cell>
          <cell r="B104" t="str">
            <v>Fusteltecnica</v>
          </cell>
          <cell r="C104" t="str">
            <v>R00969</v>
          </cell>
          <cell r="D104" t="str">
            <v>Mariflos</v>
          </cell>
          <cell r="E104" t="str">
            <v>Astucci Springhill Piccoli</v>
          </cell>
          <cell r="F104" t="str">
            <v>BOBST 104</v>
          </cell>
          <cell r="G104">
            <v>6</v>
          </cell>
          <cell r="H104" t="str">
            <v>No</v>
          </cell>
          <cell r="I104" t="str">
            <v>No</v>
          </cell>
          <cell r="J104" t="str">
            <v>No</v>
          </cell>
          <cell r="K104">
            <v>0</v>
          </cell>
          <cell r="L104" t="str">
            <v>Si</v>
          </cell>
          <cell r="M104" t="str">
            <v>DIana X80</v>
          </cell>
          <cell r="N104" t="str">
            <v>Lineare</v>
          </cell>
        </row>
        <row r="105">
          <cell r="A105" t="str">
            <v>FU0103</v>
          </cell>
          <cell r="B105" t="str">
            <v>Fusteltecnica</v>
          </cell>
          <cell r="C105" t="str">
            <v>G12140</v>
          </cell>
          <cell r="D105" t="str">
            <v>Nal</v>
          </cell>
          <cell r="E105" t="str">
            <v>Cravatte Montana</v>
          </cell>
          <cell r="F105" t="str">
            <v>BOBST 104</v>
          </cell>
          <cell r="G105">
            <v>4</v>
          </cell>
          <cell r="H105" t="str">
            <v>No</v>
          </cell>
          <cell r="I105" t="str">
            <v>No</v>
          </cell>
          <cell r="J105" t="str">
            <v>No</v>
          </cell>
          <cell r="K105">
            <v>0</v>
          </cell>
          <cell r="L105" t="str">
            <v>Si</v>
          </cell>
          <cell r="M105" t="str">
            <v>Diana Pro 114</v>
          </cell>
          <cell r="N105" t="str">
            <v>Buste a L</v>
          </cell>
        </row>
        <row r="106">
          <cell r="A106" t="str">
            <v>FU0104</v>
          </cell>
          <cell r="B106" t="str">
            <v>Fusteltecnica</v>
          </cell>
          <cell r="C106" t="str">
            <v>E13005</v>
          </cell>
          <cell r="D106" t="str">
            <v>Nal</v>
          </cell>
          <cell r="E106" t="str">
            <v>Buste Marchi</v>
          </cell>
          <cell r="F106" t="str">
            <v>BOBST 1260</v>
          </cell>
          <cell r="G106">
            <v>2</v>
          </cell>
          <cell r="H106" t="str">
            <v>No</v>
          </cell>
          <cell r="I106" t="str">
            <v>Si</v>
          </cell>
          <cell r="J106" t="str">
            <v>No</v>
          </cell>
          <cell r="K106">
            <v>0</v>
          </cell>
          <cell r="L106" t="str">
            <v>Si</v>
          </cell>
          <cell r="M106" t="str">
            <v>Diana Pro 114</v>
          </cell>
          <cell r="N106" t="str">
            <v>Buste a L</v>
          </cell>
        </row>
        <row r="107">
          <cell r="A107" t="str">
            <v>FU0105</v>
          </cell>
          <cell r="B107" t="str">
            <v>Fusteltecnica</v>
          </cell>
          <cell r="C107" t="str">
            <v>E01427</v>
          </cell>
          <cell r="D107" t="str">
            <v>JBS</v>
          </cell>
          <cell r="E107" t="str">
            <v>Appendini Zizzi Piccoli</v>
          </cell>
          <cell r="F107" t="str">
            <v>BOBST 104</v>
          </cell>
          <cell r="G107">
            <v>6</v>
          </cell>
          <cell r="H107" t="str">
            <v>No</v>
          </cell>
          <cell r="I107" t="str">
            <v>No</v>
          </cell>
          <cell r="J107" t="str">
            <v>No</v>
          </cell>
          <cell r="K107">
            <v>0</v>
          </cell>
          <cell r="L107" t="str">
            <v>No</v>
          </cell>
          <cell r="M107">
            <v>0</v>
          </cell>
          <cell r="N107">
            <v>0</v>
          </cell>
        </row>
        <row r="108">
          <cell r="A108" t="str">
            <v>FU0106</v>
          </cell>
          <cell r="B108" t="str">
            <v>Fusteltecnica</v>
          </cell>
          <cell r="C108" t="str">
            <v>E14547</v>
          </cell>
          <cell r="D108" t="str">
            <v>Moretto</v>
          </cell>
          <cell r="E108" t="str">
            <v>La Barbagliata</v>
          </cell>
          <cell r="F108" t="str">
            <v>BOBST 104</v>
          </cell>
          <cell r="G108">
            <v>1</v>
          </cell>
          <cell r="H108" t="str">
            <v>No</v>
          </cell>
          <cell r="I108" t="str">
            <v>No</v>
          </cell>
          <cell r="J108" t="str">
            <v>No</v>
          </cell>
          <cell r="K108">
            <v>0</v>
          </cell>
          <cell r="L108" t="str">
            <v>Si</v>
          </cell>
          <cell r="M108" t="str">
            <v>Diana Pro 114</v>
          </cell>
          <cell r="N108" t="str">
            <v>Fondo Automatico</v>
          </cell>
        </row>
        <row r="109">
          <cell r="A109" t="str">
            <v>FU0107</v>
          </cell>
          <cell r="B109" t="str">
            <v>Lasercom</v>
          </cell>
          <cell r="C109" t="str">
            <v>Lomba168</v>
          </cell>
          <cell r="D109" t="str">
            <v>Moretto</v>
          </cell>
          <cell r="E109" t="str">
            <v>Astucci Frappè Grandi</v>
          </cell>
          <cell r="F109" t="str">
            <v>BOBST 104</v>
          </cell>
          <cell r="G109">
            <v>2</v>
          </cell>
          <cell r="H109" t="str">
            <v>No</v>
          </cell>
          <cell r="I109" t="str">
            <v>No</v>
          </cell>
          <cell r="J109" t="str">
            <v>No</v>
          </cell>
          <cell r="K109">
            <v>0</v>
          </cell>
          <cell r="L109" t="str">
            <v>Si</v>
          </cell>
          <cell r="M109" t="str">
            <v>Diana Pro 114</v>
          </cell>
          <cell r="N109" t="str">
            <v>Fondo Automatico</v>
          </cell>
        </row>
        <row r="110">
          <cell r="A110" t="str">
            <v>FU0108</v>
          </cell>
          <cell r="B110" t="str">
            <v>Fusteltecnica</v>
          </cell>
          <cell r="C110" t="str">
            <v>G20714</v>
          </cell>
          <cell r="D110" t="str">
            <v>Moretto</v>
          </cell>
          <cell r="E110" t="str">
            <v>Frappè Moretto</v>
          </cell>
          <cell r="F110" t="str">
            <v>BOBST 104</v>
          </cell>
          <cell r="G110">
            <v>4</v>
          </cell>
          <cell r="H110" t="str">
            <v>No</v>
          </cell>
          <cell r="I110" t="str">
            <v>No</v>
          </cell>
          <cell r="J110" t="str">
            <v>No</v>
          </cell>
          <cell r="K110">
            <v>0</v>
          </cell>
          <cell r="L110" t="str">
            <v>Si</v>
          </cell>
          <cell r="M110" t="str">
            <v>Diana Pro 114</v>
          </cell>
          <cell r="N110" t="str">
            <v>Fondo Automatico</v>
          </cell>
        </row>
        <row r="111">
          <cell r="A111" t="str">
            <v>FU0109</v>
          </cell>
          <cell r="B111" t="str">
            <v>Fusteltecnica</v>
          </cell>
          <cell r="C111" t="str">
            <v>E10158</v>
          </cell>
          <cell r="D111" t="str">
            <v>Isa</v>
          </cell>
          <cell r="E111" t="str">
            <v>Buste Kenzo Cravatte</v>
          </cell>
          <cell r="F111" t="str">
            <v>BOBST 104</v>
          </cell>
          <cell r="G111">
            <v>1</v>
          </cell>
          <cell r="H111" t="str">
            <v>No</v>
          </cell>
          <cell r="I111" t="str">
            <v>No</v>
          </cell>
          <cell r="J111" t="str">
            <v>No</v>
          </cell>
          <cell r="K111">
            <v>0</v>
          </cell>
          <cell r="L111" t="str">
            <v>Si</v>
          </cell>
          <cell r="M111">
            <v>0</v>
          </cell>
          <cell r="N111">
            <v>0</v>
          </cell>
        </row>
        <row r="112">
          <cell r="A112" t="str">
            <v>FU0110</v>
          </cell>
          <cell r="B112" t="str">
            <v>Lasercom</v>
          </cell>
          <cell r="C112" t="str">
            <v>Lomba511</v>
          </cell>
          <cell r="D112" t="str">
            <v>Cipriani</v>
          </cell>
          <cell r="E112" t="str">
            <v>Ovali Clynette</v>
          </cell>
          <cell r="F112" t="str">
            <v>BOBST 104</v>
          </cell>
          <cell r="G112">
            <v>12</v>
          </cell>
          <cell r="H112" t="str">
            <v>No</v>
          </cell>
          <cell r="I112" t="str">
            <v>No</v>
          </cell>
          <cell r="J112" t="str">
            <v>No</v>
          </cell>
          <cell r="K112">
            <v>0</v>
          </cell>
          <cell r="L112" t="str">
            <v>No</v>
          </cell>
          <cell r="M112">
            <v>0</v>
          </cell>
          <cell r="N112">
            <v>0</v>
          </cell>
        </row>
        <row r="113">
          <cell r="A113" t="str">
            <v>FU0111</v>
          </cell>
          <cell r="B113" t="str">
            <v>Fusteltecnica</v>
          </cell>
          <cell r="C113" t="str">
            <v>E03514</v>
          </cell>
          <cell r="D113" t="str">
            <v>Cizeta</v>
          </cell>
          <cell r="E113" t="str">
            <v>Inserti Grandi</v>
          </cell>
          <cell r="F113" t="str">
            <v>BOBST 1260</v>
          </cell>
          <cell r="G113">
            <v>6</v>
          </cell>
          <cell r="H113" t="str">
            <v>No</v>
          </cell>
          <cell r="I113" t="str">
            <v>Si</v>
          </cell>
          <cell r="J113" t="str">
            <v>No</v>
          </cell>
          <cell r="K113">
            <v>0</v>
          </cell>
          <cell r="L113" t="str">
            <v>No</v>
          </cell>
          <cell r="M113">
            <v>0</v>
          </cell>
          <cell r="N113">
            <v>0</v>
          </cell>
        </row>
        <row r="114">
          <cell r="A114" t="str">
            <v>FU0112</v>
          </cell>
          <cell r="B114" t="str">
            <v>Fusteltecnica</v>
          </cell>
          <cell r="C114" t="str">
            <v>E05583</v>
          </cell>
          <cell r="D114" t="str">
            <v>Gandola</v>
          </cell>
          <cell r="E114" t="str">
            <v>Espositori piccolo dip it</v>
          </cell>
          <cell r="F114" t="str">
            <v>BOBST 1260</v>
          </cell>
          <cell r="G114">
            <v>2</v>
          </cell>
          <cell r="H114" t="str">
            <v>No</v>
          </cell>
          <cell r="I114" t="str">
            <v>Si</v>
          </cell>
          <cell r="J114" t="str">
            <v>No</v>
          </cell>
          <cell r="K114">
            <v>0</v>
          </cell>
          <cell r="L114" t="str">
            <v>Si</v>
          </cell>
          <cell r="M114" t="str">
            <v>Diana Pro 114</v>
          </cell>
          <cell r="N114" t="str">
            <v>Fondo Automatico</v>
          </cell>
        </row>
        <row r="115">
          <cell r="A115" t="str">
            <v>FU0113</v>
          </cell>
          <cell r="B115" t="str">
            <v>Lasercom</v>
          </cell>
          <cell r="C115" t="str">
            <v>Lomba380</v>
          </cell>
          <cell r="D115" t="str">
            <v>Tracy</v>
          </cell>
          <cell r="E115" t="str">
            <v>Cavallotti Bruxelle</v>
          </cell>
          <cell r="F115" t="str">
            <v>BOBST 104</v>
          </cell>
          <cell r="G115">
            <v>18</v>
          </cell>
          <cell r="H115" t="str">
            <v>No</v>
          </cell>
          <cell r="I115" t="str">
            <v>No</v>
          </cell>
          <cell r="J115" t="str">
            <v>No</v>
          </cell>
          <cell r="K115">
            <v>0</v>
          </cell>
          <cell r="L115" t="str">
            <v>No</v>
          </cell>
          <cell r="M115">
            <v>0</v>
          </cell>
          <cell r="N115">
            <v>0</v>
          </cell>
        </row>
        <row r="116">
          <cell r="A116" t="str">
            <v>FU0114</v>
          </cell>
          <cell r="B116" t="str">
            <v>Lasercom</v>
          </cell>
          <cell r="C116" t="str">
            <v>Lomba209</v>
          </cell>
          <cell r="D116" t="str">
            <v>Offel</v>
          </cell>
          <cell r="E116" t="str">
            <v>Appendini Sun</v>
          </cell>
          <cell r="F116" t="str">
            <v>BOBST 1260</v>
          </cell>
          <cell r="G116">
            <v>4</v>
          </cell>
          <cell r="H116" t="str">
            <v>No</v>
          </cell>
          <cell r="I116" t="str">
            <v>Si</v>
          </cell>
          <cell r="J116" t="str">
            <v>No</v>
          </cell>
          <cell r="K116">
            <v>0</v>
          </cell>
          <cell r="L116" t="str">
            <v>No</v>
          </cell>
          <cell r="M116">
            <v>0</v>
          </cell>
          <cell r="N116">
            <v>0</v>
          </cell>
        </row>
        <row r="117">
          <cell r="A117" t="str">
            <v>FU0115</v>
          </cell>
          <cell r="B117" t="str">
            <v>Lasercom</v>
          </cell>
          <cell r="C117" t="str">
            <v>Lomba356</v>
          </cell>
          <cell r="D117" t="str">
            <v>Dolci</v>
          </cell>
          <cell r="E117" t="str">
            <v>Tirelle sneaky fox</v>
          </cell>
          <cell r="F117" t="str">
            <v>BOBST 104</v>
          </cell>
          <cell r="G117">
            <v>6</v>
          </cell>
          <cell r="H117" t="str">
            <v>No</v>
          </cell>
          <cell r="I117" t="str">
            <v>No</v>
          </cell>
          <cell r="J117" t="str">
            <v>No</v>
          </cell>
          <cell r="K117">
            <v>0</v>
          </cell>
          <cell r="L117" t="str">
            <v>No</v>
          </cell>
          <cell r="M117">
            <v>0</v>
          </cell>
          <cell r="N117">
            <v>0</v>
          </cell>
        </row>
        <row r="118">
          <cell r="A118" t="str">
            <v>FU0116</v>
          </cell>
          <cell r="B118" t="str">
            <v>Fusteltecnica</v>
          </cell>
          <cell r="C118" t="str">
            <v>R04603</v>
          </cell>
          <cell r="D118" t="str">
            <v>Calzificio Italiano</v>
          </cell>
          <cell r="E118" t="str">
            <v>Fondi h40 doppia incollatura</v>
          </cell>
          <cell r="F118" t="str">
            <v>BOBST 1260</v>
          </cell>
          <cell r="G118">
            <v>3</v>
          </cell>
          <cell r="H118" t="str">
            <v>No</v>
          </cell>
          <cell r="I118" t="str">
            <v>Si</v>
          </cell>
          <cell r="J118" t="str">
            <v>No</v>
          </cell>
          <cell r="K118">
            <v>0</v>
          </cell>
          <cell r="L118" t="str">
            <v>Si</v>
          </cell>
          <cell r="M118" t="str">
            <v>Diana Pro 114</v>
          </cell>
          <cell r="N118" t="str">
            <v>Americana</v>
          </cell>
        </row>
        <row r="119">
          <cell r="A119" t="str">
            <v>FU0117</v>
          </cell>
          <cell r="B119" t="str">
            <v>Fusteltecnica</v>
          </cell>
          <cell r="C119" t="str">
            <v>R03767</v>
          </cell>
          <cell r="D119" t="str">
            <v>Chs</v>
          </cell>
          <cell r="E119" t="str">
            <v>Interni bicchieri</v>
          </cell>
          <cell r="F119" t="str">
            <v>BOBST 1260</v>
          </cell>
          <cell r="G119">
            <v>4</v>
          </cell>
          <cell r="H119" t="str">
            <v>No</v>
          </cell>
          <cell r="I119" t="str">
            <v>Si</v>
          </cell>
          <cell r="J119" t="str">
            <v>No</v>
          </cell>
          <cell r="K119">
            <v>0</v>
          </cell>
          <cell r="L119" t="str">
            <v>No</v>
          </cell>
          <cell r="M119">
            <v>0</v>
          </cell>
          <cell r="N119">
            <v>0</v>
          </cell>
        </row>
        <row r="120">
          <cell r="A120" t="str">
            <v>FU0118</v>
          </cell>
          <cell r="B120" t="str">
            <v>Lasercom</v>
          </cell>
          <cell r="C120" t="str">
            <v>Lomba216</v>
          </cell>
          <cell r="D120" t="str">
            <v>Euroten</v>
          </cell>
          <cell r="E120" t="str">
            <v>Astucci gomca per camoscio</v>
          </cell>
          <cell r="F120" t="str">
            <v>BOBST 104</v>
          </cell>
          <cell r="G120">
            <v>9</v>
          </cell>
          <cell r="H120" t="str">
            <v>No</v>
          </cell>
          <cell r="I120" t="str">
            <v>No</v>
          </cell>
          <cell r="J120" t="str">
            <v>No</v>
          </cell>
          <cell r="K120">
            <v>0</v>
          </cell>
          <cell r="L120" t="str">
            <v>Si</v>
          </cell>
          <cell r="M120" t="str">
            <v>DIana X80</v>
          </cell>
          <cell r="N120" t="str">
            <v>Lineare</v>
          </cell>
        </row>
        <row r="121">
          <cell r="A121" t="str">
            <v>FU0119</v>
          </cell>
          <cell r="B121" t="str">
            <v>Lasercom</v>
          </cell>
          <cell r="C121" t="str">
            <v>Lomba569</v>
          </cell>
          <cell r="D121" t="str">
            <v>Pantytex</v>
          </cell>
          <cell r="E121" t="str">
            <v>Appendini oysho</v>
          </cell>
          <cell r="F121" t="str">
            <v>BOBST 104</v>
          </cell>
          <cell r="G121">
            <v>4</v>
          </cell>
          <cell r="H121" t="str">
            <v>No</v>
          </cell>
          <cell r="I121" t="str">
            <v>No</v>
          </cell>
          <cell r="J121" t="str">
            <v>No</v>
          </cell>
          <cell r="K121">
            <v>0</v>
          </cell>
          <cell r="L121" t="str">
            <v>No</v>
          </cell>
          <cell r="M121">
            <v>0</v>
          </cell>
          <cell r="N121">
            <v>0</v>
          </cell>
        </row>
        <row r="122">
          <cell r="A122" t="str">
            <v>FU0120</v>
          </cell>
          <cell r="B122" t="str">
            <v>Lasercom</v>
          </cell>
          <cell r="C122" t="str">
            <v>Lomba571</v>
          </cell>
          <cell r="D122" t="str">
            <v>Elettroplastica</v>
          </cell>
          <cell r="E122" t="str">
            <v>Scatole A600</v>
          </cell>
          <cell r="F122" t="str">
            <v>BOBST 1260</v>
          </cell>
          <cell r="G122">
            <v>2</v>
          </cell>
          <cell r="H122" t="str">
            <v>No</v>
          </cell>
          <cell r="I122" t="str">
            <v>Si</v>
          </cell>
          <cell r="J122" t="str">
            <v>No</v>
          </cell>
          <cell r="K122">
            <v>0</v>
          </cell>
          <cell r="L122" t="str">
            <v>Si</v>
          </cell>
          <cell r="M122" t="str">
            <v>DIana X80</v>
          </cell>
          <cell r="N122" t="str">
            <v>Lineare</v>
          </cell>
        </row>
        <row r="123">
          <cell r="A123" t="str">
            <v>FU0121</v>
          </cell>
          <cell r="B123" t="str">
            <v>Lasercom</v>
          </cell>
          <cell r="C123" t="str">
            <v>Lomb567N</v>
          </cell>
          <cell r="D123" t="str">
            <v>O.Erre</v>
          </cell>
          <cell r="E123" t="str">
            <v>Scatole 9/3,5</v>
          </cell>
          <cell r="F123" t="str">
            <v>BOBST 1260</v>
          </cell>
          <cell r="G123">
            <v>4</v>
          </cell>
          <cell r="H123" t="str">
            <v>No</v>
          </cell>
          <cell r="I123" t="str">
            <v>Si</v>
          </cell>
          <cell r="J123" t="str">
            <v>No</v>
          </cell>
          <cell r="K123">
            <v>0</v>
          </cell>
          <cell r="L123" t="str">
            <v>Si</v>
          </cell>
          <cell r="M123" t="str">
            <v>Diana Pro 114</v>
          </cell>
          <cell r="N123" t="str">
            <v>Fondo Automatico</v>
          </cell>
        </row>
        <row r="124">
          <cell r="A124" t="str">
            <v>FU0122</v>
          </cell>
          <cell r="B124" t="str">
            <v>Lasercom</v>
          </cell>
          <cell r="C124" t="str">
            <v>Lomba647</v>
          </cell>
          <cell r="D124" t="str">
            <v>Gandola</v>
          </cell>
          <cell r="E124" t="str">
            <v>Espositori taralli</v>
          </cell>
          <cell r="F124" t="str">
            <v>BOBST 1260</v>
          </cell>
          <cell r="G124">
            <v>2</v>
          </cell>
          <cell r="H124" t="str">
            <v>No</v>
          </cell>
          <cell r="I124" t="str">
            <v>Si</v>
          </cell>
          <cell r="J124" t="str">
            <v>No</v>
          </cell>
          <cell r="K124">
            <v>0</v>
          </cell>
          <cell r="L124" t="str">
            <v>Si</v>
          </cell>
          <cell r="M124" t="str">
            <v>Diana Pro 114</v>
          </cell>
          <cell r="N124" t="str">
            <v>Fondo Automatico</v>
          </cell>
        </row>
        <row r="125">
          <cell r="A125" t="str">
            <v>FU0123</v>
          </cell>
          <cell r="B125" t="str">
            <v>Fusteltecnica</v>
          </cell>
          <cell r="C125" t="str">
            <v>R03177</v>
          </cell>
          <cell r="D125" t="str">
            <v>Tracy</v>
          </cell>
          <cell r="E125" t="str">
            <v>Fronton</v>
          </cell>
          <cell r="F125" t="str">
            <v>BOBST 1260</v>
          </cell>
          <cell r="G125">
            <v>1</v>
          </cell>
          <cell r="H125" t="str">
            <v>No</v>
          </cell>
          <cell r="I125" t="str">
            <v>Si</v>
          </cell>
          <cell r="J125" t="str">
            <v>No</v>
          </cell>
          <cell r="K125">
            <v>0</v>
          </cell>
          <cell r="L125" t="str">
            <v>No</v>
          </cell>
          <cell r="M125">
            <v>0</v>
          </cell>
          <cell r="N125">
            <v>0</v>
          </cell>
        </row>
        <row r="126">
          <cell r="A126" t="str">
            <v>FU0124</v>
          </cell>
          <cell r="B126" t="str">
            <v>Fusteltecnica</v>
          </cell>
          <cell r="C126" t="str">
            <v>E08420</v>
          </cell>
          <cell r="D126" t="str">
            <v>Isa</v>
          </cell>
          <cell r="E126" t="str">
            <v>Astucci Ibra</v>
          </cell>
          <cell r="F126" t="str">
            <v>BOBST 104</v>
          </cell>
          <cell r="G126">
            <v>4</v>
          </cell>
          <cell r="H126" t="str">
            <v>No</v>
          </cell>
          <cell r="I126" t="str">
            <v>No</v>
          </cell>
          <cell r="J126" t="str">
            <v>No</v>
          </cell>
          <cell r="K126">
            <v>0</v>
          </cell>
          <cell r="L126" t="str">
            <v>Si</v>
          </cell>
          <cell r="M126" t="str">
            <v>Diana Pro 114</v>
          </cell>
          <cell r="N126" t="str">
            <v>Fondo Automatico</v>
          </cell>
        </row>
        <row r="127">
          <cell r="A127" t="str">
            <v>FU0125</v>
          </cell>
          <cell r="B127" t="str">
            <v>Lasercom</v>
          </cell>
          <cell r="C127" t="str">
            <v>Lomba570</v>
          </cell>
          <cell r="D127" t="str">
            <v>Baggini</v>
          </cell>
          <cell r="E127" t="str">
            <v>Fondo + Coperchio gammarelli</v>
          </cell>
          <cell r="F127" t="str">
            <v>BOBST 1260</v>
          </cell>
          <cell r="G127">
            <v>2</v>
          </cell>
          <cell r="H127" t="str">
            <v>No</v>
          </cell>
          <cell r="I127" t="str">
            <v>Si</v>
          </cell>
          <cell r="J127" t="str">
            <v>No</v>
          </cell>
          <cell r="K127">
            <v>0</v>
          </cell>
          <cell r="L127" t="str">
            <v>Si</v>
          </cell>
          <cell r="M127" t="str">
            <v>Diana Pro 114</v>
          </cell>
          <cell r="N127" t="str">
            <v>Quattro angoli</v>
          </cell>
        </row>
        <row r="128">
          <cell r="A128" t="str">
            <v>FU0126</v>
          </cell>
          <cell r="B128" t="str">
            <v>Lasercom</v>
          </cell>
          <cell r="C128" t="str">
            <v>Lomba572</v>
          </cell>
          <cell r="D128" t="str">
            <v>Elettroplastica</v>
          </cell>
          <cell r="E128" t="str">
            <v>Scatole dr.Frey</v>
          </cell>
          <cell r="F128" t="str">
            <v>BOBST 1260</v>
          </cell>
          <cell r="G128">
            <v>2</v>
          </cell>
          <cell r="H128" t="str">
            <v>No</v>
          </cell>
          <cell r="I128" t="str">
            <v>Si</v>
          </cell>
          <cell r="J128" t="str">
            <v>No</v>
          </cell>
          <cell r="K128">
            <v>0</v>
          </cell>
          <cell r="L128" t="str">
            <v>Si</v>
          </cell>
          <cell r="M128" t="str">
            <v>DIana X80</v>
          </cell>
          <cell r="N128" t="str">
            <v>Lineare</v>
          </cell>
        </row>
        <row r="129">
          <cell r="A129" t="str">
            <v>FU0127</v>
          </cell>
          <cell r="B129" t="str">
            <v>Lasercom</v>
          </cell>
          <cell r="C129" t="str">
            <v>Lomba649</v>
          </cell>
          <cell r="D129" t="str">
            <v>Pantytex</v>
          </cell>
          <cell r="E129" t="str">
            <v>Inserti tchibo stretti</v>
          </cell>
          <cell r="F129" t="str">
            <v>BOBST 104</v>
          </cell>
          <cell r="G129">
            <v>10</v>
          </cell>
          <cell r="H129" t="str">
            <v>No</v>
          </cell>
          <cell r="I129" t="str">
            <v>No</v>
          </cell>
          <cell r="J129" t="str">
            <v>No</v>
          </cell>
          <cell r="K129">
            <v>0</v>
          </cell>
          <cell r="L129" t="str">
            <v>No</v>
          </cell>
          <cell r="M129">
            <v>0</v>
          </cell>
          <cell r="N129">
            <v>0</v>
          </cell>
        </row>
        <row r="130">
          <cell r="A130" t="str">
            <v>FU0128</v>
          </cell>
          <cell r="B130" t="str">
            <v>Fusteltecnica</v>
          </cell>
          <cell r="C130" t="str">
            <v>E04800</v>
          </cell>
          <cell r="D130" t="str">
            <v>Pantytex</v>
          </cell>
          <cell r="E130" t="str">
            <v>Appendini tissaia</v>
          </cell>
          <cell r="F130" t="str">
            <v>BOBST 104</v>
          </cell>
          <cell r="G130">
            <v>3</v>
          </cell>
          <cell r="H130" t="str">
            <v>No</v>
          </cell>
          <cell r="I130" t="str">
            <v>No</v>
          </cell>
          <cell r="J130" t="str">
            <v>No</v>
          </cell>
          <cell r="K130">
            <v>0</v>
          </cell>
          <cell r="L130" t="str">
            <v>No</v>
          </cell>
          <cell r="M130">
            <v>0</v>
          </cell>
          <cell r="N130">
            <v>0</v>
          </cell>
        </row>
        <row r="131">
          <cell r="A131" t="str">
            <v>FU0129</v>
          </cell>
          <cell r="B131" t="str">
            <v>Lasercom</v>
          </cell>
          <cell r="C131" t="str">
            <v>Lomba574</v>
          </cell>
          <cell r="D131" t="str">
            <v>Fortis</v>
          </cell>
          <cell r="E131" t="str">
            <v>Scatole fortis DEGT</v>
          </cell>
          <cell r="F131" t="str">
            <v>BOBST 1260</v>
          </cell>
          <cell r="G131">
            <v>2</v>
          </cell>
          <cell r="H131" t="str">
            <v>No</v>
          </cell>
          <cell r="I131" t="str">
            <v>Si</v>
          </cell>
          <cell r="J131" t="str">
            <v>No</v>
          </cell>
          <cell r="K131">
            <v>0</v>
          </cell>
          <cell r="L131" t="str">
            <v>No</v>
          </cell>
          <cell r="M131">
            <v>0</v>
          </cell>
          <cell r="N131">
            <v>0</v>
          </cell>
        </row>
        <row r="132">
          <cell r="A132" t="str">
            <v>FU0130</v>
          </cell>
          <cell r="B132" t="str">
            <v>Lasercom</v>
          </cell>
          <cell r="C132" t="str">
            <v>Lomba578</v>
          </cell>
          <cell r="D132" t="str">
            <v>Gallo</v>
          </cell>
          <cell r="E132" t="str">
            <v>Solette gallo corte</v>
          </cell>
          <cell r="F132" t="str">
            <v>BOBST 1260</v>
          </cell>
          <cell r="G132">
            <v>6</v>
          </cell>
          <cell r="H132" t="str">
            <v>No</v>
          </cell>
          <cell r="I132" t="str">
            <v>Si</v>
          </cell>
          <cell r="J132" t="str">
            <v>No</v>
          </cell>
          <cell r="K132">
            <v>0</v>
          </cell>
          <cell r="L132" t="str">
            <v>No</v>
          </cell>
          <cell r="M132">
            <v>0</v>
          </cell>
          <cell r="N132">
            <v>0</v>
          </cell>
        </row>
        <row r="133">
          <cell r="A133" t="str">
            <v>FU0131</v>
          </cell>
          <cell r="B133" t="str">
            <v>Fusteltecnica</v>
          </cell>
          <cell r="C133" t="str">
            <v>E04799</v>
          </cell>
          <cell r="D133" t="str">
            <v>Gallo</v>
          </cell>
          <cell r="E133" t="str">
            <v>Lotti gallo dorso 25</v>
          </cell>
          <cell r="F133" t="str">
            <v>BOBST 104</v>
          </cell>
          <cell r="G133">
            <v>14</v>
          </cell>
          <cell r="H133" t="str">
            <v>No</v>
          </cell>
          <cell r="I133" t="str">
            <v>No</v>
          </cell>
          <cell r="J133" t="str">
            <v>No</v>
          </cell>
          <cell r="K133">
            <v>0</v>
          </cell>
          <cell r="L133" t="str">
            <v>No</v>
          </cell>
          <cell r="M133">
            <v>0</v>
          </cell>
          <cell r="N133">
            <v>0</v>
          </cell>
        </row>
        <row r="134">
          <cell r="A134" t="str">
            <v>FU0132</v>
          </cell>
          <cell r="B134" t="str">
            <v>Lasercom</v>
          </cell>
          <cell r="C134" t="str">
            <v>Lomba105</v>
          </cell>
          <cell r="D134" t="str">
            <v>Dolci</v>
          </cell>
          <cell r="E134" t="str">
            <v>Cartelle colori + tirelle</v>
          </cell>
          <cell r="F134" t="str">
            <v>BOBST 104</v>
          </cell>
          <cell r="G134">
            <v>5</v>
          </cell>
          <cell r="H134" t="str">
            <v>No</v>
          </cell>
          <cell r="I134" t="str">
            <v>No</v>
          </cell>
          <cell r="J134" t="str">
            <v>No</v>
          </cell>
          <cell r="K134">
            <v>0</v>
          </cell>
          <cell r="L134" t="str">
            <v>No</v>
          </cell>
          <cell r="M134">
            <v>0</v>
          </cell>
          <cell r="N134">
            <v>0</v>
          </cell>
        </row>
        <row r="135">
          <cell r="A135" t="str">
            <v>FU0133</v>
          </cell>
          <cell r="B135" t="str">
            <v>Fusteltecnica</v>
          </cell>
          <cell r="C135" t="str">
            <v>R06802</v>
          </cell>
          <cell r="D135" t="str">
            <v>Vegas</v>
          </cell>
          <cell r="E135" t="str">
            <v>Scatola dyr</v>
          </cell>
          <cell r="F135" t="str">
            <v>BOBST 1260</v>
          </cell>
          <cell r="G135">
            <v>3</v>
          </cell>
          <cell r="H135" t="str">
            <v>No</v>
          </cell>
          <cell r="I135" t="str">
            <v>Si</v>
          </cell>
          <cell r="J135" t="str">
            <v>No</v>
          </cell>
          <cell r="K135">
            <v>0</v>
          </cell>
          <cell r="L135" t="str">
            <v>Si</v>
          </cell>
          <cell r="M135" t="str">
            <v>Diana Pro 114</v>
          </cell>
          <cell r="N135" t="str">
            <v>Speciali</v>
          </cell>
        </row>
        <row r="136">
          <cell r="A136" t="str">
            <v>FU0134</v>
          </cell>
          <cell r="B136" t="str">
            <v>Lasercom</v>
          </cell>
          <cell r="C136" t="str">
            <v>Lomba577</v>
          </cell>
          <cell r="D136" t="str">
            <v>Tracy</v>
          </cell>
          <cell r="E136" t="str">
            <v>Fasciette estex / varese</v>
          </cell>
          <cell r="F136" t="str">
            <v>BOBST 1260</v>
          </cell>
          <cell r="G136">
            <v>10</v>
          </cell>
          <cell r="H136" t="str">
            <v>No</v>
          </cell>
          <cell r="I136" t="str">
            <v>Si</v>
          </cell>
          <cell r="J136" t="str">
            <v>No</v>
          </cell>
          <cell r="K136">
            <v>0</v>
          </cell>
          <cell r="L136" t="str">
            <v>No</v>
          </cell>
          <cell r="M136">
            <v>0</v>
          </cell>
          <cell r="N136">
            <v>0</v>
          </cell>
        </row>
        <row r="137">
          <cell r="A137" t="str">
            <v>FU0135</v>
          </cell>
          <cell r="B137" t="str">
            <v>Lasercom</v>
          </cell>
          <cell r="C137" t="str">
            <v>Lomba214</v>
          </cell>
          <cell r="D137" t="str">
            <v>Euroten</v>
          </cell>
          <cell r="E137" t="str">
            <v>Astucci movi sport</v>
          </cell>
          <cell r="F137" t="str">
            <v>BOBST 104</v>
          </cell>
          <cell r="G137">
            <v>3</v>
          </cell>
          <cell r="H137" t="str">
            <v>No</v>
          </cell>
          <cell r="I137" t="str">
            <v>No</v>
          </cell>
          <cell r="J137" t="str">
            <v>No</v>
          </cell>
          <cell r="K137">
            <v>0</v>
          </cell>
          <cell r="L137" t="str">
            <v>Si</v>
          </cell>
          <cell r="M137" t="str">
            <v>DIana X80</v>
          </cell>
          <cell r="N137" t="str">
            <v>Lineare</v>
          </cell>
        </row>
        <row r="138">
          <cell r="A138" t="str">
            <v>FU0136</v>
          </cell>
          <cell r="B138" t="str">
            <v>Fusteltecnica</v>
          </cell>
          <cell r="C138" t="str">
            <v>M06001</v>
          </cell>
          <cell r="D138" t="str">
            <v>D&amp;G</v>
          </cell>
          <cell r="E138" t="str">
            <v>Scatole Bauletto 30x40x9</v>
          </cell>
          <cell r="F138" t="str">
            <v>BOBST 1260</v>
          </cell>
          <cell r="G138">
            <v>1</v>
          </cell>
          <cell r="H138" t="str">
            <v>No</v>
          </cell>
          <cell r="I138" t="str">
            <v>Si</v>
          </cell>
          <cell r="J138" t="str">
            <v>No</v>
          </cell>
          <cell r="K138">
            <v>0</v>
          </cell>
          <cell r="L138" t="str">
            <v>No</v>
          </cell>
          <cell r="M138">
            <v>0</v>
          </cell>
          <cell r="N138">
            <v>0</v>
          </cell>
        </row>
        <row r="139">
          <cell r="A139" t="str">
            <v>FU0137</v>
          </cell>
          <cell r="B139" t="str">
            <v>Fusteltecnica</v>
          </cell>
          <cell r="C139" t="str">
            <v>E04820</v>
          </cell>
          <cell r="D139" t="str">
            <v>Pantytex</v>
          </cell>
          <cell r="E139" t="str">
            <v>Appendini fascino ecocare</v>
          </cell>
          <cell r="F139" t="str">
            <v>BOBST 104</v>
          </cell>
          <cell r="G139">
            <v>3</v>
          </cell>
          <cell r="H139" t="str">
            <v>No</v>
          </cell>
          <cell r="I139" t="str">
            <v>No</v>
          </cell>
          <cell r="J139" t="str">
            <v>No</v>
          </cell>
          <cell r="K139">
            <v>0</v>
          </cell>
          <cell r="L139" t="str">
            <v>No</v>
          </cell>
          <cell r="M139">
            <v>0</v>
          </cell>
          <cell r="N139">
            <v>0</v>
          </cell>
        </row>
        <row r="140">
          <cell r="A140" t="str">
            <v>FU0138</v>
          </cell>
          <cell r="B140" t="str">
            <v>Lasercom</v>
          </cell>
          <cell r="C140" t="str">
            <v>Lomba579</v>
          </cell>
          <cell r="D140" t="str">
            <v>Tracy</v>
          </cell>
          <cell r="E140" t="str">
            <v>Cavallotti stefanel</v>
          </cell>
          <cell r="F140" t="str">
            <v>BOBST 1260</v>
          </cell>
          <cell r="G140">
            <v>6</v>
          </cell>
          <cell r="H140" t="str">
            <v>No</v>
          </cell>
          <cell r="I140" t="str">
            <v>Si</v>
          </cell>
          <cell r="J140" t="str">
            <v>No</v>
          </cell>
          <cell r="K140">
            <v>0</v>
          </cell>
          <cell r="L140" t="str">
            <v>No</v>
          </cell>
          <cell r="M140">
            <v>0</v>
          </cell>
          <cell r="N140">
            <v>0</v>
          </cell>
        </row>
        <row r="141">
          <cell r="A141" t="str">
            <v>FU0139</v>
          </cell>
          <cell r="B141" t="str">
            <v>Fusteltecnica</v>
          </cell>
          <cell r="C141" t="str">
            <v>A04696</v>
          </cell>
          <cell r="D141" t="str">
            <v>Rcm</v>
          </cell>
          <cell r="E141" t="str">
            <v>Astucci sim vari</v>
          </cell>
          <cell r="F141" t="str">
            <v>BOBST 1260</v>
          </cell>
          <cell r="G141">
            <v>3</v>
          </cell>
          <cell r="H141" t="str">
            <v>No</v>
          </cell>
          <cell r="I141" t="str">
            <v>Si</v>
          </cell>
          <cell r="J141" t="str">
            <v>No</v>
          </cell>
          <cell r="K141">
            <v>0</v>
          </cell>
          <cell r="L141" t="str">
            <v>Si</v>
          </cell>
          <cell r="M141" t="str">
            <v>DIana X80</v>
          </cell>
          <cell r="N141" t="str">
            <v>Lineare</v>
          </cell>
        </row>
        <row r="142">
          <cell r="A142" t="str">
            <v>FU0140</v>
          </cell>
          <cell r="B142" t="str">
            <v>Lasercom</v>
          </cell>
          <cell r="C142" t="str">
            <v>Lomba655</v>
          </cell>
          <cell r="D142" t="str">
            <v>Offel</v>
          </cell>
          <cell r="E142" t="str">
            <v>Astucci 28c</v>
          </cell>
          <cell r="F142" t="str">
            <v>BOBST 1260</v>
          </cell>
          <cell r="G142">
            <v>2</v>
          </cell>
          <cell r="H142" t="str">
            <v>No</v>
          </cell>
          <cell r="I142" t="str">
            <v>Si</v>
          </cell>
          <cell r="J142" t="str">
            <v>No</v>
          </cell>
          <cell r="K142">
            <v>0</v>
          </cell>
          <cell r="L142" t="str">
            <v>Si</v>
          </cell>
          <cell r="M142" t="str">
            <v>DIana X80</v>
          </cell>
          <cell r="N142" t="str">
            <v>Lineare</v>
          </cell>
        </row>
        <row r="143">
          <cell r="A143" t="str">
            <v>FU0141</v>
          </cell>
          <cell r="B143" t="str">
            <v>Fusteltecnica</v>
          </cell>
          <cell r="C143" t="str">
            <v>R02159</v>
          </cell>
          <cell r="D143" t="str">
            <v>Tradigo</v>
          </cell>
          <cell r="E143" t="str">
            <v>Espositore drysox</v>
          </cell>
          <cell r="F143" t="str">
            <v>BOBST 1260</v>
          </cell>
          <cell r="G143">
            <v>1</v>
          </cell>
          <cell r="H143" t="str">
            <v>No</v>
          </cell>
          <cell r="I143" t="str">
            <v>Si</v>
          </cell>
          <cell r="J143" t="str">
            <v>No</v>
          </cell>
          <cell r="K143">
            <v>0</v>
          </cell>
          <cell r="L143" t="str">
            <v>No</v>
          </cell>
          <cell r="M143">
            <v>0</v>
          </cell>
          <cell r="N143">
            <v>0</v>
          </cell>
        </row>
        <row r="144">
          <cell r="A144" t="str">
            <v>FU0142</v>
          </cell>
          <cell r="B144" t="str">
            <v>Fusteltecnica</v>
          </cell>
          <cell r="C144" t="str">
            <v>R05878</v>
          </cell>
          <cell r="D144" t="str">
            <v>JBS</v>
          </cell>
          <cell r="E144" t="str">
            <v>Buste zizzi</v>
          </cell>
          <cell r="F144" t="str">
            <v>BOBST 1260</v>
          </cell>
          <cell r="G144">
            <v>4</v>
          </cell>
          <cell r="H144" t="str">
            <v>No</v>
          </cell>
          <cell r="I144" t="str">
            <v>Si</v>
          </cell>
          <cell r="J144" t="str">
            <v>No</v>
          </cell>
          <cell r="K144">
            <v>0</v>
          </cell>
          <cell r="L144" t="str">
            <v>Si</v>
          </cell>
          <cell r="M144" t="str">
            <v>Diana Pro 114</v>
          </cell>
          <cell r="N144" t="str">
            <v>Soffietto</v>
          </cell>
        </row>
        <row r="145">
          <cell r="A145" t="str">
            <v>FU0143</v>
          </cell>
          <cell r="B145" t="str">
            <v>Fusteltecnica</v>
          </cell>
          <cell r="C145" t="str">
            <v>M04728</v>
          </cell>
          <cell r="D145" t="str">
            <v>Rcm</v>
          </cell>
          <cell r="E145" t="str">
            <v>Espositore Thats amore</v>
          </cell>
          <cell r="F145" t="str">
            <v>BOBST 1260</v>
          </cell>
          <cell r="G145">
            <v>1</v>
          </cell>
          <cell r="H145" t="str">
            <v>No</v>
          </cell>
          <cell r="I145" t="str">
            <v>Si</v>
          </cell>
          <cell r="J145" t="str">
            <v>No</v>
          </cell>
          <cell r="K145">
            <v>0</v>
          </cell>
          <cell r="L145" t="str">
            <v>Si</v>
          </cell>
          <cell r="M145" t="str">
            <v>Diana Pro 114</v>
          </cell>
          <cell r="N145" t="str">
            <v>Americana</v>
          </cell>
        </row>
        <row r="146">
          <cell r="A146" t="str">
            <v>FU0144</v>
          </cell>
          <cell r="B146" t="str">
            <v>Fusteltecnica</v>
          </cell>
          <cell r="C146" t="str">
            <v>M05383</v>
          </cell>
          <cell r="D146" t="str">
            <v>Crosta e Mollica</v>
          </cell>
          <cell r="E146" t="str">
            <v>Fascette Ciappe</v>
          </cell>
          <cell r="F146" t="str">
            <v>BOBST 1260</v>
          </cell>
          <cell r="G146">
            <v>10</v>
          </cell>
          <cell r="H146" t="str">
            <v>No</v>
          </cell>
          <cell r="I146" t="str">
            <v>Si</v>
          </cell>
          <cell r="J146" t="str">
            <v>No</v>
          </cell>
          <cell r="K146">
            <v>0</v>
          </cell>
          <cell r="L146" t="str">
            <v>No</v>
          </cell>
          <cell r="M146">
            <v>0</v>
          </cell>
          <cell r="N146">
            <v>0</v>
          </cell>
        </row>
        <row r="147">
          <cell r="A147" t="str">
            <v>FU0145</v>
          </cell>
          <cell r="B147" t="str">
            <v>Fusteltecnica</v>
          </cell>
          <cell r="C147" t="str">
            <v>M04735</v>
          </cell>
          <cell r="D147" t="str">
            <v>Costa</v>
          </cell>
          <cell r="E147" t="str">
            <v xml:space="preserve">Appendini + Cavallotti Carrera </v>
          </cell>
          <cell r="F147" t="str">
            <v>BOBST 1260</v>
          </cell>
          <cell r="G147">
            <v>8</v>
          </cell>
          <cell r="H147" t="str">
            <v>No</v>
          </cell>
          <cell r="I147" t="str">
            <v>Si</v>
          </cell>
          <cell r="J147" t="str">
            <v>No</v>
          </cell>
          <cell r="K147">
            <v>0</v>
          </cell>
          <cell r="L147" t="str">
            <v>No</v>
          </cell>
          <cell r="M147">
            <v>0</v>
          </cell>
          <cell r="N147">
            <v>0</v>
          </cell>
        </row>
        <row r="148">
          <cell r="A148" t="str">
            <v>FU0146</v>
          </cell>
          <cell r="B148" t="str">
            <v>Fusteltecnica</v>
          </cell>
          <cell r="C148" t="str">
            <v>G11649</v>
          </cell>
          <cell r="D148" t="str">
            <v>Calzificio Italiano</v>
          </cell>
          <cell r="E148" t="str">
            <v>Coperchi marcoliani</v>
          </cell>
          <cell r="F148" t="str">
            <v>BOBST 1260</v>
          </cell>
          <cell r="G148">
            <v>3</v>
          </cell>
          <cell r="H148" t="str">
            <v>No</v>
          </cell>
          <cell r="I148" t="str">
            <v>Si</v>
          </cell>
          <cell r="J148" t="str">
            <v>No</v>
          </cell>
          <cell r="K148">
            <v>0</v>
          </cell>
          <cell r="L148" t="str">
            <v>Si</v>
          </cell>
          <cell r="M148" t="str">
            <v>Diana Pro 114</v>
          </cell>
          <cell r="N148" t="str">
            <v>Americana</v>
          </cell>
        </row>
        <row r="149">
          <cell r="A149" t="str">
            <v>FU0147</v>
          </cell>
          <cell r="B149" t="str">
            <v>Lasercom</v>
          </cell>
          <cell r="C149" t="str">
            <v>Lomb583n</v>
          </cell>
          <cell r="D149" t="str">
            <v>Artical</v>
          </cell>
          <cell r="E149" t="str">
            <v>Fascette Lux Gabbiano</v>
          </cell>
          <cell r="F149" t="str">
            <v>BOBST 1260</v>
          </cell>
          <cell r="G149">
            <v>6</v>
          </cell>
          <cell r="H149" t="str">
            <v>No</v>
          </cell>
          <cell r="I149" t="str">
            <v>Si</v>
          </cell>
          <cell r="J149" t="str">
            <v>No</v>
          </cell>
          <cell r="K149">
            <v>0</v>
          </cell>
          <cell r="L149" t="str">
            <v>No</v>
          </cell>
          <cell r="M149">
            <v>0</v>
          </cell>
          <cell r="N149">
            <v>0</v>
          </cell>
        </row>
        <row r="150">
          <cell r="A150" t="str">
            <v>FU0148</v>
          </cell>
          <cell r="B150" t="str">
            <v>Fusteltecnica</v>
          </cell>
          <cell r="C150" t="str">
            <v>E04922</v>
          </cell>
          <cell r="D150" t="str">
            <v>Costa</v>
          </cell>
          <cell r="E150" t="str">
            <v xml:space="preserve">Appendini carrera </v>
          </cell>
          <cell r="F150" t="str">
            <v>BOBST 1260</v>
          </cell>
          <cell r="G150">
            <v>2</v>
          </cell>
          <cell r="H150" t="str">
            <v>No</v>
          </cell>
          <cell r="I150" t="str">
            <v>Si</v>
          </cell>
          <cell r="J150" t="str">
            <v>No</v>
          </cell>
          <cell r="K150">
            <v>0</v>
          </cell>
          <cell r="L150" t="str">
            <v>No</v>
          </cell>
          <cell r="M150">
            <v>0</v>
          </cell>
          <cell r="N150">
            <v>0</v>
          </cell>
        </row>
        <row r="151">
          <cell r="A151" t="str">
            <v>FU0149</v>
          </cell>
          <cell r="B151" t="str">
            <v>Lasercom</v>
          </cell>
          <cell r="C151" t="str">
            <v>Lomba652</v>
          </cell>
          <cell r="D151" t="str">
            <v>Pasta Lensi</v>
          </cell>
          <cell r="E151" t="str">
            <v>Cavallotti Henji</v>
          </cell>
          <cell r="F151" t="str">
            <v>BOBST 104</v>
          </cell>
          <cell r="G151">
            <v>12</v>
          </cell>
          <cell r="H151" t="str">
            <v>No</v>
          </cell>
          <cell r="I151" t="str">
            <v>No</v>
          </cell>
          <cell r="J151" t="str">
            <v>No</v>
          </cell>
          <cell r="K151">
            <v>0</v>
          </cell>
          <cell r="L151" t="str">
            <v>No</v>
          </cell>
          <cell r="M151">
            <v>0</v>
          </cell>
          <cell r="N151">
            <v>0</v>
          </cell>
        </row>
        <row r="152">
          <cell r="A152" t="str">
            <v>FU0150</v>
          </cell>
          <cell r="B152" t="str">
            <v>Fusteltecnica</v>
          </cell>
          <cell r="C152" t="str">
            <v>M04753</v>
          </cell>
          <cell r="D152" t="str">
            <v>Rcm</v>
          </cell>
          <cell r="E152" t="str">
            <v xml:space="preserve">Fasce + astucci Nee </v>
          </cell>
          <cell r="F152" t="str">
            <v>BOBST 104</v>
          </cell>
          <cell r="G152">
            <v>7</v>
          </cell>
          <cell r="H152" t="str">
            <v>No</v>
          </cell>
          <cell r="I152" t="str">
            <v>No</v>
          </cell>
          <cell r="J152" t="str">
            <v>No</v>
          </cell>
          <cell r="K152">
            <v>0</v>
          </cell>
          <cell r="L152" t="str">
            <v>Si</v>
          </cell>
          <cell r="M152" t="str">
            <v>DIana X80</v>
          </cell>
          <cell r="N152" t="str">
            <v>Lineare</v>
          </cell>
        </row>
        <row r="153">
          <cell r="A153" t="str">
            <v>FU0151</v>
          </cell>
          <cell r="B153" t="str">
            <v>Fusteltecnica</v>
          </cell>
          <cell r="C153" t="str">
            <v>M04790</v>
          </cell>
          <cell r="D153" t="str">
            <v>Pantytex</v>
          </cell>
          <cell r="E153" t="str">
            <v>Cartelle colori</v>
          </cell>
          <cell r="F153" t="str">
            <v>BOBST 104</v>
          </cell>
          <cell r="G153">
            <v>2</v>
          </cell>
          <cell r="H153" t="str">
            <v>No</v>
          </cell>
          <cell r="I153" t="str">
            <v>No</v>
          </cell>
          <cell r="J153" t="str">
            <v>No</v>
          </cell>
          <cell r="K153">
            <v>0</v>
          </cell>
          <cell r="L153" t="str">
            <v>No</v>
          </cell>
          <cell r="M153">
            <v>0</v>
          </cell>
          <cell r="N153">
            <v>0</v>
          </cell>
        </row>
        <row r="154">
          <cell r="A154" t="str">
            <v>FU0152</v>
          </cell>
          <cell r="B154" t="str">
            <v>Fusteltecnica</v>
          </cell>
          <cell r="C154" t="str">
            <v>R04960</v>
          </cell>
          <cell r="D154" t="str">
            <v>Gallo</v>
          </cell>
          <cell r="E154" t="str">
            <v>Cavallotti eth + vari</v>
          </cell>
          <cell r="F154" t="str">
            <v>BOBST 104</v>
          </cell>
          <cell r="G154">
            <v>36</v>
          </cell>
          <cell r="H154" t="str">
            <v>No</v>
          </cell>
          <cell r="I154" t="str">
            <v>No</v>
          </cell>
          <cell r="J154" t="str">
            <v>No</v>
          </cell>
          <cell r="K154">
            <v>0</v>
          </cell>
          <cell r="L154" t="str">
            <v>No</v>
          </cell>
          <cell r="M154">
            <v>0</v>
          </cell>
          <cell r="N154">
            <v>0</v>
          </cell>
        </row>
        <row r="155">
          <cell r="A155" t="str">
            <v>FU0153</v>
          </cell>
          <cell r="B155" t="str">
            <v>Fusteltecnica</v>
          </cell>
          <cell r="C155" t="str">
            <v>R06801</v>
          </cell>
          <cell r="D155" t="str">
            <v>Gallo</v>
          </cell>
          <cell r="E155" t="str">
            <v>Cavallotti gallo abbinati</v>
          </cell>
          <cell r="F155" t="str">
            <v>BOBST 104</v>
          </cell>
          <cell r="G155">
            <v>15</v>
          </cell>
          <cell r="H155" t="str">
            <v>No</v>
          </cell>
          <cell r="I155" t="str">
            <v>No</v>
          </cell>
          <cell r="J155" t="str">
            <v>No</v>
          </cell>
          <cell r="K155">
            <v>0</v>
          </cell>
          <cell r="L155" t="str">
            <v>No</v>
          </cell>
          <cell r="M155">
            <v>0</v>
          </cell>
          <cell r="N155">
            <v>0</v>
          </cell>
        </row>
        <row r="156">
          <cell r="A156" t="str">
            <v>FU0154</v>
          </cell>
          <cell r="B156" t="str">
            <v>Lasercom</v>
          </cell>
          <cell r="C156" t="str">
            <v>Lomba428</v>
          </cell>
          <cell r="D156" t="str">
            <v>Gallo</v>
          </cell>
          <cell r="E156" t="str">
            <v>Scatola americana BOG fondo + coperchio</v>
          </cell>
          <cell r="F156" t="str">
            <v>BOBST 1260</v>
          </cell>
          <cell r="G156">
            <v>2</v>
          </cell>
          <cell r="H156" t="str">
            <v>No</v>
          </cell>
          <cell r="I156" t="str">
            <v>Si</v>
          </cell>
          <cell r="J156" t="str">
            <v>No</v>
          </cell>
          <cell r="K156">
            <v>0</v>
          </cell>
          <cell r="L156" t="str">
            <v>Si</v>
          </cell>
          <cell r="M156" t="str">
            <v>Diana Pro 114</v>
          </cell>
          <cell r="N156" t="str">
            <v>Quattro angoli</v>
          </cell>
        </row>
        <row r="157">
          <cell r="A157" t="str">
            <v>FU0155</v>
          </cell>
          <cell r="B157" t="str">
            <v>Lasercom</v>
          </cell>
          <cell r="C157" t="str">
            <v>Lomba654</v>
          </cell>
          <cell r="D157" t="str">
            <v>Mps</v>
          </cell>
          <cell r="E157" t="str">
            <v>Inserti vercella</v>
          </cell>
          <cell r="F157" t="str">
            <v>BOBST 1260</v>
          </cell>
          <cell r="G157">
            <v>4</v>
          </cell>
          <cell r="H157" t="str">
            <v>No</v>
          </cell>
          <cell r="I157" t="str">
            <v>Si</v>
          </cell>
          <cell r="J157" t="str">
            <v>No</v>
          </cell>
          <cell r="K157">
            <v>0</v>
          </cell>
          <cell r="L157" t="str">
            <v>No</v>
          </cell>
          <cell r="M157">
            <v>0</v>
          </cell>
          <cell r="N157">
            <v>0</v>
          </cell>
        </row>
        <row r="158">
          <cell r="A158" t="str">
            <v>FU0156</v>
          </cell>
          <cell r="B158" t="str">
            <v>Fusteltecnica</v>
          </cell>
          <cell r="C158" t="str">
            <v>A04283</v>
          </cell>
          <cell r="D158" t="str">
            <v>Rcm</v>
          </cell>
          <cell r="E158" t="str">
            <v>Astucci SPA sim abbinati</v>
          </cell>
          <cell r="F158" t="str">
            <v>BOBST 104</v>
          </cell>
          <cell r="G158">
            <v>4</v>
          </cell>
          <cell r="H158" t="str">
            <v>No</v>
          </cell>
          <cell r="I158" t="str">
            <v>No</v>
          </cell>
          <cell r="J158" t="str">
            <v>No</v>
          </cell>
          <cell r="K158">
            <v>0</v>
          </cell>
          <cell r="L158" t="str">
            <v>Si</v>
          </cell>
          <cell r="M158" t="str">
            <v>DIana X80</v>
          </cell>
          <cell r="N158" t="str">
            <v>Lineare</v>
          </cell>
        </row>
        <row r="159">
          <cell r="A159" t="str">
            <v>FU0157</v>
          </cell>
          <cell r="B159" t="str">
            <v>Lasercom</v>
          </cell>
          <cell r="C159" t="str">
            <v>Lomba602</v>
          </cell>
          <cell r="D159" t="str">
            <v>Pasta Lensi</v>
          </cell>
          <cell r="E159" t="str">
            <v>Cavallotti Dolce Vita</v>
          </cell>
          <cell r="F159" t="str">
            <v>BOBST 1260</v>
          </cell>
          <cell r="G159">
            <v>8</v>
          </cell>
          <cell r="H159" t="str">
            <v>No</v>
          </cell>
          <cell r="I159" t="str">
            <v>Si</v>
          </cell>
          <cell r="J159" t="str">
            <v>No</v>
          </cell>
          <cell r="K159">
            <v>0</v>
          </cell>
          <cell r="L159" t="str">
            <v>No</v>
          </cell>
          <cell r="M159">
            <v>0</v>
          </cell>
          <cell r="N159">
            <v>0</v>
          </cell>
        </row>
        <row r="160">
          <cell r="A160" t="str">
            <v>FU0158</v>
          </cell>
          <cell r="B160" t="str">
            <v>Fusteltecnica</v>
          </cell>
          <cell r="C160" t="str">
            <v>M01115</v>
          </cell>
          <cell r="D160" t="str">
            <v>Vegas</v>
          </cell>
          <cell r="E160" t="str">
            <v>Astucci skin tech</v>
          </cell>
          <cell r="F160" t="str">
            <v>BOBST 1260</v>
          </cell>
          <cell r="G160">
            <v>3</v>
          </cell>
          <cell r="H160" t="str">
            <v>No</v>
          </cell>
          <cell r="I160" t="str">
            <v>Si</v>
          </cell>
          <cell r="J160" t="str">
            <v>No</v>
          </cell>
          <cell r="K160">
            <v>0</v>
          </cell>
          <cell r="L160" t="str">
            <v>Si</v>
          </cell>
          <cell r="M160" t="str">
            <v>DIana X80</v>
          </cell>
          <cell r="N160" t="str">
            <v>Lineare</v>
          </cell>
        </row>
        <row r="161">
          <cell r="A161" t="str">
            <v>FU0159</v>
          </cell>
          <cell r="B161" t="str">
            <v>Fusteltecnica</v>
          </cell>
          <cell r="C161" t="str">
            <v>M03523</v>
          </cell>
          <cell r="D161" t="str">
            <v>CRM</v>
          </cell>
          <cell r="E161" t="str">
            <v>Appendini paprika</v>
          </cell>
          <cell r="F161" t="str">
            <v>BOBST 104</v>
          </cell>
          <cell r="G161">
            <v>3</v>
          </cell>
          <cell r="H161" t="str">
            <v>No</v>
          </cell>
          <cell r="I161" t="str">
            <v>No</v>
          </cell>
          <cell r="J161" t="str">
            <v>No</v>
          </cell>
          <cell r="K161">
            <v>0</v>
          </cell>
          <cell r="L161" t="str">
            <v>No</v>
          </cell>
          <cell r="M161">
            <v>0</v>
          </cell>
          <cell r="N161">
            <v>0</v>
          </cell>
        </row>
        <row r="162">
          <cell r="A162" t="str">
            <v>FU0160</v>
          </cell>
          <cell r="B162" t="str">
            <v>Lasercom</v>
          </cell>
          <cell r="C162" t="str">
            <v>Lomba211</v>
          </cell>
          <cell r="D162" t="str">
            <v>Pantytex</v>
          </cell>
          <cell r="E162" t="str">
            <v>Inserti gambaletto tchibo</v>
          </cell>
          <cell r="F162" t="str">
            <v>BOBST 104</v>
          </cell>
          <cell r="G162">
            <v>12</v>
          </cell>
          <cell r="H162" t="str">
            <v>No</v>
          </cell>
          <cell r="I162" t="str">
            <v>No</v>
          </cell>
          <cell r="J162" t="str">
            <v>No</v>
          </cell>
          <cell r="K162">
            <v>0</v>
          </cell>
          <cell r="L162" t="str">
            <v>No</v>
          </cell>
          <cell r="M162">
            <v>0</v>
          </cell>
          <cell r="N162">
            <v>0</v>
          </cell>
        </row>
        <row r="163">
          <cell r="A163" t="str">
            <v>FU0161</v>
          </cell>
          <cell r="B163" t="str">
            <v>Lasercom</v>
          </cell>
          <cell r="C163" t="str">
            <v>Lomba435</v>
          </cell>
          <cell r="D163" t="str">
            <v>Pantytex</v>
          </cell>
          <cell r="E163" t="str">
            <v>Contenitori minou abbinati</v>
          </cell>
          <cell r="F163" t="str">
            <v>BOBST 104</v>
          </cell>
          <cell r="G163">
            <v>2</v>
          </cell>
          <cell r="H163" t="str">
            <v>No</v>
          </cell>
          <cell r="I163" t="str">
            <v>No</v>
          </cell>
          <cell r="J163" t="str">
            <v>No</v>
          </cell>
          <cell r="K163">
            <v>0</v>
          </cell>
          <cell r="L163" t="str">
            <v>Si</v>
          </cell>
          <cell r="M163" t="str">
            <v>Diana Pro 114</v>
          </cell>
          <cell r="N163" t="str">
            <v>Fondo Automatico</v>
          </cell>
        </row>
        <row r="164">
          <cell r="A164" t="str">
            <v>FU0162</v>
          </cell>
          <cell r="B164" t="str">
            <v>Lasercom</v>
          </cell>
          <cell r="C164" t="str">
            <v>Lomba604</v>
          </cell>
          <cell r="D164" t="str">
            <v>Baggini</v>
          </cell>
          <cell r="E164" t="str">
            <v>Fasciette baggini</v>
          </cell>
          <cell r="F164" t="str">
            <v>BOBST 104</v>
          </cell>
          <cell r="G164">
            <v>10</v>
          </cell>
          <cell r="H164" t="str">
            <v>No</v>
          </cell>
          <cell r="I164" t="str">
            <v>No</v>
          </cell>
          <cell r="J164" t="str">
            <v>No</v>
          </cell>
          <cell r="K164">
            <v>0</v>
          </cell>
          <cell r="L164" t="str">
            <v>No</v>
          </cell>
          <cell r="M164">
            <v>0</v>
          </cell>
          <cell r="N164">
            <v>0</v>
          </cell>
        </row>
        <row r="165">
          <cell r="A165" t="str">
            <v>FU0163</v>
          </cell>
          <cell r="B165" t="str">
            <v>Fusteltecnica</v>
          </cell>
          <cell r="C165" t="str">
            <v>E05037</v>
          </cell>
          <cell r="D165" t="str">
            <v>Pasta Lensi</v>
          </cell>
          <cell r="E165" t="str">
            <v>Cavallotti tree of life</v>
          </cell>
          <cell r="F165" t="str">
            <v>BOBST 104</v>
          </cell>
          <cell r="G165">
            <v>6</v>
          </cell>
          <cell r="H165" t="str">
            <v>No</v>
          </cell>
          <cell r="I165" t="str">
            <v>No</v>
          </cell>
          <cell r="J165" t="str">
            <v>No</v>
          </cell>
          <cell r="K165">
            <v>0</v>
          </cell>
          <cell r="L165" t="str">
            <v>No</v>
          </cell>
          <cell r="M165">
            <v>0</v>
          </cell>
          <cell r="N165">
            <v>0</v>
          </cell>
        </row>
        <row r="166">
          <cell r="A166" t="str">
            <v>FU0164</v>
          </cell>
          <cell r="B166" t="str">
            <v>Fusteltecnica</v>
          </cell>
          <cell r="C166" t="str">
            <v>A04754</v>
          </cell>
          <cell r="D166" t="str">
            <v>D&amp;G</v>
          </cell>
          <cell r="E166" t="str">
            <v>Shopper media</v>
          </cell>
          <cell r="F166" t="str">
            <v>BOBST 1260</v>
          </cell>
          <cell r="G166">
            <v>1</v>
          </cell>
          <cell r="H166" t="str">
            <v>No</v>
          </cell>
          <cell r="I166" t="str">
            <v>Si</v>
          </cell>
          <cell r="J166" t="str">
            <v>No</v>
          </cell>
          <cell r="K166">
            <v>0</v>
          </cell>
          <cell r="L166" t="str">
            <v>Si</v>
          </cell>
          <cell r="M166" t="str">
            <v>Diana Pro 114</v>
          </cell>
          <cell r="N166" t="str">
            <v>Speciali</v>
          </cell>
        </row>
        <row r="167">
          <cell r="A167" t="str">
            <v>FU0165</v>
          </cell>
          <cell r="B167" t="str">
            <v>Fusteltecnica</v>
          </cell>
          <cell r="C167" t="str">
            <v>M04804</v>
          </cell>
          <cell r="D167" t="str">
            <v>Gallo</v>
          </cell>
          <cell r="E167" t="str">
            <v>Scatole BOB51B fondi + coperchi</v>
          </cell>
          <cell r="F167" t="str">
            <v>BOBST 1260</v>
          </cell>
          <cell r="G167">
            <v>4</v>
          </cell>
          <cell r="H167" t="str">
            <v>No</v>
          </cell>
          <cell r="I167" t="str">
            <v>Si</v>
          </cell>
          <cell r="J167" t="str">
            <v>No</v>
          </cell>
          <cell r="K167">
            <v>0</v>
          </cell>
          <cell r="L167" t="str">
            <v>Si</v>
          </cell>
          <cell r="M167" t="str">
            <v>Diana Pro 114</v>
          </cell>
          <cell r="N167" t="str">
            <v>Quattro angoli</v>
          </cell>
        </row>
        <row r="168">
          <cell r="A168" t="str">
            <v>FU0166</v>
          </cell>
          <cell r="B168" t="str">
            <v>Fusteltecnica</v>
          </cell>
          <cell r="C168" t="str">
            <v>A04751</v>
          </cell>
          <cell r="D168" t="str">
            <v>Gallo</v>
          </cell>
          <cell r="E168" t="str">
            <v>Sagomati calzino neutri</v>
          </cell>
          <cell r="F168" t="str">
            <v>BOBST 1260</v>
          </cell>
          <cell r="G168">
            <v>4</v>
          </cell>
          <cell r="H168" t="str">
            <v>No</v>
          </cell>
          <cell r="I168" t="str">
            <v>Si</v>
          </cell>
          <cell r="J168" t="str">
            <v>No</v>
          </cell>
          <cell r="K168">
            <v>0</v>
          </cell>
          <cell r="L168" t="str">
            <v>No</v>
          </cell>
          <cell r="M168">
            <v>0</v>
          </cell>
          <cell r="N168">
            <v>0</v>
          </cell>
        </row>
        <row r="169">
          <cell r="A169" t="str">
            <v>FU0167</v>
          </cell>
          <cell r="B169" t="str">
            <v>Lasercom</v>
          </cell>
          <cell r="C169" t="str">
            <v>Lomba587</v>
          </cell>
          <cell r="D169" t="str">
            <v>Gallo</v>
          </cell>
          <cell r="E169" t="str">
            <v>Scatole abbinate</v>
          </cell>
          <cell r="F169" t="str">
            <v>BOBST 104</v>
          </cell>
          <cell r="G169">
            <v>4</v>
          </cell>
          <cell r="H169" t="str">
            <v>No</v>
          </cell>
          <cell r="I169" t="str">
            <v>No</v>
          </cell>
          <cell r="J169" t="str">
            <v>No</v>
          </cell>
          <cell r="K169">
            <v>0</v>
          </cell>
          <cell r="L169" t="str">
            <v>No</v>
          </cell>
          <cell r="M169">
            <v>0</v>
          </cell>
          <cell r="N169">
            <v>0</v>
          </cell>
        </row>
        <row r="170">
          <cell r="A170" t="str">
            <v>FU0168</v>
          </cell>
          <cell r="B170" t="str">
            <v>Lasercom</v>
          </cell>
          <cell r="C170" t="str">
            <v>Lomba585</v>
          </cell>
          <cell r="D170" t="str">
            <v>Tracy</v>
          </cell>
          <cell r="E170" t="str">
            <v>Appendini Gemo D28</v>
          </cell>
          <cell r="F170" t="str">
            <v>BOBST 104</v>
          </cell>
          <cell r="G170">
            <v>4</v>
          </cell>
          <cell r="H170" t="str">
            <v>No</v>
          </cell>
          <cell r="I170" t="str">
            <v>No</v>
          </cell>
          <cell r="J170" t="str">
            <v>No</v>
          </cell>
          <cell r="K170">
            <v>0</v>
          </cell>
          <cell r="L170" t="str">
            <v>Si</v>
          </cell>
          <cell r="M170" t="str">
            <v>Diana Pro 114</v>
          </cell>
          <cell r="N170" t="str">
            <v>Quattro angoli</v>
          </cell>
        </row>
        <row r="171">
          <cell r="A171" t="str">
            <v>FU0169</v>
          </cell>
          <cell r="B171" t="str">
            <v>Fusteltecnica</v>
          </cell>
          <cell r="C171" t="str">
            <v>A04752</v>
          </cell>
          <cell r="D171" t="str">
            <v>D&amp;G</v>
          </cell>
          <cell r="E171" t="str">
            <v>Shopper abbinata</v>
          </cell>
          <cell r="F171" t="str">
            <v>BOBST 1260</v>
          </cell>
          <cell r="G171">
            <v>2</v>
          </cell>
          <cell r="H171" t="str">
            <v>No</v>
          </cell>
          <cell r="I171" t="str">
            <v>Si</v>
          </cell>
          <cell r="J171" t="str">
            <v>No</v>
          </cell>
          <cell r="K171">
            <v>0</v>
          </cell>
          <cell r="L171" t="str">
            <v>Si</v>
          </cell>
          <cell r="M171" t="str">
            <v>Diana Pro 114</v>
          </cell>
          <cell r="N171" t="str">
            <v>Speciali</v>
          </cell>
        </row>
        <row r="172">
          <cell r="A172" t="str">
            <v>FU0170</v>
          </cell>
          <cell r="B172" t="str">
            <v>Fusteltecnica</v>
          </cell>
          <cell r="C172" t="str">
            <v>E09747</v>
          </cell>
          <cell r="D172" t="str">
            <v>Milatalia</v>
          </cell>
          <cell r="E172" t="str">
            <v>Astucci Coni Gusto Buono</v>
          </cell>
          <cell r="F172" t="str">
            <v>BOBST 1260</v>
          </cell>
          <cell r="G172">
            <v>4</v>
          </cell>
          <cell r="H172" t="str">
            <v>No</v>
          </cell>
          <cell r="I172" t="str">
            <v>Si</v>
          </cell>
          <cell r="J172" t="str">
            <v>No</v>
          </cell>
          <cell r="K172">
            <v>0</v>
          </cell>
          <cell r="L172" t="str">
            <v>Si</v>
          </cell>
          <cell r="M172" t="str">
            <v>DIana X80</v>
          </cell>
          <cell r="N172" t="str">
            <v>Lineare</v>
          </cell>
        </row>
        <row r="173">
          <cell r="A173" t="str">
            <v>FU0171</v>
          </cell>
          <cell r="B173" t="str">
            <v>Lasercom</v>
          </cell>
          <cell r="C173" t="str">
            <v>Lomba662</v>
          </cell>
          <cell r="D173" t="str">
            <v>Magazzini del Caffè</v>
          </cell>
          <cell r="E173" t="str">
            <v>Astucci tubino 20 caps</v>
          </cell>
          <cell r="F173" t="str">
            <v>BOBST 104</v>
          </cell>
          <cell r="G173">
            <v>2</v>
          </cell>
          <cell r="H173" t="str">
            <v>No</v>
          </cell>
          <cell r="I173" t="str">
            <v>No</v>
          </cell>
          <cell r="J173" t="str">
            <v>No</v>
          </cell>
          <cell r="K173">
            <v>0</v>
          </cell>
          <cell r="L173" t="str">
            <v>Si</v>
          </cell>
          <cell r="M173" t="str">
            <v>Diana Pro 114</v>
          </cell>
          <cell r="N173" t="str">
            <v>Fondo Automatico</v>
          </cell>
        </row>
        <row r="174">
          <cell r="A174" t="str">
            <v>FU0172</v>
          </cell>
          <cell r="B174" t="str">
            <v>Fusteltecnica</v>
          </cell>
          <cell r="C174" t="str">
            <v>R02158</v>
          </cell>
          <cell r="D174" t="str">
            <v>Tradigo</v>
          </cell>
          <cell r="E174" t="str">
            <v>Interno neutro expo dry sox</v>
          </cell>
          <cell r="F174" t="str">
            <v>BOBST 1260</v>
          </cell>
          <cell r="G174">
            <v>2</v>
          </cell>
          <cell r="H174" t="str">
            <v>No</v>
          </cell>
          <cell r="I174" t="str">
            <v>Si</v>
          </cell>
          <cell r="J174" t="str">
            <v>No</v>
          </cell>
          <cell r="K174">
            <v>0</v>
          </cell>
          <cell r="L174" t="str">
            <v>No</v>
          </cell>
          <cell r="M174">
            <v>0</v>
          </cell>
          <cell r="N174">
            <v>0</v>
          </cell>
        </row>
        <row r="175">
          <cell r="A175" t="str">
            <v>FU0173</v>
          </cell>
          <cell r="B175" t="str">
            <v>Fusteltecnica</v>
          </cell>
          <cell r="C175" t="str">
            <v>M05423</v>
          </cell>
          <cell r="D175" t="str">
            <v>Magazzini del Caffè</v>
          </cell>
          <cell r="E175" t="str">
            <v>Astucci Magazzini del Caffè 50 caps</v>
          </cell>
          <cell r="F175" t="str">
            <v>BOBST 1260</v>
          </cell>
          <cell r="G175">
            <v>2</v>
          </cell>
          <cell r="H175" t="str">
            <v>No</v>
          </cell>
          <cell r="I175" t="str">
            <v>Si</v>
          </cell>
          <cell r="J175" t="str">
            <v>No</v>
          </cell>
          <cell r="K175">
            <v>0</v>
          </cell>
          <cell r="L175" t="str">
            <v>Si</v>
          </cell>
          <cell r="M175" t="str">
            <v>Diana Pro 114</v>
          </cell>
          <cell r="N175" t="str">
            <v>Fondo Automatico</v>
          </cell>
        </row>
        <row r="176">
          <cell r="A176" t="str">
            <v>FU0174</v>
          </cell>
          <cell r="B176" t="str">
            <v>Lasercom</v>
          </cell>
          <cell r="C176" t="str">
            <v>Lomba607</v>
          </cell>
          <cell r="D176" t="str">
            <v>Love and Bra</v>
          </cell>
          <cell r="E176" t="str">
            <v>Vassoi cubi h 100</v>
          </cell>
          <cell r="F176" t="str">
            <v>BOBST 1260</v>
          </cell>
          <cell r="G176">
            <v>2</v>
          </cell>
          <cell r="H176" t="str">
            <v>No</v>
          </cell>
          <cell r="I176" t="str">
            <v>Si</v>
          </cell>
          <cell r="J176" t="str">
            <v>No</v>
          </cell>
          <cell r="K176">
            <v>0</v>
          </cell>
          <cell r="L176" t="str">
            <v>Si</v>
          </cell>
          <cell r="M176" t="str">
            <v>Diana Pro 114</v>
          </cell>
          <cell r="N176" t="str">
            <v>Quattro angoli</v>
          </cell>
        </row>
        <row r="177">
          <cell r="A177" t="str">
            <v>FU0175</v>
          </cell>
          <cell r="B177" t="str">
            <v>Lasercom</v>
          </cell>
          <cell r="C177" t="str">
            <v>Lomba606</v>
          </cell>
          <cell r="D177" t="str">
            <v>Nuova Virgiliana</v>
          </cell>
          <cell r="E177" t="str">
            <v>Fondi 4 angoli h 8</v>
          </cell>
          <cell r="F177" t="str">
            <v>BOBST 1260</v>
          </cell>
          <cell r="G177">
            <v>4</v>
          </cell>
          <cell r="H177" t="str">
            <v>No</v>
          </cell>
          <cell r="I177" t="str">
            <v>Si</v>
          </cell>
          <cell r="J177" t="str">
            <v>No</v>
          </cell>
          <cell r="K177">
            <v>0</v>
          </cell>
          <cell r="L177" t="str">
            <v>Si</v>
          </cell>
          <cell r="M177" t="str">
            <v>Diana Pro 114</v>
          </cell>
          <cell r="N177" t="str">
            <v>Quattro angoli</v>
          </cell>
        </row>
        <row r="178">
          <cell r="A178" t="str">
            <v>FU0176</v>
          </cell>
          <cell r="B178" t="str">
            <v>Fusteltecnica</v>
          </cell>
          <cell r="C178" t="str">
            <v>A04355</v>
          </cell>
          <cell r="D178" t="str">
            <v>JBS</v>
          </cell>
          <cell r="E178" t="str">
            <v>Buste Caroline Fleming abbinate</v>
          </cell>
          <cell r="F178" t="str">
            <v>BOBST 104</v>
          </cell>
          <cell r="G178">
            <v>5</v>
          </cell>
          <cell r="H178" t="str">
            <v>No</v>
          </cell>
          <cell r="I178" t="str">
            <v>No</v>
          </cell>
          <cell r="J178" t="str">
            <v>No</v>
          </cell>
          <cell r="K178">
            <v>0</v>
          </cell>
          <cell r="L178" t="str">
            <v>Si</v>
          </cell>
          <cell r="M178" t="str">
            <v>Diana Pro 114</v>
          </cell>
          <cell r="N178" t="str">
            <v>Soffietto</v>
          </cell>
        </row>
        <row r="179">
          <cell r="A179" t="str">
            <v>FU0177</v>
          </cell>
          <cell r="B179" t="str">
            <v>Lasercom</v>
          </cell>
          <cell r="C179" t="str">
            <v>Lomba588</v>
          </cell>
          <cell r="D179" t="str">
            <v>Battaglio</v>
          </cell>
          <cell r="E179" t="str">
            <v>Cavallotti lavana</v>
          </cell>
          <cell r="F179" t="str">
            <v>BOBST 1260</v>
          </cell>
          <cell r="G179">
            <v>21</v>
          </cell>
          <cell r="H179" t="str">
            <v>No</v>
          </cell>
          <cell r="I179" t="str">
            <v>Si</v>
          </cell>
          <cell r="J179" t="str">
            <v>No</v>
          </cell>
          <cell r="K179">
            <v>0</v>
          </cell>
          <cell r="L179" t="str">
            <v>No</v>
          </cell>
          <cell r="M179">
            <v>0</v>
          </cell>
          <cell r="N179">
            <v>0</v>
          </cell>
        </row>
        <row r="180">
          <cell r="A180" t="str">
            <v>FU0178</v>
          </cell>
          <cell r="B180" t="str">
            <v>Lasercom</v>
          </cell>
          <cell r="C180" t="str">
            <v>Lomba608</v>
          </cell>
          <cell r="D180" t="str">
            <v>Pantytex</v>
          </cell>
          <cell r="E180" t="str">
            <v>Appendini CA dorso 10</v>
          </cell>
          <cell r="F180" t="str">
            <v>BOBST 1260</v>
          </cell>
          <cell r="G180">
            <v>6</v>
          </cell>
          <cell r="H180" t="str">
            <v>No</v>
          </cell>
          <cell r="I180" t="str">
            <v>Si</v>
          </cell>
          <cell r="J180" t="str">
            <v>No</v>
          </cell>
          <cell r="K180">
            <v>0</v>
          </cell>
          <cell r="L180" t="str">
            <v>No</v>
          </cell>
          <cell r="M180">
            <v>0</v>
          </cell>
          <cell r="N180">
            <v>0</v>
          </cell>
        </row>
        <row r="181">
          <cell r="A181" t="str">
            <v>FU0179</v>
          </cell>
          <cell r="B181" t="str">
            <v>Lasercom</v>
          </cell>
          <cell r="C181" t="str">
            <v>Lomba680</v>
          </cell>
          <cell r="D181" t="str">
            <v>Baggini</v>
          </cell>
          <cell r="E181" t="str">
            <v>Scatole Americane Baggini 2016</v>
          </cell>
          <cell r="F181" t="str">
            <v>BOBST 1260</v>
          </cell>
          <cell r="G181">
            <v>2</v>
          </cell>
          <cell r="H181" t="str">
            <v>No</v>
          </cell>
          <cell r="I181" t="str">
            <v>Si</v>
          </cell>
          <cell r="J181" t="str">
            <v>No</v>
          </cell>
          <cell r="K181">
            <v>0</v>
          </cell>
          <cell r="L181" t="str">
            <v>Si</v>
          </cell>
          <cell r="M181" t="str">
            <v>Diana Pro 114</v>
          </cell>
          <cell r="N181" t="str">
            <v>Americana</v>
          </cell>
        </row>
        <row r="182">
          <cell r="A182" t="str">
            <v>FU0180</v>
          </cell>
          <cell r="B182" t="str">
            <v>Lasercom</v>
          </cell>
          <cell r="C182" t="str">
            <v>Lomba611</v>
          </cell>
          <cell r="D182" t="str">
            <v>O.Erre</v>
          </cell>
          <cell r="E182" t="str">
            <v>Scatole standard 10</v>
          </cell>
          <cell r="F182" t="str">
            <v>BOBST 1260</v>
          </cell>
          <cell r="G182">
            <v>2</v>
          </cell>
          <cell r="H182" t="str">
            <v>No</v>
          </cell>
          <cell r="I182" t="str">
            <v>Si</v>
          </cell>
          <cell r="J182" t="str">
            <v>No</v>
          </cell>
          <cell r="K182">
            <v>0</v>
          </cell>
          <cell r="L182" t="str">
            <v>Si</v>
          </cell>
          <cell r="M182" t="str">
            <v>Diana Pro 114</v>
          </cell>
          <cell r="N182" t="str">
            <v>Fondo Automatico</v>
          </cell>
        </row>
        <row r="183">
          <cell r="A183" t="str">
            <v>FU0181</v>
          </cell>
          <cell r="B183" t="str">
            <v>Fusteltecnica</v>
          </cell>
          <cell r="C183" t="str">
            <v>E05180</v>
          </cell>
          <cell r="D183" t="str">
            <v>Pantytex</v>
          </cell>
          <cell r="E183" t="str">
            <v>Appendini polya 5 dorso 3</v>
          </cell>
          <cell r="F183" t="str">
            <v>BOBST 104</v>
          </cell>
          <cell r="G183">
            <v>4</v>
          </cell>
          <cell r="H183" t="str">
            <v>No</v>
          </cell>
          <cell r="I183" t="str">
            <v>No</v>
          </cell>
          <cell r="J183" t="str">
            <v>No</v>
          </cell>
          <cell r="K183">
            <v>0</v>
          </cell>
          <cell r="L183" t="str">
            <v>No</v>
          </cell>
          <cell r="M183">
            <v>0</v>
          </cell>
          <cell r="N183">
            <v>0</v>
          </cell>
        </row>
        <row r="184">
          <cell r="A184" t="str">
            <v>FU0182</v>
          </cell>
          <cell r="B184" t="str">
            <v>Fusteltecnica</v>
          </cell>
          <cell r="C184" t="str">
            <v>R06884</v>
          </cell>
          <cell r="D184" t="str">
            <v>D&amp;G</v>
          </cell>
          <cell r="E184" t="str">
            <v>Astuccio colomba</v>
          </cell>
          <cell r="F184" t="str">
            <v>BOBST 1260</v>
          </cell>
          <cell r="G184">
            <v>1</v>
          </cell>
          <cell r="H184" t="str">
            <v>No</v>
          </cell>
          <cell r="I184" t="str">
            <v>Si</v>
          </cell>
          <cell r="J184" t="str">
            <v>No</v>
          </cell>
          <cell r="K184">
            <v>0</v>
          </cell>
          <cell r="L184" t="str">
            <v>Si</v>
          </cell>
          <cell r="M184" t="str">
            <v>DIana X80</v>
          </cell>
          <cell r="N184" t="str">
            <v>Lineare</v>
          </cell>
        </row>
        <row r="185">
          <cell r="A185" t="str">
            <v>FU0183</v>
          </cell>
          <cell r="B185" t="str">
            <v>Fusteltecnica</v>
          </cell>
          <cell r="C185" t="str">
            <v>G18697</v>
          </cell>
          <cell r="D185" t="str">
            <v>Cinturificio Bresciano</v>
          </cell>
          <cell r="E185" t="str">
            <v>Coperchi conveyor</v>
          </cell>
          <cell r="F185" t="str">
            <v>BOBST 1260</v>
          </cell>
          <cell r="G185">
            <v>2</v>
          </cell>
          <cell r="H185" t="str">
            <v>No</v>
          </cell>
          <cell r="I185" t="str">
            <v>Si</v>
          </cell>
          <cell r="J185" t="str">
            <v>No</v>
          </cell>
          <cell r="K185">
            <v>0</v>
          </cell>
          <cell r="L185" t="str">
            <v>Si</v>
          </cell>
          <cell r="M185" t="str">
            <v>Diana Pro 114</v>
          </cell>
          <cell r="N185" t="str">
            <v>Americana</v>
          </cell>
        </row>
        <row r="186">
          <cell r="A186" t="str">
            <v>FU0184</v>
          </cell>
          <cell r="B186" t="str">
            <v>Fusteltecnica</v>
          </cell>
          <cell r="C186" t="str">
            <v>E09737</v>
          </cell>
          <cell r="D186" t="str">
            <v>Feldi</v>
          </cell>
          <cell r="E186" t="str">
            <v>Astucci Tesmed - 244x52x287,5</v>
          </cell>
          <cell r="F186" t="str">
            <v>BOBST 1260</v>
          </cell>
          <cell r="G186">
            <v>2</v>
          </cell>
          <cell r="H186" t="str">
            <v>No</v>
          </cell>
          <cell r="I186" t="str">
            <v>Si</v>
          </cell>
          <cell r="J186" t="str">
            <v>No</v>
          </cell>
          <cell r="K186">
            <v>0</v>
          </cell>
          <cell r="L186" t="str">
            <v>Si</v>
          </cell>
          <cell r="M186" t="str">
            <v>DIana X80</v>
          </cell>
          <cell r="N186" t="str">
            <v>Lineare</v>
          </cell>
        </row>
        <row r="187">
          <cell r="A187" t="str">
            <v>FU0185</v>
          </cell>
          <cell r="B187" t="str">
            <v>Fusteltecnica</v>
          </cell>
          <cell r="C187" t="str">
            <v>M11678</v>
          </cell>
          <cell r="D187" t="str">
            <v>JBS</v>
          </cell>
          <cell r="E187" t="str">
            <v>Appendini Suiava</v>
          </cell>
          <cell r="F187" t="str">
            <v>BOBST 1260</v>
          </cell>
          <cell r="G187">
            <v>4</v>
          </cell>
          <cell r="H187" t="str">
            <v>No</v>
          </cell>
          <cell r="I187" t="str">
            <v>Si</v>
          </cell>
          <cell r="J187" t="str">
            <v>No</v>
          </cell>
          <cell r="K187">
            <v>0</v>
          </cell>
          <cell r="L187" t="str">
            <v>No</v>
          </cell>
          <cell r="M187">
            <v>0</v>
          </cell>
          <cell r="N187">
            <v>0</v>
          </cell>
        </row>
        <row r="188">
          <cell r="A188" t="str">
            <v>FU0186</v>
          </cell>
          <cell r="B188" t="str">
            <v>Fusteltecnica</v>
          </cell>
          <cell r="C188" t="str">
            <v>R06304</v>
          </cell>
          <cell r="D188" t="str">
            <v>Tradigo</v>
          </cell>
          <cell r="E188" t="str">
            <v>Espositori neutri</v>
          </cell>
          <cell r="F188" t="str">
            <v>BOBST 1260</v>
          </cell>
          <cell r="G188">
            <v>2</v>
          </cell>
          <cell r="H188" t="str">
            <v>No</v>
          </cell>
          <cell r="I188" t="str">
            <v>Si</v>
          </cell>
          <cell r="J188" t="str">
            <v>No</v>
          </cell>
          <cell r="K188">
            <v>0</v>
          </cell>
          <cell r="L188" t="str">
            <v>No</v>
          </cell>
          <cell r="M188">
            <v>0</v>
          </cell>
          <cell r="N188">
            <v>0</v>
          </cell>
        </row>
        <row r="189">
          <cell r="A189" t="str">
            <v>FU0187</v>
          </cell>
          <cell r="B189" t="str">
            <v>Fusteltecnica</v>
          </cell>
          <cell r="C189" t="str">
            <v>M05077</v>
          </cell>
          <cell r="D189" t="str">
            <v>Pantytex</v>
          </cell>
          <cell r="E189" t="str">
            <v>Buste hunkemoller soffietto</v>
          </cell>
          <cell r="F189" t="str">
            <v>BOBST 1260</v>
          </cell>
          <cell r="G189">
            <v>2</v>
          </cell>
          <cell r="H189" t="str">
            <v>No</v>
          </cell>
          <cell r="I189" t="str">
            <v>Si</v>
          </cell>
          <cell r="J189" t="str">
            <v>No</v>
          </cell>
          <cell r="K189">
            <v>0</v>
          </cell>
          <cell r="L189" t="str">
            <v>Si</v>
          </cell>
          <cell r="M189" t="str">
            <v>Diana Pro 114</v>
          </cell>
          <cell r="N189" t="str">
            <v>Soffietto</v>
          </cell>
        </row>
        <row r="190">
          <cell r="A190" t="str">
            <v>FU0188</v>
          </cell>
          <cell r="B190" t="str">
            <v>Fusteltecnica</v>
          </cell>
          <cell r="C190" t="str">
            <v>M04961</v>
          </cell>
          <cell r="D190" t="str">
            <v>Pantytex</v>
          </cell>
          <cell r="E190" t="str">
            <v>Appendini auchan</v>
          </cell>
          <cell r="F190" t="str">
            <v>BOBST 104</v>
          </cell>
          <cell r="G190">
            <v>4</v>
          </cell>
          <cell r="H190" t="str">
            <v>No</v>
          </cell>
          <cell r="I190" t="str">
            <v>No</v>
          </cell>
          <cell r="J190" t="str">
            <v>No</v>
          </cell>
          <cell r="K190">
            <v>0</v>
          </cell>
          <cell r="L190" t="str">
            <v>No</v>
          </cell>
          <cell r="M190">
            <v>0</v>
          </cell>
          <cell r="N190">
            <v>0</v>
          </cell>
        </row>
        <row r="191">
          <cell r="A191" t="str">
            <v>FU0189</v>
          </cell>
          <cell r="B191" t="str">
            <v>Fusteltecnica</v>
          </cell>
          <cell r="C191" t="str">
            <v>R02514</v>
          </cell>
          <cell r="D191" t="str">
            <v>Tradigo</v>
          </cell>
          <cell r="E191" t="str">
            <v>Espositore master autolucidante</v>
          </cell>
          <cell r="F191" t="str">
            <v>BOBST 1260</v>
          </cell>
          <cell r="G191">
            <v>1</v>
          </cell>
          <cell r="H191" t="str">
            <v>No</v>
          </cell>
          <cell r="I191" t="str">
            <v>Si</v>
          </cell>
          <cell r="J191" t="str">
            <v>No</v>
          </cell>
          <cell r="K191">
            <v>0</v>
          </cell>
          <cell r="L191" t="str">
            <v>No</v>
          </cell>
          <cell r="M191">
            <v>0</v>
          </cell>
          <cell r="N191">
            <v>0</v>
          </cell>
        </row>
        <row r="192">
          <cell r="A192" t="str">
            <v>FU0190</v>
          </cell>
          <cell r="B192" t="str">
            <v>Fusteltecnica</v>
          </cell>
          <cell r="C192" t="str">
            <v>R06246</v>
          </cell>
          <cell r="D192" t="str">
            <v>JBS</v>
          </cell>
          <cell r="E192" t="str">
            <v>Inserti laze abbinati</v>
          </cell>
          <cell r="F192" t="str">
            <v>BOBST 1260</v>
          </cell>
          <cell r="G192">
            <v>3</v>
          </cell>
          <cell r="H192" t="str">
            <v>No</v>
          </cell>
          <cell r="I192" t="str">
            <v>Si</v>
          </cell>
          <cell r="J192" t="str">
            <v>No</v>
          </cell>
          <cell r="K192">
            <v>0</v>
          </cell>
          <cell r="L192" t="str">
            <v>No</v>
          </cell>
          <cell r="M192">
            <v>0</v>
          </cell>
          <cell r="N192">
            <v>0</v>
          </cell>
        </row>
        <row r="193">
          <cell r="A193" t="str">
            <v>FU0191</v>
          </cell>
          <cell r="B193" t="str">
            <v>Fusteltecnica</v>
          </cell>
          <cell r="C193" t="str">
            <v>A04393</v>
          </cell>
          <cell r="D193" t="str">
            <v>Gianferrari</v>
          </cell>
          <cell r="E193" t="str">
            <v>Scatole thundersocks cubo</v>
          </cell>
          <cell r="F193" t="str">
            <v>BOBST 1260</v>
          </cell>
          <cell r="G193">
            <v>2</v>
          </cell>
          <cell r="H193" t="str">
            <v>No</v>
          </cell>
          <cell r="I193" t="str">
            <v>Si</v>
          </cell>
          <cell r="J193" t="str">
            <v>No</v>
          </cell>
          <cell r="K193">
            <v>0</v>
          </cell>
          <cell r="L193" t="str">
            <v>Si</v>
          </cell>
          <cell r="M193" t="str">
            <v>DIana X80</v>
          </cell>
          <cell r="N193" t="str">
            <v>Lineare</v>
          </cell>
        </row>
        <row r="194">
          <cell r="A194" t="str">
            <v>FU0192</v>
          </cell>
          <cell r="B194" t="str">
            <v>Fusteltecnica</v>
          </cell>
          <cell r="C194" t="str">
            <v>M04951</v>
          </cell>
          <cell r="D194" t="str">
            <v>Tracy</v>
          </cell>
          <cell r="E194" t="str">
            <v>Fascette rywan</v>
          </cell>
          <cell r="F194" t="str">
            <v>BOBST 104</v>
          </cell>
          <cell r="G194">
            <v>4</v>
          </cell>
          <cell r="H194" t="str">
            <v>No</v>
          </cell>
          <cell r="I194" t="str">
            <v>No</v>
          </cell>
          <cell r="J194" t="str">
            <v>No</v>
          </cell>
          <cell r="K194">
            <v>0</v>
          </cell>
          <cell r="L194" t="str">
            <v>No</v>
          </cell>
          <cell r="M194">
            <v>0</v>
          </cell>
          <cell r="N194">
            <v>0</v>
          </cell>
        </row>
        <row r="195">
          <cell r="A195" t="str">
            <v>FU0193</v>
          </cell>
          <cell r="B195" t="str">
            <v>Fusteltecnica</v>
          </cell>
          <cell r="C195" t="str">
            <v>R05891</v>
          </cell>
          <cell r="D195" t="str">
            <v>Quaranta</v>
          </cell>
          <cell r="E195" t="str">
            <v>Cappuccini nougat</v>
          </cell>
          <cell r="F195" t="str">
            <v>BOBST 104</v>
          </cell>
          <cell r="G195">
            <v>10</v>
          </cell>
          <cell r="H195" t="str">
            <v>No</v>
          </cell>
          <cell r="I195" t="str">
            <v>No</v>
          </cell>
          <cell r="J195" t="str">
            <v>No</v>
          </cell>
          <cell r="K195">
            <v>0</v>
          </cell>
          <cell r="L195" t="str">
            <v>Si</v>
          </cell>
          <cell r="M195" t="str">
            <v>DIana X80</v>
          </cell>
          <cell r="N195" t="str">
            <v>Lineare</v>
          </cell>
        </row>
        <row r="196">
          <cell r="A196" t="str">
            <v>FU0194</v>
          </cell>
          <cell r="B196" t="str">
            <v>Lasercom</v>
          </cell>
          <cell r="C196" t="str">
            <v>Lomba612</v>
          </cell>
          <cell r="D196" t="str">
            <v>Tracy</v>
          </cell>
          <cell r="E196" t="str">
            <v>Abbinato varese estex</v>
          </cell>
          <cell r="F196" t="str">
            <v>BOBST 104</v>
          </cell>
          <cell r="G196">
            <v>3</v>
          </cell>
          <cell r="H196" t="str">
            <v>No</v>
          </cell>
          <cell r="I196" t="str">
            <v>No</v>
          </cell>
          <cell r="J196" t="str">
            <v>No</v>
          </cell>
          <cell r="K196">
            <v>0</v>
          </cell>
          <cell r="L196" t="str">
            <v>No</v>
          </cell>
          <cell r="M196">
            <v>0</v>
          </cell>
          <cell r="N196">
            <v>0</v>
          </cell>
        </row>
        <row r="197">
          <cell r="A197" t="str">
            <v>FU0195</v>
          </cell>
          <cell r="B197" t="str">
            <v>Fusteltecnica</v>
          </cell>
          <cell r="C197" t="str">
            <v>R07132</v>
          </cell>
          <cell r="D197" t="str">
            <v>JBS</v>
          </cell>
          <cell r="E197" t="str">
            <v>Buste abbinate Caroline Fleming</v>
          </cell>
          <cell r="F197" t="str">
            <v>BOBST 1260</v>
          </cell>
          <cell r="G197">
            <v>2</v>
          </cell>
          <cell r="H197" t="str">
            <v>No</v>
          </cell>
          <cell r="I197" t="str">
            <v>Si</v>
          </cell>
          <cell r="J197" t="str">
            <v>No</v>
          </cell>
          <cell r="K197">
            <v>0</v>
          </cell>
          <cell r="L197" t="str">
            <v>Si</v>
          </cell>
          <cell r="M197" t="str">
            <v>Diana Pro 114</v>
          </cell>
          <cell r="N197" t="str">
            <v>Soffietto</v>
          </cell>
        </row>
        <row r="198">
          <cell r="A198" t="str">
            <v>FU0196</v>
          </cell>
          <cell r="B198" t="str">
            <v>Lasercom</v>
          </cell>
          <cell r="C198" t="str">
            <v>Lomb617</v>
          </cell>
          <cell r="D198" t="str">
            <v>Tradigo</v>
          </cell>
          <cell r="E198" t="str">
            <v>Abbitato lacci scarpe</v>
          </cell>
          <cell r="F198" t="str">
            <v>BOBST 1260</v>
          </cell>
          <cell r="G198">
            <v>8</v>
          </cell>
          <cell r="H198" t="str">
            <v>No</v>
          </cell>
          <cell r="I198" t="str">
            <v>Si</v>
          </cell>
          <cell r="J198" t="str">
            <v>No</v>
          </cell>
          <cell r="K198">
            <v>0</v>
          </cell>
          <cell r="L198" t="str">
            <v>Si</v>
          </cell>
          <cell r="M198" t="str">
            <v>Diana Pro 114</v>
          </cell>
          <cell r="N198" t="str">
            <v>Fondo Automatico</v>
          </cell>
        </row>
        <row r="199">
          <cell r="A199" t="str">
            <v>FU0197</v>
          </cell>
          <cell r="B199" t="str">
            <v>Lasercom</v>
          </cell>
          <cell r="C199" t="str">
            <v>Lomba619</v>
          </cell>
          <cell r="D199" t="str">
            <v>O.Erre</v>
          </cell>
          <cell r="E199" t="str">
            <v>Scatole abbinate</v>
          </cell>
          <cell r="F199" t="str">
            <v>BOBST 104</v>
          </cell>
          <cell r="G199">
            <v>2</v>
          </cell>
          <cell r="H199" t="str">
            <v>No</v>
          </cell>
          <cell r="I199" t="str">
            <v>No</v>
          </cell>
          <cell r="J199" t="str">
            <v>No</v>
          </cell>
          <cell r="K199">
            <v>0</v>
          </cell>
          <cell r="L199" t="str">
            <v>Si</v>
          </cell>
          <cell r="M199" t="str">
            <v>Diana Pro 114</v>
          </cell>
          <cell r="N199" t="str">
            <v>Fondo Automatico</v>
          </cell>
        </row>
        <row r="200">
          <cell r="A200" t="str">
            <v>FU0198</v>
          </cell>
          <cell r="B200" t="str">
            <v>Lasercom</v>
          </cell>
          <cell r="C200" t="str">
            <v>Lomba620</v>
          </cell>
          <cell r="D200" t="str">
            <v>O.Erre</v>
          </cell>
          <cell r="E200" t="str">
            <v>Scatola diverso</v>
          </cell>
          <cell r="F200" t="str">
            <v>BOBST 1260</v>
          </cell>
          <cell r="G200">
            <v>1</v>
          </cell>
          <cell r="H200" t="str">
            <v>No</v>
          </cell>
          <cell r="I200" t="str">
            <v>Si</v>
          </cell>
          <cell r="J200" t="str">
            <v>No</v>
          </cell>
          <cell r="K200">
            <v>0</v>
          </cell>
          <cell r="L200" t="str">
            <v>Si</v>
          </cell>
          <cell r="M200" t="str">
            <v>Diana Pro 114</v>
          </cell>
          <cell r="N200" t="str">
            <v>Fondo Automatico</v>
          </cell>
        </row>
        <row r="201">
          <cell r="A201" t="str">
            <v>FU0199</v>
          </cell>
          <cell r="B201" t="str">
            <v>Lasercom</v>
          </cell>
          <cell r="C201" t="str">
            <v>Lomba682</v>
          </cell>
          <cell r="D201" t="str">
            <v>Rcm</v>
          </cell>
          <cell r="E201" t="str">
            <v>Astucci Everline Vari</v>
          </cell>
          <cell r="F201" t="str">
            <v>BOBST 1260</v>
          </cell>
          <cell r="G201">
            <v>5</v>
          </cell>
          <cell r="H201" t="str">
            <v>No</v>
          </cell>
          <cell r="I201" t="str">
            <v>Si</v>
          </cell>
          <cell r="J201" t="str">
            <v>No</v>
          </cell>
          <cell r="K201">
            <v>0</v>
          </cell>
          <cell r="L201" t="str">
            <v>Si</v>
          </cell>
          <cell r="M201" t="str">
            <v>DIana X80</v>
          </cell>
          <cell r="N201" t="str">
            <v>Lineare</v>
          </cell>
        </row>
        <row r="202">
          <cell r="A202" t="str">
            <v>FU0200</v>
          </cell>
          <cell r="B202" t="str">
            <v>Fusteltecnica</v>
          </cell>
          <cell r="C202" t="str">
            <v>R06333</v>
          </cell>
          <cell r="D202" t="str">
            <v>D&amp;G</v>
          </cell>
          <cell r="E202" t="str">
            <v>Astucci Macaron</v>
          </cell>
          <cell r="F202" t="str">
            <v>BOBST 104</v>
          </cell>
          <cell r="G202">
            <v>2</v>
          </cell>
          <cell r="H202" t="str">
            <v>No</v>
          </cell>
          <cell r="I202" t="str">
            <v>No</v>
          </cell>
          <cell r="J202" t="str">
            <v>No</v>
          </cell>
          <cell r="K202">
            <v>0</v>
          </cell>
          <cell r="L202" t="str">
            <v>Si</v>
          </cell>
          <cell r="M202" t="str">
            <v>DIana X80</v>
          </cell>
          <cell r="N202" t="str">
            <v>Lineare</v>
          </cell>
        </row>
        <row r="203">
          <cell r="A203" t="str">
            <v>FU0201</v>
          </cell>
          <cell r="B203" t="str">
            <v>Lasercom</v>
          </cell>
          <cell r="C203" t="str">
            <v>Lomba621</v>
          </cell>
          <cell r="D203" t="str">
            <v>JBS</v>
          </cell>
          <cell r="E203" t="str">
            <v>Inserti Laze dorso 10</v>
          </cell>
          <cell r="F203" t="str">
            <v>BOBST 1260</v>
          </cell>
          <cell r="G203">
            <v>4</v>
          </cell>
          <cell r="H203" t="str">
            <v>No</v>
          </cell>
          <cell r="I203" t="str">
            <v>Si</v>
          </cell>
          <cell r="J203" t="str">
            <v>No</v>
          </cell>
          <cell r="K203">
            <v>0</v>
          </cell>
          <cell r="L203" t="str">
            <v>No</v>
          </cell>
          <cell r="M203">
            <v>0</v>
          </cell>
          <cell r="N203">
            <v>0</v>
          </cell>
        </row>
        <row r="204">
          <cell r="A204" t="str">
            <v>FU0202</v>
          </cell>
          <cell r="B204" t="str">
            <v>Fusteltecnica</v>
          </cell>
          <cell r="C204" t="str">
            <v>RO6390</v>
          </cell>
          <cell r="D204" t="str">
            <v>D&amp;G</v>
          </cell>
          <cell r="E204" t="str">
            <v>Astucci Pierre</v>
          </cell>
          <cell r="F204" t="str">
            <v>BOBST 1260</v>
          </cell>
          <cell r="G204">
            <v>2</v>
          </cell>
          <cell r="H204" t="str">
            <v>No</v>
          </cell>
          <cell r="I204" t="str">
            <v>Si</v>
          </cell>
          <cell r="J204" t="str">
            <v>No</v>
          </cell>
          <cell r="K204">
            <v>0</v>
          </cell>
          <cell r="L204" t="str">
            <v>Si</v>
          </cell>
          <cell r="M204" t="str">
            <v>DIana X80</v>
          </cell>
          <cell r="N204" t="str">
            <v>Lineare</v>
          </cell>
        </row>
        <row r="205">
          <cell r="A205" t="str">
            <v>FU0203</v>
          </cell>
          <cell r="B205" t="str">
            <v>Lasercom</v>
          </cell>
          <cell r="C205" t="str">
            <v>Lomba622</v>
          </cell>
          <cell r="D205" t="str">
            <v>JBS</v>
          </cell>
          <cell r="E205" t="str">
            <v>Appendini symfoni gambaletto</v>
          </cell>
          <cell r="F205" t="str">
            <v>BOBST 1260</v>
          </cell>
          <cell r="G205">
            <v>3</v>
          </cell>
          <cell r="H205" t="str">
            <v>No</v>
          </cell>
          <cell r="I205" t="str">
            <v>Si</v>
          </cell>
          <cell r="J205" t="str">
            <v>No</v>
          </cell>
          <cell r="K205">
            <v>0</v>
          </cell>
          <cell r="L205" t="str">
            <v>No</v>
          </cell>
          <cell r="M205">
            <v>0</v>
          </cell>
          <cell r="N205">
            <v>0</v>
          </cell>
        </row>
        <row r="206">
          <cell r="A206" t="str">
            <v>FU0204</v>
          </cell>
          <cell r="B206" t="str">
            <v>Fusteltecnica</v>
          </cell>
          <cell r="C206" t="str">
            <v>M05090</v>
          </cell>
          <cell r="D206" t="str">
            <v>JBS</v>
          </cell>
          <cell r="E206" t="str">
            <v>Buste symfoni 2x</v>
          </cell>
          <cell r="F206" t="str">
            <v>BOBST 1260</v>
          </cell>
          <cell r="G206">
            <v>3</v>
          </cell>
          <cell r="H206" t="str">
            <v>No</v>
          </cell>
          <cell r="I206" t="str">
            <v>Si</v>
          </cell>
          <cell r="J206" t="str">
            <v>No</v>
          </cell>
          <cell r="K206">
            <v>0</v>
          </cell>
          <cell r="L206" t="str">
            <v>Si</v>
          </cell>
          <cell r="M206" t="str">
            <v>Diana Pro 114</v>
          </cell>
          <cell r="N206" t="str">
            <v>Soffietto</v>
          </cell>
        </row>
        <row r="207">
          <cell r="A207" t="str">
            <v>FU0205</v>
          </cell>
          <cell r="B207" t="str">
            <v>Lasercom</v>
          </cell>
          <cell r="C207" t="str">
            <v>Lomb678N</v>
          </cell>
          <cell r="D207" t="str">
            <v>Univerciok</v>
          </cell>
          <cell r="E207" t="str">
            <v>Astucci frappe</v>
          </cell>
          <cell r="F207" t="str">
            <v>BOBST 104</v>
          </cell>
          <cell r="G207">
            <v>2</v>
          </cell>
          <cell r="H207" t="str">
            <v>No</v>
          </cell>
          <cell r="I207" t="str">
            <v>No</v>
          </cell>
          <cell r="J207" t="str">
            <v>No</v>
          </cell>
          <cell r="K207">
            <v>0</v>
          </cell>
          <cell r="L207" t="str">
            <v>Si</v>
          </cell>
          <cell r="M207" t="str">
            <v>Diana Pro 114</v>
          </cell>
          <cell r="N207" t="str">
            <v>Fondo Automatico</v>
          </cell>
        </row>
        <row r="208">
          <cell r="A208" t="str">
            <v>FU0206</v>
          </cell>
          <cell r="B208" t="str">
            <v>Fusteltecnica</v>
          </cell>
          <cell r="C208" t="str">
            <v>M04952</v>
          </cell>
          <cell r="D208" t="str">
            <v>Quaranta</v>
          </cell>
          <cell r="E208" t="str">
            <v>Espositore bocca di lupo</v>
          </cell>
          <cell r="F208" t="str">
            <v>BOBST 104</v>
          </cell>
          <cell r="G208">
            <v>1</v>
          </cell>
          <cell r="H208" t="str">
            <v>No</v>
          </cell>
          <cell r="I208" t="str">
            <v>No</v>
          </cell>
          <cell r="J208" t="str">
            <v>No</v>
          </cell>
          <cell r="K208">
            <v>0</v>
          </cell>
          <cell r="L208" t="str">
            <v>Si</v>
          </cell>
          <cell r="M208" t="str">
            <v>DIana X80</v>
          </cell>
          <cell r="N208" t="str">
            <v>Lineare</v>
          </cell>
        </row>
        <row r="209">
          <cell r="A209" t="str">
            <v>FU0207</v>
          </cell>
          <cell r="B209" t="str">
            <v>Fusteltecnica</v>
          </cell>
          <cell r="C209" t="str">
            <v>M05105</v>
          </cell>
          <cell r="D209" t="str">
            <v>Gallo</v>
          </cell>
          <cell r="E209" t="str">
            <v>Inserti gallo foto</v>
          </cell>
          <cell r="F209" t="str">
            <v>BOBST 1260</v>
          </cell>
          <cell r="G209">
            <v>7</v>
          </cell>
          <cell r="H209" t="str">
            <v>No</v>
          </cell>
          <cell r="I209" t="str">
            <v>Si</v>
          </cell>
          <cell r="J209" t="str">
            <v>No</v>
          </cell>
          <cell r="K209">
            <v>0</v>
          </cell>
          <cell r="L209" t="str">
            <v>No</v>
          </cell>
          <cell r="M209">
            <v>0</v>
          </cell>
          <cell r="N209">
            <v>0</v>
          </cell>
        </row>
        <row r="210">
          <cell r="A210" t="str">
            <v>FU0208</v>
          </cell>
          <cell r="B210" t="str">
            <v>Lasercom</v>
          </cell>
          <cell r="C210" t="str">
            <v>Lomba669</v>
          </cell>
          <cell r="D210" t="str">
            <v>Battaglio</v>
          </cell>
          <cell r="E210" t="str">
            <v>Cavallotti 3 orsi ideafissa</v>
          </cell>
          <cell r="F210" t="str">
            <v>BOBST 1260</v>
          </cell>
          <cell r="G210">
            <v>12</v>
          </cell>
          <cell r="H210" t="str">
            <v>No</v>
          </cell>
          <cell r="I210" t="str">
            <v>Si</v>
          </cell>
          <cell r="J210" t="str">
            <v>No</v>
          </cell>
          <cell r="K210">
            <v>0</v>
          </cell>
          <cell r="L210" t="str">
            <v>No</v>
          </cell>
          <cell r="M210">
            <v>0</v>
          </cell>
          <cell r="N210">
            <v>0</v>
          </cell>
        </row>
        <row r="211">
          <cell r="A211" t="str">
            <v>FU0209</v>
          </cell>
          <cell r="B211" t="str">
            <v>Lasercom</v>
          </cell>
          <cell r="C211" t="str">
            <v>Lomba120</v>
          </cell>
          <cell r="D211" t="str">
            <v>Tradigo</v>
          </cell>
          <cell r="E211" t="str">
            <v>Espositori GT vecchio formato</v>
          </cell>
          <cell r="F211" t="str">
            <v>BOBST 104</v>
          </cell>
          <cell r="G211">
            <v>2</v>
          </cell>
          <cell r="H211" t="str">
            <v>No</v>
          </cell>
          <cell r="I211" t="str">
            <v>No</v>
          </cell>
          <cell r="J211" t="str">
            <v>No</v>
          </cell>
          <cell r="K211">
            <v>0</v>
          </cell>
          <cell r="L211" t="str">
            <v>Si</v>
          </cell>
          <cell r="M211" t="str">
            <v>DIana X80</v>
          </cell>
          <cell r="N211" t="str">
            <v>Lineare</v>
          </cell>
        </row>
        <row r="212">
          <cell r="A212" t="str">
            <v>FU0210</v>
          </cell>
          <cell r="B212" t="str">
            <v>Lasercom</v>
          </cell>
          <cell r="C212" t="str">
            <v>Lomba626</v>
          </cell>
          <cell r="D212" t="str">
            <v>Elettroplastica</v>
          </cell>
          <cell r="E212" t="str">
            <v>Astucci docce nasali</v>
          </cell>
          <cell r="F212" t="str">
            <v>BOBST 1260</v>
          </cell>
          <cell r="G212">
            <v>4</v>
          </cell>
          <cell r="H212" t="str">
            <v>No</v>
          </cell>
          <cell r="I212" t="str">
            <v>Si</v>
          </cell>
          <cell r="J212" t="str">
            <v>No</v>
          </cell>
          <cell r="K212">
            <v>0</v>
          </cell>
          <cell r="L212" t="str">
            <v>Si</v>
          </cell>
          <cell r="M212" t="str">
            <v>DIana X80</v>
          </cell>
          <cell r="N212" t="str">
            <v>Lineare</v>
          </cell>
        </row>
        <row r="213">
          <cell r="A213" t="str">
            <v>FU0211</v>
          </cell>
          <cell r="B213" t="str">
            <v>Lasercom</v>
          </cell>
          <cell r="C213" t="str">
            <v>Lomba633</v>
          </cell>
          <cell r="D213" t="str">
            <v>Battaglio</v>
          </cell>
          <cell r="E213" t="str">
            <v>Cavallotti 3 orsi ideafissa</v>
          </cell>
          <cell r="F213" t="str">
            <v>BOBST 104</v>
          </cell>
          <cell r="G213">
            <v>8</v>
          </cell>
          <cell r="H213" t="str">
            <v>No</v>
          </cell>
          <cell r="I213" t="str">
            <v>No</v>
          </cell>
          <cell r="J213" t="str">
            <v>No</v>
          </cell>
          <cell r="K213">
            <v>0</v>
          </cell>
          <cell r="L213" t="str">
            <v>No</v>
          </cell>
          <cell r="M213">
            <v>0</v>
          </cell>
          <cell r="N213">
            <v>0</v>
          </cell>
        </row>
        <row r="214">
          <cell r="A214" t="str">
            <v>FU0212</v>
          </cell>
          <cell r="B214" t="str">
            <v>Lasercom</v>
          </cell>
          <cell r="C214" t="str">
            <v>Lomba625</v>
          </cell>
          <cell r="D214" t="str">
            <v>Elettroplastica</v>
          </cell>
          <cell r="E214" t="str">
            <v>Scatola turbo flow</v>
          </cell>
          <cell r="F214" t="str">
            <v>BOBST 1260</v>
          </cell>
          <cell r="G214">
            <v>2</v>
          </cell>
          <cell r="H214" t="str">
            <v>No</v>
          </cell>
          <cell r="I214" t="str">
            <v>Si</v>
          </cell>
          <cell r="J214" t="str">
            <v>No</v>
          </cell>
          <cell r="K214">
            <v>0</v>
          </cell>
          <cell r="L214" t="str">
            <v>Si</v>
          </cell>
          <cell r="M214" t="str">
            <v>DIana X80</v>
          </cell>
          <cell r="N214" t="str">
            <v>Lineare</v>
          </cell>
        </row>
        <row r="215">
          <cell r="A215" t="str">
            <v>FU0213</v>
          </cell>
          <cell r="B215" t="str">
            <v>Lasercom</v>
          </cell>
          <cell r="C215" t="str">
            <v>Lomba623</v>
          </cell>
          <cell r="D215" t="str">
            <v>Tracy</v>
          </cell>
          <cell r="E215" t="str">
            <v>Cavallotti rywan</v>
          </cell>
          <cell r="F215" t="str">
            <v>BOBST 104</v>
          </cell>
          <cell r="G215">
            <v>8</v>
          </cell>
          <cell r="H215" t="str">
            <v>No</v>
          </cell>
          <cell r="I215" t="str">
            <v>No</v>
          </cell>
          <cell r="J215" t="str">
            <v>No</v>
          </cell>
          <cell r="K215">
            <v>0</v>
          </cell>
          <cell r="L215" t="str">
            <v>No</v>
          </cell>
          <cell r="M215">
            <v>0</v>
          </cell>
          <cell r="N215">
            <v>0</v>
          </cell>
        </row>
        <row r="216">
          <cell r="A216" t="str">
            <v>FU0214</v>
          </cell>
          <cell r="B216" t="str">
            <v>Lasercom</v>
          </cell>
          <cell r="C216" t="str">
            <v>Lomb375N</v>
          </cell>
          <cell r="D216" t="str">
            <v>Pantytex</v>
          </cell>
          <cell r="E216" t="str">
            <v>Appendini Ellen Amber H20</v>
          </cell>
          <cell r="F216" t="str">
            <v>BOBST 104</v>
          </cell>
          <cell r="G216">
            <v>6</v>
          </cell>
          <cell r="H216" t="str">
            <v>Si</v>
          </cell>
          <cell r="I216" t="str">
            <v>No</v>
          </cell>
          <cell r="J216" t="str">
            <v>No</v>
          </cell>
          <cell r="K216">
            <v>0</v>
          </cell>
          <cell r="L216" t="str">
            <v>No</v>
          </cell>
          <cell r="M216">
            <v>0</v>
          </cell>
          <cell r="N216">
            <v>0</v>
          </cell>
        </row>
        <row r="217">
          <cell r="A217" t="str">
            <v>FU0215</v>
          </cell>
          <cell r="B217" t="str">
            <v>Lasercom</v>
          </cell>
          <cell r="C217" t="str">
            <v>Lomba200F</v>
          </cell>
          <cell r="D217" t="str">
            <v>Ercos</v>
          </cell>
          <cell r="E217" t="str">
            <v>Bauletto Doccia Saliscendi</v>
          </cell>
          <cell r="F217" t="str">
            <v>BOBST 104</v>
          </cell>
          <cell r="G217">
            <v>1</v>
          </cell>
          <cell r="H217" t="str">
            <v>Si</v>
          </cell>
          <cell r="I217" t="str">
            <v>No</v>
          </cell>
          <cell r="J217" t="str">
            <v>No</v>
          </cell>
          <cell r="K217">
            <v>0</v>
          </cell>
          <cell r="L217" t="str">
            <v>No</v>
          </cell>
          <cell r="M217">
            <v>0</v>
          </cell>
          <cell r="N217">
            <v>0</v>
          </cell>
        </row>
        <row r="218">
          <cell r="A218" t="str">
            <v>FU0216</v>
          </cell>
          <cell r="B218" t="str">
            <v>Lasercom</v>
          </cell>
          <cell r="C218" t="str">
            <v>Lomba468</v>
          </cell>
          <cell r="D218" t="str">
            <v>Elettroplastica</v>
          </cell>
          <cell r="E218" t="str">
            <v>Scatola Chicco A1450</v>
          </cell>
          <cell r="F218" t="str">
            <v>BOBST 1260</v>
          </cell>
          <cell r="G218">
            <v>2</v>
          </cell>
          <cell r="H218" t="str">
            <v>No</v>
          </cell>
          <cell r="I218" t="str">
            <v>Si</v>
          </cell>
          <cell r="J218" t="str">
            <v>No</v>
          </cell>
          <cell r="K218">
            <v>0</v>
          </cell>
          <cell r="L218" t="str">
            <v>Si</v>
          </cell>
          <cell r="M218" t="str">
            <v>DIana X80</v>
          </cell>
          <cell r="N218" t="str">
            <v>Lineare</v>
          </cell>
        </row>
        <row r="219">
          <cell r="A219" t="str">
            <v>FU0217</v>
          </cell>
          <cell r="B219" t="str">
            <v>Fusteltecnica</v>
          </cell>
          <cell r="C219" t="str">
            <v>A03676</v>
          </cell>
          <cell r="D219" t="str">
            <v>Rcm</v>
          </cell>
          <cell r="E219" t="str">
            <v>Espositore Perfect Skin</v>
          </cell>
          <cell r="F219" t="str">
            <v>BOBST 1260</v>
          </cell>
          <cell r="G219">
            <v>1</v>
          </cell>
          <cell r="H219" t="str">
            <v>No</v>
          </cell>
          <cell r="I219" t="str">
            <v>Si</v>
          </cell>
          <cell r="J219" t="str">
            <v>No</v>
          </cell>
          <cell r="K219">
            <v>0</v>
          </cell>
          <cell r="L219" t="str">
            <v>Si</v>
          </cell>
          <cell r="M219">
            <v>0</v>
          </cell>
          <cell r="N219" t="str">
            <v>Americana</v>
          </cell>
        </row>
        <row r="220">
          <cell r="A220" t="str">
            <v>FU0218</v>
          </cell>
          <cell r="B220" t="str">
            <v>Lasercom</v>
          </cell>
          <cell r="C220" t="str">
            <v>Lomba660</v>
          </cell>
          <cell r="D220" t="str">
            <v>Gallo</v>
          </cell>
          <cell r="E220" t="str">
            <v>Astucci blu sport</v>
          </cell>
          <cell r="F220" t="str">
            <v>BOBST 104</v>
          </cell>
          <cell r="G220">
            <v>8</v>
          </cell>
          <cell r="H220" t="str">
            <v>No</v>
          </cell>
          <cell r="I220" t="str">
            <v>No</v>
          </cell>
          <cell r="J220" t="str">
            <v>No</v>
          </cell>
          <cell r="K220">
            <v>0</v>
          </cell>
          <cell r="L220" t="str">
            <v>Si</v>
          </cell>
          <cell r="M220" t="str">
            <v>DIana X80</v>
          </cell>
          <cell r="N220" t="str">
            <v>Lineare</v>
          </cell>
        </row>
        <row r="221">
          <cell r="A221" t="str">
            <v>FU0219</v>
          </cell>
          <cell r="B221" t="str">
            <v>Lasercom</v>
          </cell>
          <cell r="C221" t="str">
            <v>Lomb507F</v>
          </cell>
          <cell r="D221" t="str">
            <v>Pasta Lensi</v>
          </cell>
          <cell r="E221" t="str">
            <v>Cavallotti Henji</v>
          </cell>
          <cell r="F221" t="str">
            <v>BOBST 104</v>
          </cell>
          <cell r="G221">
            <v>14</v>
          </cell>
          <cell r="H221" t="str">
            <v>No</v>
          </cell>
          <cell r="I221" t="str">
            <v>No</v>
          </cell>
          <cell r="J221" t="str">
            <v>No</v>
          </cell>
          <cell r="K221">
            <v>0</v>
          </cell>
          <cell r="L221" t="str">
            <v>No</v>
          </cell>
          <cell r="M221">
            <v>0</v>
          </cell>
          <cell r="N221">
            <v>0</v>
          </cell>
        </row>
        <row r="222">
          <cell r="A222" t="str">
            <v>FU0220</v>
          </cell>
          <cell r="B222" t="str">
            <v>Lasercom</v>
          </cell>
          <cell r="C222" t="str">
            <v>Lomb379U</v>
          </cell>
          <cell r="D222" t="str">
            <v>Elettroplastica</v>
          </cell>
          <cell r="E222" t="str">
            <v>Scatola Pic A1500/ A1501</v>
          </cell>
          <cell r="F222" t="str">
            <v>BOBST 104</v>
          </cell>
          <cell r="G222">
            <v>1</v>
          </cell>
          <cell r="H222" t="str">
            <v>Si</v>
          </cell>
          <cell r="I222" t="str">
            <v>No</v>
          </cell>
          <cell r="J222" t="str">
            <v>No</v>
          </cell>
          <cell r="K222">
            <v>0</v>
          </cell>
          <cell r="L222" t="str">
            <v>Si</v>
          </cell>
          <cell r="M222" t="str">
            <v>DIana X80</v>
          </cell>
          <cell r="N222" t="str">
            <v>Lineare</v>
          </cell>
        </row>
        <row r="223">
          <cell r="A223" t="str">
            <v>FU0221</v>
          </cell>
          <cell r="B223" t="str">
            <v>Fusteltecnica</v>
          </cell>
          <cell r="C223" t="str">
            <v>M02805</v>
          </cell>
          <cell r="D223" t="str">
            <v>Elettroplastica</v>
          </cell>
          <cell r="E223" t="str">
            <v>Scatola Pic A1200</v>
          </cell>
          <cell r="F223" t="str">
            <v>BOBST 104</v>
          </cell>
          <cell r="G223">
            <v>1</v>
          </cell>
          <cell r="H223" t="str">
            <v>Si</v>
          </cell>
          <cell r="I223" t="str">
            <v>No</v>
          </cell>
          <cell r="J223" t="str">
            <v>No</v>
          </cell>
          <cell r="K223">
            <v>0</v>
          </cell>
          <cell r="L223" t="str">
            <v>Si</v>
          </cell>
          <cell r="M223" t="str">
            <v>DIana X80</v>
          </cell>
          <cell r="N223" t="str">
            <v>Lineare</v>
          </cell>
        </row>
        <row r="224">
          <cell r="A224" t="str">
            <v>FU0222</v>
          </cell>
          <cell r="B224" t="str">
            <v>Lasercom</v>
          </cell>
          <cell r="C224" t="str">
            <v>Lomba429</v>
          </cell>
          <cell r="D224" t="str">
            <v>Tracy</v>
          </cell>
          <cell r="E224" t="str">
            <v>Appendini Jennifer</v>
          </cell>
          <cell r="F224" t="str">
            <v>BOBST 1260</v>
          </cell>
          <cell r="G224">
            <v>4</v>
          </cell>
          <cell r="H224" t="str">
            <v>Si</v>
          </cell>
          <cell r="I224" t="str">
            <v>Si</v>
          </cell>
          <cell r="J224" t="str">
            <v>No</v>
          </cell>
          <cell r="K224">
            <v>0</v>
          </cell>
          <cell r="L224" t="str">
            <v>No</v>
          </cell>
          <cell r="M224">
            <v>0</v>
          </cell>
          <cell r="N224">
            <v>0</v>
          </cell>
        </row>
        <row r="225">
          <cell r="A225" t="str">
            <v>FU0223</v>
          </cell>
          <cell r="B225" t="str">
            <v>Fusteltecnica</v>
          </cell>
          <cell r="C225" t="str">
            <v>E13714</v>
          </cell>
          <cell r="D225" t="str">
            <v>CRM</v>
          </cell>
          <cell r="E225" t="str">
            <v>Buste Coop Gambetto Alte</v>
          </cell>
          <cell r="F225" t="str">
            <v>BOBST 104</v>
          </cell>
          <cell r="G225">
            <v>6</v>
          </cell>
          <cell r="H225" t="str">
            <v>Si</v>
          </cell>
          <cell r="I225" t="str">
            <v>No</v>
          </cell>
          <cell r="J225" t="str">
            <v>No</v>
          </cell>
          <cell r="K225">
            <v>0</v>
          </cell>
          <cell r="L225" t="str">
            <v>Si</v>
          </cell>
          <cell r="M225" t="str">
            <v>Diana Pro 114</v>
          </cell>
          <cell r="N225" t="str">
            <v>Soffietto</v>
          </cell>
        </row>
        <row r="226">
          <cell r="A226" t="str">
            <v>FU0224</v>
          </cell>
          <cell r="B226" t="str">
            <v>Fusteltecnica</v>
          </cell>
          <cell r="C226" t="str">
            <v>M02233</v>
          </cell>
          <cell r="D226" t="str">
            <v>JBS</v>
          </cell>
          <cell r="E226" t="str">
            <v>Buste Stinna Collant</v>
          </cell>
          <cell r="F226" t="str">
            <v>BOBST 104</v>
          </cell>
          <cell r="G226">
            <v>4</v>
          </cell>
          <cell r="H226" t="str">
            <v>Si</v>
          </cell>
          <cell r="I226" t="str">
            <v>No</v>
          </cell>
          <cell r="J226" t="str">
            <v>No</v>
          </cell>
          <cell r="K226">
            <v>0</v>
          </cell>
          <cell r="L226" t="str">
            <v>Si</v>
          </cell>
          <cell r="M226" t="str">
            <v>Diana Pro 114</v>
          </cell>
          <cell r="N226" t="str">
            <v>Soffietto</v>
          </cell>
        </row>
        <row r="227">
          <cell r="A227" t="str">
            <v>FU0225</v>
          </cell>
          <cell r="B227" t="str">
            <v>Fusteltecnica</v>
          </cell>
          <cell r="C227" t="str">
            <v>R01208</v>
          </cell>
          <cell r="D227" t="str">
            <v>Tracy</v>
          </cell>
          <cell r="E227" t="str">
            <v>Appendini Rywan HD - Dorso 23</v>
          </cell>
          <cell r="F227" t="str">
            <v>BOBST 104</v>
          </cell>
          <cell r="G227">
            <v>4</v>
          </cell>
          <cell r="H227" t="str">
            <v>Si</v>
          </cell>
          <cell r="I227" t="str">
            <v>No</v>
          </cell>
          <cell r="J227" t="str">
            <v>No</v>
          </cell>
          <cell r="K227">
            <v>0</v>
          </cell>
          <cell r="L227" t="str">
            <v>No</v>
          </cell>
          <cell r="M227">
            <v>0</v>
          </cell>
          <cell r="N227">
            <v>0</v>
          </cell>
        </row>
        <row r="228">
          <cell r="A228" t="str">
            <v>FU0226</v>
          </cell>
          <cell r="B228" t="str">
            <v>Lasercom</v>
          </cell>
          <cell r="C228" t="str">
            <v>Lomba421</v>
          </cell>
          <cell r="D228" t="str">
            <v>Gallo</v>
          </cell>
          <cell r="E228" t="str">
            <v>Solette</v>
          </cell>
          <cell r="F228" t="str">
            <v>BOBST 104</v>
          </cell>
          <cell r="G228">
            <v>8</v>
          </cell>
          <cell r="H228" t="str">
            <v>No</v>
          </cell>
          <cell r="I228" t="str">
            <v>No</v>
          </cell>
          <cell r="J228" t="str">
            <v>No</v>
          </cell>
          <cell r="K228">
            <v>0</v>
          </cell>
          <cell r="L228" t="str">
            <v>No</v>
          </cell>
          <cell r="M228">
            <v>0</v>
          </cell>
          <cell r="N228">
            <v>0</v>
          </cell>
        </row>
        <row r="229">
          <cell r="A229" t="str">
            <v>FU0227</v>
          </cell>
          <cell r="B229" t="str">
            <v>Fusteltecnica</v>
          </cell>
          <cell r="C229" t="str">
            <v>E09778</v>
          </cell>
          <cell r="D229" t="str">
            <v>Paleni</v>
          </cell>
          <cell r="E229" t="str">
            <v>Bauletti formaggi</v>
          </cell>
          <cell r="F229" t="str">
            <v>BOBST 1260</v>
          </cell>
          <cell r="G229">
            <v>2</v>
          </cell>
          <cell r="H229" t="str">
            <v>No</v>
          </cell>
          <cell r="I229" t="str">
            <v>Si</v>
          </cell>
          <cell r="J229" t="str">
            <v>No</v>
          </cell>
          <cell r="K229">
            <v>0</v>
          </cell>
          <cell r="L229" t="str">
            <v>No</v>
          </cell>
          <cell r="M229">
            <v>0</v>
          </cell>
          <cell r="N229">
            <v>0</v>
          </cell>
        </row>
        <row r="230">
          <cell r="A230" t="str">
            <v>FU0228</v>
          </cell>
          <cell r="B230" t="str">
            <v>Fusteltecnica</v>
          </cell>
          <cell r="C230" t="str">
            <v>E09822</v>
          </cell>
          <cell r="D230" t="str">
            <v>Rcm</v>
          </cell>
          <cell r="E230" t="str">
            <v>Astucci Natale 2022</v>
          </cell>
          <cell r="F230" t="str">
            <v>BOBST 104</v>
          </cell>
          <cell r="G230">
            <v>8</v>
          </cell>
          <cell r="H230" t="str">
            <v>No</v>
          </cell>
          <cell r="I230" t="str">
            <v>No</v>
          </cell>
          <cell r="J230" t="str">
            <v>No</v>
          </cell>
          <cell r="K230">
            <v>0</v>
          </cell>
          <cell r="L230" t="str">
            <v>Si</v>
          </cell>
          <cell r="M230" t="str">
            <v>DIana X80</v>
          </cell>
          <cell r="N230" t="str">
            <v>Lineare</v>
          </cell>
        </row>
        <row r="231">
          <cell r="A231" t="str">
            <v>FU0229</v>
          </cell>
          <cell r="B231" t="str">
            <v>Fusteltecnica</v>
          </cell>
          <cell r="C231" t="str">
            <v>E09854</v>
          </cell>
          <cell r="D231" t="str">
            <v>La capsuleria</v>
          </cell>
          <cell r="E231" t="str">
            <v>Astucci fondo automatico 90 x 90 x 180</v>
          </cell>
          <cell r="F231" t="str">
            <v>BOBST 1260</v>
          </cell>
          <cell r="G231">
            <v>4</v>
          </cell>
          <cell r="H231" t="str">
            <v>No</v>
          </cell>
          <cell r="I231" t="str">
            <v>Si</v>
          </cell>
          <cell r="J231" t="str">
            <v>No</v>
          </cell>
          <cell r="K231">
            <v>0</v>
          </cell>
          <cell r="L231" t="str">
            <v>Si</v>
          </cell>
          <cell r="M231" t="str">
            <v>Diana Pro 114</v>
          </cell>
          <cell r="N231" t="str">
            <v>Fondo Automatico</v>
          </cell>
        </row>
        <row r="232">
          <cell r="A232" t="str">
            <v>FU0230</v>
          </cell>
          <cell r="B232" t="str">
            <v>Lasercom</v>
          </cell>
          <cell r="C232" t="str">
            <v>Lomba186</v>
          </cell>
          <cell r="D232" t="str">
            <v>Muninord</v>
          </cell>
          <cell r="E232" t="str">
            <v>Astucci cartucce</v>
          </cell>
          <cell r="F232" t="str">
            <v>BOBST 104</v>
          </cell>
          <cell r="G232">
            <v>4</v>
          </cell>
          <cell r="H232" t="str">
            <v>Si</v>
          </cell>
          <cell r="I232" t="str">
            <v>No</v>
          </cell>
          <cell r="J232" t="str">
            <v>No</v>
          </cell>
          <cell r="K232">
            <v>0</v>
          </cell>
          <cell r="L232" t="str">
            <v>Si</v>
          </cell>
          <cell r="M232" t="str">
            <v>Diana Pro 114</v>
          </cell>
          <cell r="N232" t="str">
            <v>Fondo Automatico</v>
          </cell>
        </row>
        <row r="233">
          <cell r="A233" t="str">
            <v>FU0231</v>
          </cell>
          <cell r="B233" t="str">
            <v>Fusteltecnica</v>
          </cell>
          <cell r="C233" t="str">
            <v>A02626</v>
          </cell>
          <cell r="D233" t="str">
            <v>Pantytex</v>
          </cell>
          <cell r="E233" t="str">
            <v>Astucci Kruidvat Gambaletto</v>
          </cell>
          <cell r="F233" t="str">
            <v>BOBST 104</v>
          </cell>
          <cell r="G233">
            <v>8</v>
          </cell>
          <cell r="H233" t="str">
            <v>Si</v>
          </cell>
          <cell r="I233" t="str">
            <v>No</v>
          </cell>
          <cell r="J233" t="str">
            <v>No</v>
          </cell>
          <cell r="K233">
            <v>0</v>
          </cell>
          <cell r="L233" t="str">
            <v>Si</v>
          </cell>
          <cell r="M233" t="str">
            <v>DIana X80</v>
          </cell>
          <cell r="N233" t="str">
            <v>Lineare</v>
          </cell>
        </row>
        <row r="234">
          <cell r="A234" t="str">
            <v>FU0232</v>
          </cell>
          <cell r="B234" t="str">
            <v>Lasercom</v>
          </cell>
          <cell r="C234" t="str">
            <v>Lomb191N</v>
          </cell>
          <cell r="D234" t="str">
            <v>Magazzini del Caffè</v>
          </cell>
          <cell r="E234" t="str">
            <v>Bahia 50 micro</v>
          </cell>
          <cell r="F234" t="str">
            <v>BOBST 1260</v>
          </cell>
          <cell r="G234">
            <v>2</v>
          </cell>
          <cell r="H234" t="str">
            <v>Si</v>
          </cell>
          <cell r="I234" t="str">
            <v>Si</v>
          </cell>
          <cell r="J234" t="str">
            <v>No</v>
          </cell>
          <cell r="K234">
            <v>0</v>
          </cell>
          <cell r="L234" t="str">
            <v>Si</v>
          </cell>
          <cell r="M234" t="str">
            <v>Diana Pro 114</v>
          </cell>
          <cell r="N234" t="str">
            <v>Fondo Automatico</v>
          </cell>
        </row>
        <row r="235">
          <cell r="A235" t="str">
            <v>FU0233</v>
          </cell>
          <cell r="B235" t="str">
            <v>Fusteltecnica</v>
          </cell>
          <cell r="C235" t="str">
            <v>R02856</v>
          </cell>
          <cell r="D235" t="str">
            <v>JBS</v>
          </cell>
          <cell r="E235" t="str">
            <v>Buste Caroline Fleming - Collant Medio</v>
          </cell>
          <cell r="F235" t="str">
            <v>BOBST 1260</v>
          </cell>
          <cell r="G235">
            <v>5</v>
          </cell>
          <cell r="H235" t="str">
            <v>Si</v>
          </cell>
          <cell r="I235" t="str">
            <v>Si</v>
          </cell>
          <cell r="J235" t="str">
            <v>No</v>
          </cell>
          <cell r="K235">
            <v>0</v>
          </cell>
          <cell r="L235" t="str">
            <v>Si</v>
          </cell>
          <cell r="M235" t="str">
            <v>Diana Pro 114</v>
          </cell>
          <cell r="N235" t="str">
            <v>Soffietto</v>
          </cell>
        </row>
        <row r="236">
          <cell r="A236" t="str">
            <v>FU0234</v>
          </cell>
          <cell r="B236" t="str">
            <v>Fusteltecnica</v>
          </cell>
          <cell r="C236" t="str">
            <v>G18658</v>
          </cell>
          <cell r="D236" t="str">
            <v>Pantytex</v>
          </cell>
          <cell r="E236" t="str">
            <v>Astucci Hema H18</v>
          </cell>
          <cell r="F236" t="str">
            <v>BOBST 104</v>
          </cell>
          <cell r="G236">
            <v>6</v>
          </cell>
          <cell r="H236" t="str">
            <v>Si</v>
          </cell>
          <cell r="I236" t="str">
            <v>No</v>
          </cell>
          <cell r="J236" t="str">
            <v>No</v>
          </cell>
          <cell r="K236">
            <v>0</v>
          </cell>
          <cell r="L236" t="str">
            <v>Si</v>
          </cell>
          <cell r="M236" t="str">
            <v>DIana X80</v>
          </cell>
          <cell r="N236" t="str">
            <v>Lineare</v>
          </cell>
        </row>
        <row r="237">
          <cell r="A237" t="str">
            <v>FU0235</v>
          </cell>
          <cell r="B237" t="str">
            <v>Fusteltecnica</v>
          </cell>
          <cell r="C237" t="str">
            <v>R03970</v>
          </cell>
          <cell r="D237" t="str">
            <v>Bergen</v>
          </cell>
          <cell r="E237" t="str">
            <v>Interni Micro Selly</v>
          </cell>
          <cell r="F237" t="str">
            <v>BOBST 1260</v>
          </cell>
          <cell r="G237">
            <v>12</v>
          </cell>
          <cell r="H237" t="str">
            <v>Si</v>
          </cell>
          <cell r="I237" t="str">
            <v>Si</v>
          </cell>
          <cell r="J237" t="str">
            <v>No</v>
          </cell>
          <cell r="K237">
            <v>0</v>
          </cell>
          <cell r="L237" t="str">
            <v>No</v>
          </cell>
          <cell r="M237">
            <v>0</v>
          </cell>
          <cell r="N237">
            <v>0</v>
          </cell>
        </row>
        <row r="238">
          <cell r="A238" t="str">
            <v>FU0236</v>
          </cell>
          <cell r="B238" t="str">
            <v>Fusteltecnica</v>
          </cell>
          <cell r="C238" t="str">
            <v>E13470</v>
          </cell>
          <cell r="D238" t="str">
            <v>Girardi</v>
          </cell>
          <cell r="E238" t="str">
            <v>Appendini Neri</v>
          </cell>
          <cell r="F238" t="str">
            <v>BOBST 104</v>
          </cell>
          <cell r="G238">
            <v>6</v>
          </cell>
          <cell r="H238" t="str">
            <v>Si</v>
          </cell>
          <cell r="I238" t="str">
            <v>No</v>
          </cell>
          <cell r="J238" t="str">
            <v>No</v>
          </cell>
          <cell r="K238">
            <v>0</v>
          </cell>
          <cell r="L238" t="str">
            <v>No</v>
          </cell>
          <cell r="M238">
            <v>0</v>
          </cell>
          <cell r="N238">
            <v>0</v>
          </cell>
        </row>
        <row r="239">
          <cell r="A239" t="str">
            <v>FU0237</v>
          </cell>
          <cell r="B239" t="str">
            <v>Fusteltecnica</v>
          </cell>
          <cell r="C239" t="str">
            <v>E14724</v>
          </cell>
          <cell r="D239" t="str">
            <v>Girardi</v>
          </cell>
          <cell r="E239" t="str">
            <v>Inserti Classici</v>
          </cell>
          <cell r="F239" t="str">
            <v>BOBST 104</v>
          </cell>
          <cell r="G239">
            <v>8</v>
          </cell>
          <cell r="H239" t="str">
            <v>Si</v>
          </cell>
          <cell r="I239" t="str">
            <v>No</v>
          </cell>
          <cell r="J239" t="str">
            <v>No</v>
          </cell>
          <cell r="K239">
            <v>0</v>
          </cell>
          <cell r="L239" t="str">
            <v>No</v>
          </cell>
          <cell r="M239">
            <v>0</v>
          </cell>
          <cell r="N239">
            <v>0</v>
          </cell>
        </row>
        <row r="240">
          <cell r="A240" t="str">
            <v>FU0238</v>
          </cell>
          <cell r="B240" t="str">
            <v>Fusteltecnica</v>
          </cell>
          <cell r="C240" t="str">
            <v>M00457</v>
          </cell>
          <cell r="D240" t="str">
            <v>Girardi</v>
          </cell>
          <cell r="E240" t="str">
            <v>Appendini Neri</v>
          </cell>
          <cell r="F240" t="str">
            <v>BOBST 1260</v>
          </cell>
          <cell r="G240">
            <v>6</v>
          </cell>
          <cell r="H240" t="str">
            <v>Si</v>
          </cell>
          <cell r="I240" t="str">
            <v>Si</v>
          </cell>
          <cell r="J240" t="str">
            <v>No</v>
          </cell>
          <cell r="K240">
            <v>0</v>
          </cell>
          <cell r="L240" t="str">
            <v>No</v>
          </cell>
          <cell r="M240">
            <v>0</v>
          </cell>
          <cell r="N240">
            <v>0</v>
          </cell>
        </row>
        <row r="241">
          <cell r="A241" t="str">
            <v>FU0239</v>
          </cell>
          <cell r="B241" t="str">
            <v>Fusteltecnica</v>
          </cell>
          <cell r="C241" t="str">
            <v>E15630</v>
          </cell>
          <cell r="D241" t="str">
            <v>Girardi</v>
          </cell>
          <cell r="E241" t="str">
            <v>Inserti Girardi</v>
          </cell>
          <cell r="F241" t="str">
            <v>BOBST 104</v>
          </cell>
          <cell r="G241">
            <v>8</v>
          </cell>
          <cell r="H241" t="str">
            <v>Si</v>
          </cell>
          <cell r="I241" t="str">
            <v>No</v>
          </cell>
          <cell r="J241" t="str">
            <v>No</v>
          </cell>
          <cell r="K241">
            <v>0</v>
          </cell>
          <cell r="L241" t="str">
            <v>No</v>
          </cell>
          <cell r="M241">
            <v>0</v>
          </cell>
          <cell r="N241">
            <v>0</v>
          </cell>
        </row>
        <row r="242">
          <cell r="A242" t="str">
            <v>FU0240</v>
          </cell>
          <cell r="B242" t="str">
            <v>Fusteltecnica</v>
          </cell>
          <cell r="C242" t="str">
            <v>M05467</v>
          </cell>
          <cell r="D242" t="str">
            <v>Pantytex</v>
          </cell>
          <cell r="E242" t="str">
            <v xml:space="preserve">Appendini Tchibo 1x </v>
          </cell>
          <cell r="F242" t="str">
            <v>BOBST 104</v>
          </cell>
          <cell r="G242">
            <v>8</v>
          </cell>
          <cell r="H242" t="str">
            <v>Si</v>
          </cell>
          <cell r="I242" t="str">
            <v>No</v>
          </cell>
          <cell r="J242" t="str">
            <v>No</v>
          </cell>
          <cell r="K242">
            <v>0</v>
          </cell>
          <cell r="L242" t="str">
            <v>No</v>
          </cell>
          <cell r="M242">
            <v>0</v>
          </cell>
          <cell r="N242">
            <v>0</v>
          </cell>
        </row>
        <row r="243">
          <cell r="A243" t="str">
            <v>FU0241</v>
          </cell>
          <cell r="B243" t="str">
            <v>Fusteltecnica</v>
          </cell>
          <cell r="C243" t="str">
            <v>R07252</v>
          </cell>
          <cell r="D243" t="str">
            <v>Pantytex</v>
          </cell>
          <cell r="E243" t="str">
            <v>App Hema Bimba D70</v>
          </cell>
          <cell r="F243" t="str">
            <v>BOBST 104</v>
          </cell>
          <cell r="G243">
            <v>6</v>
          </cell>
          <cell r="H243" t="str">
            <v>Si</v>
          </cell>
          <cell r="I243" t="str">
            <v>No</v>
          </cell>
          <cell r="J243" t="str">
            <v>No</v>
          </cell>
          <cell r="K243">
            <v>0</v>
          </cell>
          <cell r="L243" t="str">
            <v>No</v>
          </cell>
          <cell r="M243">
            <v>0</v>
          </cell>
          <cell r="N243">
            <v>0</v>
          </cell>
        </row>
        <row r="244">
          <cell r="A244" t="str">
            <v>FU0242</v>
          </cell>
          <cell r="B244" t="str">
            <v>Fusteltecnica</v>
          </cell>
          <cell r="C244" t="str">
            <v>G19003</v>
          </cell>
          <cell r="D244" t="str">
            <v>Girardi</v>
          </cell>
          <cell r="E244" t="str">
            <v>Fondi h70</v>
          </cell>
          <cell r="F244" t="str">
            <v>BOBST 1260</v>
          </cell>
          <cell r="G244">
            <v>4</v>
          </cell>
          <cell r="H244" t="str">
            <v>Si</v>
          </cell>
          <cell r="I244" t="str">
            <v>Si</v>
          </cell>
          <cell r="J244" t="str">
            <v>No</v>
          </cell>
          <cell r="K244">
            <v>0</v>
          </cell>
          <cell r="L244" t="str">
            <v>Si</v>
          </cell>
          <cell r="M244" t="str">
            <v>Diana Pro 114</v>
          </cell>
          <cell r="N244" t="str">
            <v>Quattro angoli</v>
          </cell>
        </row>
        <row r="245">
          <cell r="A245" t="str">
            <v>FU0243</v>
          </cell>
          <cell r="B245" t="str">
            <v>Fusteltecnica</v>
          </cell>
          <cell r="C245" t="str">
            <v>G18889</v>
          </cell>
          <cell r="D245" t="str">
            <v>Girardi</v>
          </cell>
          <cell r="E245" t="str">
            <v>Coperchi h 70</v>
          </cell>
          <cell r="F245" t="str">
            <v>BOBST 1260</v>
          </cell>
          <cell r="G245">
            <v>4</v>
          </cell>
          <cell r="H245" t="str">
            <v>Si</v>
          </cell>
          <cell r="I245" t="str">
            <v>Si</v>
          </cell>
          <cell r="J245" t="str">
            <v>No</v>
          </cell>
          <cell r="K245">
            <v>0</v>
          </cell>
          <cell r="L245" t="str">
            <v>Si</v>
          </cell>
          <cell r="M245" t="str">
            <v>Diana Pro 114</v>
          </cell>
          <cell r="N245" t="str">
            <v>Quattro angoli</v>
          </cell>
        </row>
        <row r="246">
          <cell r="A246" t="str">
            <v>FU0244</v>
          </cell>
          <cell r="B246" t="str">
            <v>Fusteltecnica</v>
          </cell>
          <cell r="C246" t="str">
            <v>E14533</v>
          </cell>
          <cell r="D246" t="str">
            <v>Girardi</v>
          </cell>
          <cell r="E246" t="str">
            <v>6 Inserti + 4 Piccoli</v>
          </cell>
          <cell r="F246" t="str">
            <v>BOBST 104</v>
          </cell>
          <cell r="G246">
            <v>10</v>
          </cell>
          <cell r="H246" t="str">
            <v>Si</v>
          </cell>
          <cell r="I246" t="str">
            <v>No</v>
          </cell>
          <cell r="J246" t="str">
            <v>No</v>
          </cell>
          <cell r="K246">
            <v>0</v>
          </cell>
          <cell r="L246" t="str">
            <v>No</v>
          </cell>
          <cell r="M246">
            <v>0</v>
          </cell>
          <cell r="N246">
            <v>0</v>
          </cell>
        </row>
        <row r="247">
          <cell r="A247" t="str">
            <v>FU0245</v>
          </cell>
          <cell r="B247" t="str">
            <v>Fusteltecnica</v>
          </cell>
          <cell r="C247" t="str">
            <v>E14378</v>
          </cell>
          <cell r="D247" t="str">
            <v>Girardi</v>
          </cell>
          <cell r="E247" t="str">
            <v>Fondo + Coperchio H58</v>
          </cell>
          <cell r="F247" t="str">
            <v>BOBST 1260</v>
          </cell>
          <cell r="G247">
            <v>2</v>
          </cell>
          <cell r="H247" t="str">
            <v>Si</v>
          </cell>
          <cell r="I247" t="str">
            <v>Si</v>
          </cell>
          <cell r="J247" t="str">
            <v>No</v>
          </cell>
          <cell r="K247">
            <v>0</v>
          </cell>
          <cell r="L247" t="str">
            <v>Si</v>
          </cell>
          <cell r="M247" t="str">
            <v>Diana Pro 114</v>
          </cell>
          <cell r="N247" t="str">
            <v>Quattro angoli</v>
          </cell>
        </row>
        <row r="248">
          <cell r="A248" t="str">
            <v>FU0246</v>
          </cell>
          <cell r="B248" t="str">
            <v>Fusteltecnica</v>
          </cell>
          <cell r="C248" t="str">
            <v>E00980</v>
          </cell>
          <cell r="D248" t="str">
            <v>Girardi</v>
          </cell>
          <cell r="E248" t="str">
            <v>Inserti Girardi Foto</v>
          </cell>
          <cell r="F248" t="str">
            <v>BOBST 1260</v>
          </cell>
          <cell r="G248">
            <v>8</v>
          </cell>
          <cell r="H248" t="str">
            <v>Si</v>
          </cell>
          <cell r="I248" t="str">
            <v>Si</v>
          </cell>
          <cell r="J248" t="str">
            <v>No</v>
          </cell>
          <cell r="K248">
            <v>0</v>
          </cell>
          <cell r="L248" t="str">
            <v>No</v>
          </cell>
          <cell r="M248">
            <v>0</v>
          </cell>
          <cell r="N248">
            <v>0</v>
          </cell>
        </row>
        <row r="249">
          <cell r="A249" t="str">
            <v>FU0247</v>
          </cell>
          <cell r="B249" t="str">
            <v>Fusteltecnica</v>
          </cell>
          <cell r="C249" t="str">
            <v>E09871</v>
          </cell>
          <cell r="D249" t="str">
            <v>RCM</v>
          </cell>
          <cell r="E249" t="str">
            <v>Astucci mon shampoing ART 11</v>
          </cell>
          <cell r="F249" t="str">
            <v>BOBST 104</v>
          </cell>
          <cell r="G249">
            <v>2</v>
          </cell>
          <cell r="H249" t="str">
            <v>No</v>
          </cell>
          <cell r="I249" t="str">
            <v>No</v>
          </cell>
          <cell r="J249" t="str">
            <v>No</v>
          </cell>
          <cell r="K249">
            <v>0</v>
          </cell>
          <cell r="L249" t="str">
            <v>Si</v>
          </cell>
          <cell r="M249" t="str">
            <v>DIana X80</v>
          </cell>
          <cell r="N249" t="str">
            <v>Lineare</v>
          </cell>
        </row>
        <row r="250">
          <cell r="A250" t="str">
            <v>FU0248</v>
          </cell>
          <cell r="B250" t="str">
            <v>Fusteltecnica</v>
          </cell>
          <cell r="C250" t="str">
            <v>M11691</v>
          </cell>
          <cell r="D250" t="str">
            <v>Battaglio</v>
          </cell>
          <cell r="E250" t="str">
            <v>Fascette Alpaka</v>
          </cell>
          <cell r="F250" t="str">
            <v>BOBST 104</v>
          </cell>
          <cell r="G250">
            <v>16</v>
          </cell>
          <cell r="H250" t="str">
            <v>No</v>
          </cell>
          <cell r="I250" t="str">
            <v>No</v>
          </cell>
          <cell r="J250" t="str">
            <v>No</v>
          </cell>
          <cell r="K250">
            <v>0</v>
          </cell>
          <cell r="L250" t="str">
            <v>No</v>
          </cell>
          <cell r="M250">
            <v>0</v>
          </cell>
          <cell r="N250">
            <v>0</v>
          </cell>
        </row>
        <row r="251">
          <cell r="A251" t="str">
            <v>FU0249</v>
          </cell>
          <cell r="B251" t="str">
            <v>Fusteltecnica</v>
          </cell>
          <cell r="C251" t="str">
            <v>M05695</v>
          </cell>
          <cell r="D251" t="str">
            <v>CHS</v>
          </cell>
          <cell r="E251" t="str">
            <v>Fascetta Porta Bicchiere</v>
          </cell>
          <cell r="F251" t="str">
            <v>BOBST 1260</v>
          </cell>
          <cell r="G251">
            <v>5</v>
          </cell>
          <cell r="H251" t="str">
            <v>No</v>
          </cell>
          <cell r="I251" t="str">
            <v>Si</v>
          </cell>
          <cell r="J251" t="str">
            <v>No</v>
          </cell>
          <cell r="K251">
            <v>0</v>
          </cell>
          <cell r="L251" t="str">
            <v>No</v>
          </cell>
          <cell r="M251">
            <v>0</v>
          </cell>
          <cell r="N251">
            <v>0</v>
          </cell>
        </row>
        <row r="252">
          <cell r="A252" t="str">
            <v>FU0250</v>
          </cell>
          <cell r="B252" t="str">
            <v>Fusteltecnica</v>
          </cell>
          <cell r="C252" t="str">
            <v>R07225</v>
          </cell>
          <cell r="D252" t="str">
            <v>JBS</v>
          </cell>
          <cell r="E252" t="str">
            <v>Appenndini Decoy Abbinati</v>
          </cell>
          <cell r="F252" t="str">
            <v>BOBST 1260</v>
          </cell>
          <cell r="G252">
            <v>3</v>
          </cell>
          <cell r="H252" t="str">
            <v>No</v>
          </cell>
          <cell r="I252" t="str">
            <v>Si</v>
          </cell>
          <cell r="J252" t="str">
            <v>No</v>
          </cell>
          <cell r="K252">
            <v>0</v>
          </cell>
          <cell r="L252" t="str">
            <v>No</v>
          </cell>
          <cell r="M252">
            <v>0</v>
          </cell>
          <cell r="N252">
            <v>0</v>
          </cell>
        </row>
        <row r="253">
          <cell r="A253" t="str">
            <v>FU0251</v>
          </cell>
          <cell r="B253" t="str">
            <v>Fusteltecnica</v>
          </cell>
          <cell r="C253" t="str">
            <v>E03332</v>
          </cell>
          <cell r="D253" t="str">
            <v>Tracy</v>
          </cell>
          <cell r="E253" t="str">
            <v>Astucci Rywan Atmo Punta Argento a Caldo</v>
          </cell>
          <cell r="F253" t="str">
            <v>BOBST 1260</v>
          </cell>
          <cell r="G253">
            <v>3</v>
          </cell>
          <cell r="H253" t="str">
            <v>Si</v>
          </cell>
          <cell r="I253" t="str">
            <v>Si</v>
          </cell>
          <cell r="J253" t="str">
            <v>No</v>
          </cell>
          <cell r="K253">
            <v>0</v>
          </cell>
          <cell r="L253" t="str">
            <v>Si</v>
          </cell>
          <cell r="M253" t="str">
            <v>DIana X80</v>
          </cell>
          <cell r="N253" t="str">
            <v>Lineare</v>
          </cell>
        </row>
        <row r="254">
          <cell r="A254" t="str">
            <v>FU0252</v>
          </cell>
          <cell r="B254" t="str">
            <v>Fusteltecnica</v>
          </cell>
          <cell r="C254" t="str">
            <v>G19316</v>
          </cell>
          <cell r="D254" t="str">
            <v>Pantytex</v>
          </cell>
          <cell r="E254" t="str">
            <v>Inserti Ellen Amber Collant</v>
          </cell>
          <cell r="F254" t="str">
            <v>BOBST 104</v>
          </cell>
          <cell r="G254">
            <v>5</v>
          </cell>
          <cell r="H254" t="str">
            <v>Si</v>
          </cell>
          <cell r="I254" t="str">
            <v>No</v>
          </cell>
          <cell r="J254" t="str">
            <v>No</v>
          </cell>
          <cell r="K254">
            <v>0</v>
          </cell>
          <cell r="L254" t="str">
            <v>No</v>
          </cell>
          <cell r="M254">
            <v>0</v>
          </cell>
          <cell r="N254">
            <v>0</v>
          </cell>
        </row>
        <row r="255">
          <cell r="A255" t="str">
            <v>FU0253</v>
          </cell>
          <cell r="B255" t="str">
            <v>Lasercom</v>
          </cell>
          <cell r="C255" t="str">
            <v>Lomba467</v>
          </cell>
          <cell r="D255" t="str">
            <v>Pantytex</v>
          </cell>
          <cell r="E255" t="str">
            <v>Appendini Minou</v>
          </cell>
          <cell r="F255" t="str">
            <v>BOBST 104</v>
          </cell>
          <cell r="G255">
            <v>9</v>
          </cell>
          <cell r="H255" t="str">
            <v>Si</v>
          </cell>
          <cell r="I255" t="str">
            <v>No</v>
          </cell>
          <cell r="J255" t="str">
            <v>No</v>
          </cell>
          <cell r="K255">
            <v>0</v>
          </cell>
          <cell r="L255" t="str">
            <v>No</v>
          </cell>
          <cell r="M255">
            <v>0</v>
          </cell>
          <cell r="N255">
            <v>0</v>
          </cell>
        </row>
        <row r="256">
          <cell r="A256" t="str">
            <v>FU0254</v>
          </cell>
          <cell r="B256" t="str">
            <v>Fusteltecnica</v>
          </cell>
          <cell r="C256" t="str">
            <v>M03663</v>
          </cell>
          <cell r="D256" t="str">
            <v>Pasta Lensi</v>
          </cell>
          <cell r="E256" t="str">
            <v>Astucci Hipp Alti</v>
          </cell>
          <cell r="F256" t="str">
            <v>BOBST 1260</v>
          </cell>
          <cell r="G256">
            <v>6</v>
          </cell>
          <cell r="H256" t="str">
            <v>Si</v>
          </cell>
          <cell r="I256" t="str">
            <v>Si</v>
          </cell>
          <cell r="J256" t="str">
            <v>No</v>
          </cell>
          <cell r="K256">
            <v>0</v>
          </cell>
          <cell r="L256" t="str">
            <v>Si</v>
          </cell>
          <cell r="M256" t="str">
            <v>DIana X80</v>
          </cell>
          <cell r="N256" t="str">
            <v>Lineare</v>
          </cell>
        </row>
        <row r="257">
          <cell r="A257" t="str">
            <v>FU0255</v>
          </cell>
          <cell r="B257" t="str">
            <v>Fusteltecnica</v>
          </cell>
          <cell r="C257" t="str">
            <v>R03399</v>
          </cell>
          <cell r="D257" t="str">
            <v>Norditalia</v>
          </cell>
          <cell r="E257" t="str">
            <v>Bauletto Norditalia</v>
          </cell>
          <cell r="F257" t="str">
            <v>BOBST 1260</v>
          </cell>
          <cell r="G257">
            <v>1</v>
          </cell>
          <cell r="H257" t="str">
            <v>No</v>
          </cell>
          <cell r="I257" t="str">
            <v>Si</v>
          </cell>
          <cell r="J257" t="str">
            <v>No</v>
          </cell>
          <cell r="K257">
            <v>0</v>
          </cell>
          <cell r="L257" t="str">
            <v>Si</v>
          </cell>
          <cell r="M257" t="str">
            <v>Diana Pro 114</v>
          </cell>
          <cell r="N257" t="str">
            <v>Fondo Automatico</v>
          </cell>
        </row>
        <row r="258">
          <cell r="A258" t="str">
            <v>FU0256</v>
          </cell>
          <cell r="B258" t="str">
            <v>Fusteltecnica</v>
          </cell>
          <cell r="C258" t="str">
            <v>K04184</v>
          </cell>
          <cell r="D258" t="str">
            <v>Antico Eremo</v>
          </cell>
          <cell r="E258" t="str">
            <v>Astucci Calde Goloserie</v>
          </cell>
          <cell r="F258" t="str">
            <v>BOBST 104</v>
          </cell>
          <cell r="G258">
            <v>2</v>
          </cell>
          <cell r="H258" t="str">
            <v>No</v>
          </cell>
          <cell r="I258" t="str">
            <v>No</v>
          </cell>
          <cell r="J258" t="str">
            <v>No</v>
          </cell>
          <cell r="K258">
            <v>0</v>
          </cell>
          <cell r="L258" t="str">
            <v>Si</v>
          </cell>
          <cell r="M258" t="str">
            <v>Diana Pro 114</v>
          </cell>
          <cell r="N258" t="str">
            <v>Fondo Automatico</v>
          </cell>
        </row>
        <row r="259">
          <cell r="A259" t="str">
            <v>FU0257</v>
          </cell>
          <cell r="B259" t="str">
            <v>Lasercom</v>
          </cell>
          <cell r="C259" t="str">
            <v>Lomba491</v>
          </cell>
          <cell r="D259" t="str">
            <v>Tracy</v>
          </cell>
          <cell r="E259" t="str">
            <v>Cartoncini Estex Cinture</v>
          </cell>
          <cell r="F259" t="str">
            <v>BOBST 104</v>
          </cell>
          <cell r="G259">
            <v>12</v>
          </cell>
          <cell r="H259" t="str">
            <v>No</v>
          </cell>
          <cell r="I259" t="str">
            <v>No</v>
          </cell>
          <cell r="J259" t="str">
            <v>No</v>
          </cell>
          <cell r="K259">
            <v>0</v>
          </cell>
          <cell r="L259" t="str">
            <v>No</v>
          </cell>
          <cell r="M259">
            <v>0</v>
          </cell>
          <cell r="N259">
            <v>0</v>
          </cell>
        </row>
        <row r="260">
          <cell r="A260" t="str">
            <v>FU0258</v>
          </cell>
          <cell r="B260" t="str">
            <v>Lasercom</v>
          </cell>
          <cell r="C260" t="str">
            <v>Lomba477</v>
          </cell>
          <cell r="D260" t="str">
            <v>Gallo</v>
          </cell>
          <cell r="E260" t="str">
            <v>Coperchi 4 Angoli</v>
          </cell>
          <cell r="F260" t="str">
            <v>BOBST 104</v>
          </cell>
          <cell r="G260">
            <v>2</v>
          </cell>
          <cell r="H260" t="str">
            <v>No</v>
          </cell>
          <cell r="I260" t="str">
            <v>No</v>
          </cell>
          <cell r="J260" t="str">
            <v>No</v>
          </cell>
          <cell r="K260">
            <v>0</v>
          </cell>
          <cell r="L260" t="str">
            <v>Si</v>
          </cell>
          <cell r="M260" t="str">
            <v>Diana Pro 114</v>
          </cell>
          <cell r="N260" t="str">
            <v>Quattro angoli</v>
          </cell>
        </row>
        <row r="261">
          <cell r="A261" t="str">
            <v>FU0259</v>
          </cell>
          <cell r="B261" t="str">
            <v>Fusteltecnica</v>
          </cell>
          <cell r="C261" t="str">
            <v>M01862</v>
          </cell>
          <cell r="D261" t="str">
            <v>CRM</v>
          </cell>
          <cell r="E261" t="str">
            <v>Astucci X-Tra H5,5</v>
          </cell>
          <cell r="F261" t="str">
            <v>BOBST 104</v>
          </cell>
          <cell r="G261">
            <v>6</v>
          </cell>
          <cell r="H261" t="str">
            <v>Si</v>
          </cell>
          <cell r="I261" t="str">
            <v>No</v>
          </cell>
          <cell r="J261" t="str">
            <v>No</v>
          </cell>
          <cell r="K261">
            <v>0</v>
          </cell>
          <cell r="L261" t="str">
            <v>Si</v>
          </cell>
          <cell r="M261" t="str">
            <v>Diana Pro 114</v>
          </cell>
          <cell r="N261" t="str">
            <v>Lineare con Gancio</v>
          </cell>
        </row>
        <row r="262">
          <cell r="A262" t="str">
            <v>FU0260</v>
          </cell>
          <cell r="B262" t="str">
            <v>Fusteltecnica</v>
          </cell>
          <cell r="C262" t="str">
            <v>R02855</v>
          </cell>
          <cell r="D262" t="str">
            <v>JBS</v>
          </cell>
          <cell r="E262" t="str">
            <v>Buste Caroline Fleming - Collant Piccolo</v>
          </cell>
          <cell r="F262" t="str">
            <v>BOBST 1260</v>
          </cell>
          <cell r="G262">
            <v>5</v>
          </cell>
          <cell r="H262" t="str">
            <v>Si</v>
          </cell>
          <cell r="I262" t="str">
            <v>Si</v>
          </cell>
          <cell r="J262" t="str">
            <v>No</v>
          </cell>
          <cell r="K262">
            <v>0</v>
          </cell>
          <cell r="L262" t="str">
            <v>Si</v>
          </cell>
          <cell r="M262" t="str">
            <v>Diana Pro 114</v>
          </cell>
          <cell r="N262" t="str">
            <v>Soffietto</v>
          </cell>
        </row>
        <row r="263">
          <cell r="A263" t="str">
            <v>FU0261</v>
          </cell>
          <cell r="B263" t="str">
            <v>Fusteltecnica</v>
          </cell>
          <cell r="C263" t="str">
            <v>G20948</v>
          </cell>
          <cell r="D263" t="str">
            <v>Prontofoods</v>
          </cell>
          <cell r="E263" t="str">
            <v>Scatole Orzo 500 g</v>
          </cell>
          <cell r="F263" t="str">
            <v>BOBST 1260</v>
          </cell>
          <cell r="G263">
            <v>4</v>
          </cell>
          <cell r="H263" t="str">
            <v>Si</v>
          </cell>
          <cell r="I263" t="str">
            <v>Si</v>
          </cell>
          <cell r="J263" t="str">
            <v>No</v>
          </cell>
          <cell r="K263">
            <v>0</v>
          </cell>
          <cell r="L263" t="str">
            <v>Si</v>
          </cell>
          <cell r="M263" t="str">
            <v>DIana X80</v>
          </cell>
          <cell r="N263" t="str">
            <v>Lineare</v>
          </cell>
        </row>
        <row r="264">
          <cell r="A264" t="str">
            <v>FU0262</v>
          </cell>
          <cell r="B264" t="str">
            <v>Lasercom</v>
          </cell>
          <cell r="C264" t="str">
            <v>Lomb416N</v>
          </cell>
          <cell r="D264" t="str">
            <v>Antico Eremo</v>
          </cell>
          <cell r="E264" t="str">
            <v>Astucci Robo Catalana</v>
          </cell>
          <cell r="F264" t="str">
            <v>BOBST 104</v>
          </cell>
          <cell r="G264">
            <v>2</v>
          </cell>
          <cell r="H264" t="str">
            <v>Si</v>
          </cell>
          <cell r="I264" t="str">
            <v>No</v>
          </cell>
          <cell r="J264" t="str">
            <v>No</v>
          </cell>
          <cell r="K264">
            <v>0</v>
          </cell>
          <cell r="L264" t="str">
            <v>Si</v>
          </cell>
          <cell r="M264" t="str">
            <v>Diana Pro 114</v>
          </cell>
          <cell r="N264" t="str">
            <v>Fondo Automatico</v>
          </cell>
        </row>
        <row r="265">
          <cell r="A265" t="str">
            <v>FU0263</v>
          </cell>
          <cell r="B265" t="str">
            <v>Lasercom</v>
          </cell>
          <cell r="C265" t="str">
            <v>Lomba464</v>
          </cell>
          <cell r="D265" t="str">
            <v>Rcm</v>
          </cell>
          <cell r="E265" t="str">
            <v>Astucci Everline be Care + Alveare</v>
          </cell>
          <cell r="F265" t="str">
            <v>BOBST 1260</v>
          </cell>
          <cell r="G265" t="str">
            <v>2+2</v>
          </cell>
          <cell r="H265" t="str">
            <v>Si</v>
          </cell>
          <cell r="I265" t="str">
            <v>Si</v>
          </cell>
          <cell r="J265" t="str">
            <v>No</v>
          </cell>
          <cell r="K265">
            <v>0</v>
          </cell>
          <cell r="L265" t="str">
            <v>Si</v>
          </cell>
          <cell r="M265" t="str">
            <v>DIana X80</v>
          </cell>
          <cell r="N265" t="str">
            <v>Lineare</v>
          </cell>
        </row>
        <row r="266">
          <cell r="A266" t="str">
            <v>FU0264</v>
          </cell>
          <cell r="B266" t="str">
            <v>Fusteltecnica</v>
          </cell>
          <cell r="C266" t="str">
            <v>E03429</v>
          </cell>
          <cell r="D266" t="str">
            <v>Isa</v>
          </cell>
          <cell r="E266" t="str">
            <v>Coperchi DSQ h23</v>
          </cell>
          <cell r="F266" t="str">
            <v>BOBST 1260</v>
          </cell>
          <cell r="G266">
            <v>3</v>
          </cell>
          <cell r="H266" t="str">
            <v>Si</v>
          </cell>
          <cell r="I266" t="str">
            <v>Si</v>
          </cell>
          <cell r="J266" t="str">
            <v>No</v>
          </cell>
          <cell r="K266">
            <v>0</v>
          </cell>
          <cell r="L266" t="str">
            <v>Si</v>
          </cell>
          <cell r="M266" t="str">
            <v>Diana Pro 114</v>
          </cell>
          <cell r="N266" t="str">
            <v>Americana</v>
          </cell>
        </row>
        <row r="267">
          <cell r="A267" t="str">
            <v>FU0265</v>
          </cell>
          <cell r="B267" t="str">
            <v>Fusteltecnica</v>
          </cell>
          <cell r="C267" t="str">
            <v>E03426</v>
          </cell>
          <cell r="D267" t="str">
            <v>Isa</v>
          </cell>
          <cell r="E267" t="str">
            <v>Fondo DSQ h40</v>
          </cell>
          <cell r="F267" t="str">
            <v>BOBST 1260</v>
          </cell>
          <cell r="G267">
            <v>2</v>
          </cell>
          <cell r="H267" t="str">
            <v>Si</v>
          </cell>
          <cell r="I267" t="str">
            <v>Si</v>
          </cell>
          <cell r="J267" t="str">
            <v>No</v>
          </cell>
          <cell r="K267">
            <v>0</v>
          </cell>
          <cell r="L267" t="str">
            <v>Si</v>
          </cell>
          <cell r="M267" t="str">
            <v>Diana Pro 114</v>
          </cell>
          <cell r="N267" t="str">
            <v>Americana</v>
          </cell>
        </row>
        <row r="268">
          <cell r="A268" t="str">
            <v>FU0266</v>
          </cell>
          <cell r="B268" t="str">
            <v>Fusteltecnica</v>
          </cell>
          <cell r="C268" t="str">
            <v>E15657</v>
          </cell>
          <cell r="D268" t="str">
            <v>Pantytex</v>
          </cell>
          <cell r="E268" t="str">
            <v>Appendini C &amp; A + Gambaletti</v>
          </cell>
          <cell r="F268" t="str">
            <v>BOBST 104</v>
          </cell>
          <cell r="G268">
            <v>9</v>
          </cell>
          <cell r="H268" t="str">
            <v>Si</v>
          </cell>
          <cell r="I268" t="str">
            <v>No</v>
          </cell>
          <cell r="J268" t="str">
            <v>No</v>
          </cell>
          <cell r="K268">
            <v>0</v>
          </cell>
          <cell r="L268" t="str">
            <v>No</v>
          </cell>
          <cell r="M268">
            <v>0</v>
          </cell>
          <cell r="N268">
            <v>0</v>
          </cell>
        </row>
        <row r="269">
          <cell r="A269" t="str">
            <v>FU0267</v>
          </cell>
          <cell r="B269" t="str">
            <v>Fusteltecnica</v>
          </cell>
          <cell r="C269" t="str">
            <v>A03687</v>
          </cell>
          <cell r="D269" t="str">
            <v>Magazzini del Caffè</v>
          </cell>
          <cell r="E269" t="str">
            <v>Casablanca 18 cialde</v>
          </cell>
          <cell r="F269" t="str">
            <v>BOBST 1260</v>
          </cell>
          <cell r="G269">
            <v>4</v>
          </cell>
          <cell r="H269" t="str">
            <v>Si</v>
          </cell>
          <cell r="I269" t="str">
            <v>Si</v>
          </cell>
          <cell r="J269" t="str">
            <v>No</v>
          </cell>
          <cell r="K269">
            <v>0</v>
          </cell>
          <cell r="L269" t="str">
            <v>Si</v>
          </cell>
          <cell r="M269" t="str">
            <v>Diana Pro 114</v>
          </cell>
          <cell r="N269" t="str">
            <v>Fondo Automatico</v>
          </cell>
        </row>
        <row r="270">
          <cell r="A270" t="str">
            <v>FU0268</v>
          </cell>
          <cell r="B270" t="str">
            <v>Fusteltecnica</v>
          </cell>
          <cell r="C270" t="str">
            <v>M03588</v>
          </cell>
          <cell r="D270" t="str">
            <v>Gallo</v>
          </cell>
          <cell r="E270" t="str">
            <v>Bauletto Dorè Dorè mod. 33/BOB33B</v>
          </cell>
          <cell r="F270" t="str">
            <v>BOBST 1260</v>
          </cell>
          <cell r="G270">
            <v>4</v>
          </cell>
          <cell r="H270" t="str">
            <v>Si</v>
          </cell>
          <cell r="I270" t="str">
            <v>Si</v>
          </cell>
          <cell r="J270" t="str">
            <v>No</v>
          </cell>
          <cell r="K270">
            <v>0</v>
          </cell>
          <cell r="L270" t="str">
            <v>Si</v>
          </cell>
          <cell r="M270" t="str">
            <v>Diana Pro 114</v>
          </cell>
          <cell r="N270" t="str">
            <v>Quattro angoli</v>
          </cell>
        </row>
        <row r="271">
          <cell r="A271" t="str">
            <v>FU0269</v>
          </cell>
          <cell r="B271" t="str">
            <v>Fusteltecnica</v>
          </cell>
          <cell r="C271" t="str">
            <v>E02993</v>
          </cell>
          <cell r="D271" t="str">
            <v>Gallo</v>
          </cell>
          <cell r="E271" t="str">
            <v>Scat. 4 Angoli Fon.+Cop. mod. 53/BOB53B</v>
          </cell>
          <cell r="F271" t="str">
            <v>BOBST 1260</v>
          </cell>
          <cell r="G271" t="str">
            <v>2 + 2</v>
          </cell>
          <cell r="H271" t="str">
            <v>Si</v>
          </cell>
          <cell r="I271" t="str">
            <v>Si</v>
          </cell>
          <cell r="J271" t="str">
            <v>No</v>
          </cell>
          <cell r="K271">
            <v>0</v>
          </cell>
          <cell r="L271" t="str">
            <v>Si</v>
          </cell>
          <cell r="M271" t="str">
            <v>Diana Pro 114</v>
          </cell>
          <cell r="N271" t="str">
            <v>Quattro angoli</v>
          </cell>
        </row>
        <row r="272">
          <cell r="A272" t="str">
            <v>FU0270</v>
          </cell>
          <cell r="B272" t="str">
            <v>Fusteltecnica</v>
          </cell>
          <cell r="C272" t="str">
            <v>E13432</v>
          </cell>
          <cell r="D272" t="str">
            <v>CRM</v>
          </cell>
          <cell r="E272" t="str">
            <v>Buste Coop Gambetto Basse</v>
          </cell>
          <cell r="F272" t="str">
            <v>BOBST 104</v>
          </cell>
          <cell r="G272">
            <v>6</v>
          </cell>
          <cell r="H272" t="str">
            <v>Si</v>
          </cell>
          <cell r="I272" t="str">
            <v>No</v>
          </cell>
          <cell r="J272" t="str">
            <v>No</v>
          </cell>
          <cell r="K272">
            <v>0</v>
          </cell>
          <cell r="L272" t="str">
            <v>Si</v>
          </cell>
          <cell r="M272" t="str">
            <v>Diana Pro 114</v>
          </cell>
          <cell r="N272" t="str">
            <v>Soffietto</v>
          </cell>
        </row>
        <row r="273">
          <cell r="A273" t="str">
            <v>FU0271</v>
          </cell>
          <cell r="B273" t="str">
            <v>Fusteltecnica</v>
          </cell>
          <cell r="C273" t="str">
            <v>M01861</v>
          </cell>
          <cell r="D273" t="str">
            <v>CRM</v>
          </cell>
          <cell r="E273" t="str">
            <v>Astucci X-Tra H 3,8 (vecchio formato)</v>
          </cell>
          <cell r="F273" t="str">
            <v>BOBST 104</v>
          </cell>
          <cell r="G273">
            <v>6</v>
          </cell>
          <cell r="H273" t="str">
            <v>Si</v>
          </cell>
          <cell r="I273" t="str">
            <v>No</v>
          </cell>
          <cell r="J273" t="str">
            <v>No</v>
          </cell>
          <cell r="K273">
            <v>0</v>
          </cell>
          <cell r="L273" t="str">
            <v>Si</v>
          </cell>
          <cell r="M273" t="str">
            <v>Diana Pro 114</v>
          </cell>
          <cell r="N273" t="str">
            <v>Lineare con Gancio</v>
          </cell>
        </row>
        <row r="274">
          <cell r="A274" t="str">
            <v>FU0272</v>
          </cell>
          <cell r="B274" t="str">
            <v>Fusteltecnica</v>
          </cell>
          <cell r="C274" t="str">
            <v>R02946</v>
          </cell>
          <cell r="D274" t="str">
            <v>Pantytex</v>
          </cell>
          <cell r="E274" t="str">
            <v>Appendini Bambina "con cane"</v>
          </cell>
          <cell r="F274" t="str">
            <v>BOBST 104</v>
          </cell>
          <cell r="G274">
            <v>9</v>
          </cell>
          <cell r="H274" t="str">
            <v>Si</v>
          </cell>
          <cell r="I274" t="str">
            <v>No</v>
          </cell>
          <cell r="J274" t="str">
            <v>No</v>
          </cell>
          <cell r="K274">
            <v>0</v>
          </cell>
          <cell r="L274" t="str">
            <v>No</v>
          </cell>
          <cell r="M274">
            <v>0</v>
          </cell>
          <cell r="N274">
            <v>0</v>
          </cell>
        </row>
        <row r="275">
          <cell r="A275" t="str">
            <v>FU0273</v>
          </cell>
          <cell r="B275" t="str">
            <v>Fusteltecnica</v>
          </cell>
          <cell r="C275" t="str">
            <v>M03521</v>
          </cell>
          <cell r="D275" t="str">
            <v>Tracy</v>
          </cell>
          <cell r="E275" t="str">
            <v>Estex Fascie Grandi</v>
          </cell>
          <cell r="F275" t="str">
            <v>BOBST 104</v>
          </cell>
          <cell r="G275">
            <v>7</v>
          </cell>
          <cell r="H275" t="str">
            <v>Si</v>
          </cell>
          <cell r="I275" t="str">
            <v>No</v>
          </cell>
          <cell r="J275" t="str">
            <v>No</v>
          </cell>
          <cell r="K275">
            <v>0</v>
          </cell>
          <cell r="L275" t="str">
            <v>No</v>
          </cell>
          <cell r="M275">
            <v>0</v>
          </cell>
          <cell r="N275">
            <v>0</v>
          </cell>
        </row>
        <row r="276">
          <cell r="A276" t="str">
            <v>FU0274</v>
          </cell>
          <cell r="B276" t="str">
            <v>Fusteltecnica</v>
          </cell>
          <cell r="C276" t="str">
            <v>M03801</v>
          </cell>
          <cell r="D276" t="str">
            <v>Vegas</v>
          </cell>
          <cell r="E276" t="str">
            <v>Astucci Nexus C/Anta</v>
          </cell>
          <cell r="F276" t="str">
            <v>BOBST 104</v>
          </cell>
          <cell r="G276">
            <v>2</v>
          </cell>
          <cell r="H276" t="str">
            <v>No</v>
          </cell>
          <cell r="I276" t="str">
            <v>No</v>
          </cell>
          <cell r="J276" t="str">
            <v>No</v>
          </cell>
          <cell r="K276">
            <v>0</v>
          </cell>
          <cell r="L276" t="str">
            <v>No</v>
          </cell>
          <cell r="M276">
            <v>0</v>
          </cell>
          <cell r="N276">
            <v>0</v>
          </cell>
        </row>
        <row r="277">
          <cell r="A277" t="str">
            <v>FU0275</v>
          </cell>
          <cell r="B277" t="str">
            <v>Lasercom</v>
          </cell>
          <cell r="C277" t="str">
            <v>Lomba676</v>
          </cell>
          <cell r="D277" t="str">
            <v>Battaglio</v>
          </cell>
          <cell r="E277" t="str">
            <v>Solette ideafissa</v>
          </cell>
          <cell r="F277" t="str">
            <v>BOBST 1260</v>
          </cell>
          <cell r="G277">
            <v>8</v>
          </cell>
          <cell r="H277" t="str">
            <v>No</v>
          </cell>
          <cell r="I277" t="str">
            <v>Si</v>
          </cell>
          <cell r="J277" t="str">
            <v>No</v>
          </cell>
          <cell r="K277">
            <v>0</v>
          </cell>
          <cell r="L277" t="str">
            <v>No</v>
          </cell>
          <cell r="M277">
            <v>0</v>
          </cell>
          <cell r="N277">
            <v>0</v>
          </cell>
        </row>
        <row r="278">
          <cell r="A278" t="str">
            <v>FU0276</v>
          </cell>
          <cell r="B278" t="str">
            <v>Lasercom</v>
          </cell>
          <cell r="C278" t="str">
            <v>Lomba672</v>
          </cell>
          <cell r="D278" t="str">
            <v>Mood</v>
          </cell>
          <cell r="E278" t="str">
            <v>Astucci Neutri</v>
          </cell>
          <cell r="F278" t="str">
            <v>BOBST 1260</v>
          </cell>
          <cell r="G278">
            <v>4</v>
          </cell>
          <cell r="H278" t="str">
            <v>No</v>
          </cell>
          <cell r="I278" t="str">
            <v>Si</v>
          </cell>
          <cell r="J278" t="str">
            <v>No</v>
          </cell>
          <cell r="K278">
            <v>0</v>
          </cell>
          <cell r="L278" t="str">
            <v>Si</v>
          </cell>
          <cell r="M278" t="str">
            <v>DIana X80</v>
          </cell>
          <cell r="N278" t="str">
            <v>Lineare</v>
          </cell>
        </row>
        <row r="279">
          <cell r="A279" t="str">
            <v>FU0277</v>
          </cell>
          <cell r="B279" t="str">
            <v>Fusteltecnica</v>
          </cell>
          <cell r="C279" t="str">
            <v>R00953</v>
          </cell>
          <cell r="D279" t="str">
            <v>Cipriani</v>
          </cell>
          <cell r="E279" t="str">
            <v>Satole Baby - Girl</v>
          </cell>
          <cell r="F279" t="str">
            <v>BOBST 104</v>
          </cell>
          <cell r="G279">
            <v>4</v>
          </cell>
          <cell r="H279" t="str">
            <v>No</v>
          </cell>
          <cell r="I279" t="str">
            <v>No</v>
          </cell>
          <cell r="J279" t="str">
            <v>No</v>
          </cell>
          <cell r="K279">
            <v>0</v>
          </cell>
          <cell r="L279" t="str">
            <v>Si</v>
          </cell>
          <cell r="M279" t="str">
            <v>DIana X80</v>
          </cell>
          <cell r="N279" t="str">
            <v>Lineare</v>
          </cell>
        </row>
        <row r="280">
          <cell r="A280" t="str">
            <v>FU0278</v>
          </cell>
          <cell r="B280" t="str">
            <v>Fusteltecnica</v>
          </cell>
          <cell r="C280" t="str">
            <v>E14484</v>
          </cell>
          <cell r="D280" t="str">
            <v>Cipriani</v>
          </cell>
          <cell r="E280" t="str">
            <v>Inserti Bambina Piccoli</v>
          </cell>
          <cell r="F280" t="str">
            <v>BOBST 104</v>
          </cell>
          <cell r="G280">
            <v>8</v>
          </cell>
          <cell r="H280" t="str">
            <v>Si</v>
          </cell>
          <cell r="I280" t="str">
            <v>No</v>
          </cell>
          <cell r="J280" t="str">
            <v>No</v>
          </cell>
          <cell r="K280">
            <v>0</v>
          </cell>
          <cell r="L280" t="str">
            <v>No</v>
          </cell>
          <cell r="M280">
            <v>0</v>
          </cell>
          <cell r="N280">
            <v>0</v>
          </cell>
        </row>
        <row r="281">
          <cell r="A281" t="str">
            <v>FU0279</v>
          </cell>
          <cell r="B281" t="str">
            <v>Fusteltecnica</v>
          </cell>
          <cell r="C281" t="str">
            <v>G18562</v>
          </cell>
          <cell r="D281" t="str">
            <v>Cipriani</v>
          </cell>
          <cell r="E281" t="str">
            <v>Inserti Alicia</v>
          </cell>
          <cell r="F281" t="str">
            <v>BOBST 104</v>
          </cell>
          <cell r="G281">
            <v>8</v>
          </cell>
          <cell r="H281" t="str">
            <v>Si</v>
          </cell>
          <cell r="I281" t="str">
            <v>No</v>
          </cell>
          <cell r="J281" t="str">
            <v>No</v>
          </cell>
          <cell r="K281">
            <v>0</v>
          </cell>
          <cell r="L281" t="str">
            <v>No</v>
          </cell>
          <cell r="M281">
            <v>0</v>
          </cell>
          <cell r="N281">
            <v>0</v>
          </cell>
        </row>
        <row r="282">
          <cell r="A282" t="str">
            <v>FU0280</v>
          </cell>
          <cell r="B282" t="str">
            <v>Fusteltecnica</v>
          </cell>
          <cell r="C282" t="str">
            <v>E09278</v>
          </cell>
          <cell r="D282" t="str">
            <v>Pantytex</v>
          </cell>
          <cell r="E282" t="str">
            <v>Astucci DM abbinati D30/D40</v>
          </cell>
          <cell r="F282" t="str">
            <v>BOBST 104</v>
          </cell>
          <cell r="G282">
            <v>9</v>
          </cell>
          <cell r="H282" t="str">
            <v>Si</v>
          </cell>
          <cell r="I282" t="str">
            <v>No</v>
          </cell>
          <cell r="J282" t="str">
            <v>No</v>
          </cell>
          <cell r="K282">
            <v>0</v>
          </cell>
          <cell r="L282" t="str">
            <v>Si</v>
          </cell>
          <cell r="M282" t="str">
            <v>DIana X80</v>
          </cell>
          <cell r="N282" t="str">
            <v>Lineare</v>
          </cell>
        </row>
        <row r="283">
          <cell r="A283" t="str">
            <v>FU0281</v>
          </cell>
          <cell r="B283" t="str">
            <v>Fusteltecnica</v>
          </cell>
          <cell r="C283" t="str">
            <v>G18561</v>
          </cell>
          <cell r="D283" t="str">
            <v>Cipriani</v>
          </cell>
          <cell r="E283" t="str">
            <v>Scatola Cipry Bassa</v>
          </cell>
          <cell r="F283" t="str">
            <v>BOBST 104</v>
          </cell>
          <cell r="G283">
            <v>6</v>
          </cell>
          <cell r="H283" t="str">
            <v>Si</v>
          </cell>
          <cell r="I283" t="str">
            <v>No</v>
          </cell>
          <cell r="J283" t="str">
            <v>No</v>
          </cell>
          <cell r="K283">
            <v>0</v>
          </cell>
          <cell r="L283" t="str">
            <v>Si</v>
          </cell>
          <cell r="M283" t="str">
            <v>Diana Pro 114</v>
          </cell>
          <cell r="N283" t="str">
            <v>Quattro angoli</v>
          </cell>
        </row>
        <row r="284">
          <cell r="A284" t="str">
            <v>FU0282</v>
          </cell>
          <cell r="B284" t="str">
            <v>Lasercom</v>
          </cell>
          <cell r="C284" t="str">
            <v>Lomba508</v>
          </cell>
          <cell r="D284" t="str">
            <v>Offel</v>
          </cell>
          <cell r="E284" t="str">
            <v>Scatole abbinate</v>
          </cell>
          <cell r="F284" t="str">
            <v>BOBST 104</v>
          </cell>
          <cell r="G284">
            <v>4</v>
          </cell>
          <cell r="H284" t="str">
            <v>No</v>
          </cell>
          <cell r="I284" t="str">
            <v>No</v>
          </cell>
          <cell r="J284" t="str">
            <v>No</v>
          </cell>
          <cell r="K284">
            <v>0</v>
          </cell>
          <cell r="L284" t="str">
            <v>Si</v>
          </cell>
          <cell r="M284" t="str">
            <v>DIana X80</v>
          </cell>
          <cell r="N284" t="str">
            <v>Lineare</v>
          </cell>
        </row>
        <row r="285">
          <cell r="A285" t="str">
            <v>FU0283</v>
          </cell>
          <cell r="B285" t="str">
            <v>Fusteltecnica</v>
          </cell>
          <cell r="C285" t="str">
            <v>M09648</v>
          </cell>
          <cell r="D285" t="str">
            <v>Magazzini del Caffè</v>
          </cell>
          <cell r="E285" t="str">
            <v>Astucci migros</v>
          </cell>
          <cell r="F285" t="str">
            <v>BOBST 1260</v>
          </cell>
          <cell r="G285">
            <v>6</v>
          </cell>
          <cell r="H285" t="str">
            <v>No</v>
          </cell>
          <cell r="I285" t="str">
            <v>Si</v>
          </cell>
          <cell r="J285" t="str">
            <v>No</v>
          </cell>
          <cell r="K285">
            <v>0</v>
          </cell>
          <cell r="L285" t="str">
            <v>Si</v>
          </cell>
          <cell r="M285" t="str">
            <v>Diana Pro 114</v>
          </cell>
          <cell r="N285" t="str">
            <v>Fondo Automatico</v>
          </cell>
        </row>
        <row r="286">
          <cell r="A286" t="str">
            <v>FU0284</v>
          </cell>
          <cell r="B286" t="str">
            <v>Fusteltecnica</v>
          </cell>
          <cell r="C286" t="str">
            <v>R02385</v>
          </cell>
          <cell r="D286" t="str">
            <v>Vegas</v>
          </cell>
          <cell r="E286" t="str">
            <v>Astucci Emphasis</v>
          </cell>
          <cell r="F286" t="str">
            <v>BOBST 104</v>
          </cell>
          <cell r="G286">
            <v>2</v>
          </cell>
          <cell r="H286" t="str">
            <v>No</v>
          </cell>
          <cell r="I286" t="str">
            <v>No</v>
          </cell>
          <cell r="J286" t="str">
            <v>No</v>
          </cell>
          <cell r="K286">
            <v>0</v>
          </cell>
          <cell r="L286" t="str">
            <v>Si</v>
          </cell>
          <cell r="M286" t="str">
            <v>Diana Pro 114</v>
          </cell>
          <cell r="N286" t="str">
            <v>Speciali</v>
          </cell>
        </row>
        <row r="287">
          <cell r="A287" t="str">
            <v>FU0285</v>
          </cell>
          <cell r="B287" t="str">
            <v>Lasercom</v>
          </cell>
          <cell r="C287" t="str">
            <v>Lomba198</v>
          </cell>
          <cell r="D287" t="str">
            <v>Scatolificio Bresciano</v>
          </cell>
          <cell r="E287" t="str">
            <v>Tunnel + Cassetto Scatola Blu</v>
          </cell>
          <cell r="F287" t="str">
            <v>BOBST 104</v>
          </cell>
          <cell r="G287">
            <v>1</v>
          </cell>
          <cell r="H287" t="str">
            <v>No</v>
          </cell>
          <cell r="I287" t="str">
            <v>No</v>
          </cell>
          <cell r="J287" t="str">
            <v>No</v>
          </cell>
          <cell r="K287">
            <v>0</v>
          </cell>
          <cell r="L287" t="str">
            <v>Si</v>
          </cell>
          <cell r="M287" t="str">
            <v>DIana X80</v>
          </cell>
          <cell r="N287" t="str">
            <v>Lineare</v>
          </cell>
        </row>
        <row r="288">
          <cell r="A288" t="str">
            <v>FU0286</v>
          </cell>
          <cell r="B288" t="str">
            <v>Fusteltecnica</v>
          </cell>
          <cell r="C288" t="str">
            <v>K01129</v>
          </cell>
          <cell r="D288" t="str">
            <v>Dolci</v>
          </cell>
          <cell r="E288" t="str">
            <v>Inserti Sneaky Fox</v>
          </cell>
          <cell r="F288" t="str">
            <v>BOBST 104</v>
          </cell>
          <cell r="G288">
            <v>8</v>
          </cell>
          <cell r="H288" t="str">
            <v>Si</v>
          </cell>
          <cell r="I288" t="str">
            <v>No</v>
          </cell>
          <cell r="J288" t="str">
            <v>No</v>
          </cell>
          <cell r="K288">
            <v>0</v>
          </cell>
          <cell r="L288" t="str">
            <v>No</v>
          </cell>
          <cell r="M288">
            <v>0</v>
          </cell>
          <cell r="N288">
            <v>0</v>
          </cell>
        </row>
        <row r="289">
          <cell r="A289" t="str">
            <v>FU0287</v>
          </cell>
          <cell r="B289" t="str">
            <v>Fusteltecnica</v>
          </cell>
          <cell r="C289" t="str">
            <v>R05035</v>
          </cell>
          <cell r="D289" t="str">
            <v>Coop Cartai</v>
          </cell>
          <cell r="E289" t="str">
            <v>Vassoi Alimentari</v>
          </cell>
          <cell r="F289" t="str">
            <v>BOBST 104</v>
          </cell>
          <cell r="G289">
            <v>16</v>
          </cell>
          <cell r="H289" t="str">
            <v>Si</v>
          </cell>
          <cell r="I289" t="str">
            <v>No</v>
          </cell>
          <cell r="J289" t="str">
            <v>No</v>
          </cell>
          <cell r="K289">
            <v>0</v>
          </cell>
          <cell r="L289" t="str">
            <v>No</v>
          </cell>
          <cell r="M289">
            <v>0</v>
          </cell>
          <cell r="N289">
            <v>0</v>
          </cell>
        </row>
        <row r="290">
          <cell r="A290" t="str">
            <v>FU0288</v>
          </cell>
          <cell r="B290" t="str">
            <v>Lasercom</v>
          </cell>
          <cell r="C290" t="str">
            <v>Lomb35</v>
          </cell>
          <cell r="D290" t="str">
            <v>Prontofoods</v>
          </cell>
          <cell r="E290" t="str">
            <v>Orzo 32 buste</v>
          </cell>
          <cell r="F290" t="str">
            <v>BOBST 1260</v>
          </cell>
          <cell r="G290">
            <v>2</v>
          </cell>
          <cell r="H290" t="str">
            <v>Si</v>
          </cell>
          <cell r="I290" t="str">
            <v>Si</v>
          </cell>
          <cell r="J290" t="str">
            <v>No</v>
          </cell>
          <cell r="K290">
            <v>0</v>
          </cell>
          <cell r="L290" t="str">
            <v>Si</v>
          </cell>
          <cell r="M290" t="str">
            <v>DIana X80</v>
          </cell>
          <cell r="N290" t="str">
            <v>Lineare</v>
          </cell>
        </row>
        <row r="291">
          <cell r="A291" t="str">
            <v>FU0289</v>
          </cell>
          <cell r="B291" t="str">
            <v>Fusteltecnica</v>
          </cell>
          <cell r="C291" t="str">
            <v>E03949</v>
          </cell>
          <cell r="D291" t="str">
            <v>Pantytex</v>
          </cell>
          <cell r="E291" t="str">
            <v>Appendini Hema</v>
          </cell>
          <cell r="F291" t="str">
            <v>BOBST 1260</v>
          </cell>
          <cell r="G291">
            <v>9</v>
          </cell>
          <cell r="H291" t="str">
            <v>Si</v>
          </cell>
          <cell r="I291" t="str">
            <v>Si</v>
          </cell>
          <cell r="J291" t="str">
            <v>No</v>
          </cell>
          <cell r="K291">
            <v>0</v>
          </cell>
          <cell r="L291" t="str">
            <v>No</v>
          </cell>
          <cell r="M291">
            <v>0</v>
          </cell>
          <cell r="N291">
            <v>0</v>
          </cell>
        </row>
        <row r="292">
          <cell r="A292" t="str">
            <v>FU0290</v>
          </cell>
          <cell r="B292" t="str">
            <v>Lasercom</v>
          </cell>
          <cell r="C292" t="str">
            <v>Lomba55</v>
          </cell>
          <cell r="D292" t="str">
            <v>Pantytex</v>
          </cell>
          <cell r="E292" t="str">
            <v>Appendini CA Basics</v>
          </cell>
          <cell r="F292" t="str">
            <v>BOBST 104</v>
          </cell>
          <cell r="G292">
            <v>4</v>
          </cell>
          <cell r="H292" t="str">
            <v>Si</v>
          </cell>
          <cell r="I292" t="str">
            <v>No</v>
          </cell>
          <cell r="J292" t="str">
            <v>No</v>
          </cell>
          <cell r="K292">
            <v>0</v>
          </cell>
          <cell r="L292" t="str">
            <v>No</v>
          </cell>
          <cell r="M292">
            <v>0</v>
          </cell>
          <cell r="N292">
            <v>0</v>
          </cell>
        </row>
        <row r="293">
          <cell r="A293" t="str">
            <v>FU0291</v>
          </cell>
          <cell r="B293" t="str">
            <v>Fusteltecnica</v>
          </cell>
          <cell r="C293" t="str">
            <v>R02441</v>
          </cell>
          <cell r="D293" t="str">
            <v>Mabel</v>
          </cell>
          <cell r="E293" t="str">
            <v>Inserti Resy</v>
          </cell>
          <cell r="F293" t="str">
            <v>BOBST 104</v>
          </cell>
          <cell r="G293">
            <v>5</v>
          </cell>
          <cell r="H293" t="str">
            <v>Si</v>
          </cell>
          <cell r="I293" t="str">
            <v>No</v>
          </cell>
          <cell r="J293" t="str">
            <v>No</v>
          </cell>
          <cell r="K293">
            <v>0</v>
          </cell>
          <cell r="L293" t="str">
            <v>No</v>
          </cell>
          <cell r="M293">
            <v>0</v>
          </cell>
          <cell r="N293">
            <v>0</v>
          </cell>
        </row>
        <row r="294">
          <cell r="A294" t="str">
            <v>FU0292</v>
          </cell>
          <cell r="B294" t="str">
            <v>Lasercom</v>
          </cell>
          <cell r="C294" t="str">
            <v>Lomb318</v>
          </cell>
          <cell r="D294" t="str">
            <v>Vegas</v>
          </cell>
          <cell r="E294" t="str">
            <v>Appendini Accapì H18</v>
          </cell>
          <cell r="F294" t="str">
            <v>BOBST 1260</v>
          </cell>
          <cell r="G294">
            <v>6</v>
          </cell>
          <cell r="H294" t="str">
            <v>Si</v>
          </cell>
          <cell r="I294" t="str">
            <v>Si</v>
          </cell>
          <cell r="J294" t="str">
            <v>No</v>
          </cell>
          <cell r="K294">
            <v>0</v>
          </cell>
          <cell r="L294" t="str">
            <v>Si</v>
          </cell>
          <cell r="M294" t="str">
            <v>Diana Pro 114</v>
          </cell>
          <cell r="N294" t="str">
            <v>Speciali</v>
          </cell>
        </row>
        <row r="295">
          <cell r="A295" t="str">
            <v>FU0293</v>
          </cell>
          <cell r="B295" t="str">
            <v>Fusteltecnica</v>
          </cell>
          <cell r="C295" t="str">
            <v>R02169</v>
          </cell>
          <cell r="D295" t="str">
            <v>Pantytex</v>
          </cell>
          <cell r="E295" t="str">
            <v>Solette Hema 40923</v>
          </cell>
          <cell r="F295" t="str">
            <v>BOBST 104</v>
          </cell>
          <cell r="G295">
            <v>4</v>
          </cell>
          <cell r="H295" t="str">
            <v>No</v>
          </cell>
          <cell r="I295" t="str">
            <v>No</v>
          </cell>
          <cell r="J295" t="str">
            <v>No</v>
          </cell>
          <cell r="K295">
            <v>0</v>
          </cell>
          <cell r="L295" t="str">
            <v>No</v>
          </cell>
          <cell r="M295">
            <v>0</v>
          </cell>
          <cell r="N295">
            <v>0</v>
          </cell>
        </row>
        <row r="296">
          <cell r="A296" t="str">
            <v>FU0294</v>
          </cell>
          <cell r="B296" t="str">
            <v>Lasercom</v>
          </cell>
          <cell r="C296" t="str">
            <v>Lomba510</v>
          </cell>
          <cell r="D296" t="str">
            <v>Tradigo</v>
          </cell>
          <cell r="E296" t="str">
            <v>Astucci Podos</v>
          </cell>
          <cell r="F296" t="str">
            <v>BOBST 104</v>
          </cell>
          <cell r="G296">
            <v>3</v>
          </cell>
          <cell r="H296" t="str">
            <v>No</v>
          </cell>
          <cell r="I296" t="str">
            <v>No</v>
          </cell>
          <cell r="J296" t="str">
            <v>No</v>
          </cell>
          <cell r="K296">
            <v>0</v>
          </cell>
          <cell r="L296" t="str">
            <v>Si</v>
          </cell>
          <cell r="M296" t="str">
            <v>DIana X80</v>
          </cell>
          <cell r="N296" t="str">
            <v>Lineare</v>
          </cell>
        </row>
        <row r="297">
          <cell r="A297" t="str">
            <v>FU0295</v>
          </cell>
          <cell r="B297" t="str">
            <v>Fusteltecnica</v>
          </cell>
          <cell r="C297" t="str">
            <v>R00548</v>
          </cell>
          <cell r="D297" t="str">
            <v>Tracy</v>
          </cell>
          <cell r="E297" t="str">
            <v>Appendini Rywan Thermocool</v>
          </cell>
          <cell r="F297" t="str">
            <v>BOBST 104</v>
          </cell>
          <cell r="G297">
            <v>3</v>
          </cell>
          <cell r="H297" t="str">
            <v>No</v>
          </cell>
          <cell r="I297" t="str">
            <v>No</v>
          </cell>
          <cell r="J297" t="str">
            <v>No</v>
          </cell>
          <cell r="K297">
            <v>0</v>
          </cell>
          <cell r="L297" t="str">
            <v>No</v>
          </cell>
          <cell r="M297">
            <v>0</v>
          </cell>
          <cell r="N297">
            <v>0</v>
          </cell>
        </row>
        <row r="298">
          <cell r="A298" t="str">
            <v>FU0296</v>
          </cell>
          <cell r="B298" t="str">
            <v>Lasercom</v>
          </cell>
          <cell r="C298" t="str">
            <v>Lomb514</v>
          </cell>
          <cell r="D298" t="str">
            <v>Pantytex</v>
          </cell>
          <cell r="E298" t="str">
            <v>Cavallotti True Spirit</v>
          </cell>
          <cell r="F298" t="str">
            <v>BOBST 104</v>
          </cell>
          <cell r="G298">
            <v>8</v>
          </cell>
          <cell r="H298" t="str">
            <v>No</v>
          </cell>
          <cell r="I298" t="str">
            <v>No</v>
          </cell>
          <cell r="J298" t="str">
            <v>No</v>
          </cell>
          <cell r="K298">
            <v>0</v>
          </cell>
          <cell r="L298" t="str">
            <v>No</v>
          </cell>
          <cell r="M298">
            <v>0</v>
          </cell>
          <cell r="N298">
            <v>0</v>
          </cell>
        </row>
        <row r="299">
          <cell r="A299" t="str">
            <v>FU0297</v>
          </cell>
          <cell r="B299" t="str">
            <v>Fusteltecnica</v>
          </cell>
          <cell r="C299" t="str">
            <v>R02687</v>
          </cell>
          <cell r="D299" t="str">
            <v>Nuova Virgiliana</v>
          </cell>
          <cell r="E299" t="str">
            <v>Coperchi Trasparenze</v>
          </cell>
          <cell r="F299" t="str">
            <v>BOBST 104</v>
          </cell>
          <cell r="G299">
            <v>4</v>
          </cell>
          <cell r="H299" t="str">
            <v>Si</v>
          </cell>
          <cell r="I299" t="str">
            <v>No</v>
          </cell>
          <cell r="J299" t="str">
            <v>No</v>
          </cell>
          <cell r="K299">
            <v>0</v>
          </cell>
          <cell r="L299" t="str">
            <v>Si</v>
          </cell>
          <cell r="M299" t="str">
            <v>Diana Pro 114</v>
          </cell>
          <cell r="N299" t="str">
            <v>Quattro angoli</v>
          </cell>
        </row>
        <row r="300">
          <cell r="A300" t="str">
            <v>FU0298</v>
          </cell>
          <cell r="B300" t="str">
            <v>Lasercom</v>
          </cell>
          <cell r="C300" t="str">
            <v>Lomba374</v>
          </cell>
          <cell r="D300" t="str">
            <v>Pantytex</v>
          </cell>
          <cell r="E300" t="str">
            <v>Appendini Ellen Amber H30</v>
          </cell>
          <cell r="F300" t="str">
            <v>BOBST 104</v>
          </cell>
          <cell r="G300">
            <v>6</v>
          </cell>
          <cell r="H300" t="str">
            <v>Si</v>
          </cell>
          <cell r="I300" t="str">
            <v>No</v>
          </cell>
          <cell r="J300" t="str">
            <v>No</v>
          </cell>
          <cell r="K300">
            <v>0</v>
          </cell>
          <cell r="L300" t="str">
            <v>No</v>
          </cell>
          <cell r="M300">
            <v>0</v>
          </cell>
          <cell r="N300">
            <v>0</v>
          </cell>
        </row>
        <row r="301">
          <cell r="A301" t="str">
            <v>FU0299</v>
          </cell>
          <cell r="B301" t="str">
            <v>Lasercom</v>
          </cell>
          <cell r="C301" t="str">
            <v>Lomba238</v>
          </cell>
          <cell r="D301" t="str">
            <v>Gandola</v>
          </cell>
          <cell r="E301" t="str">
            <v>Contenitori Strawberry</v>
          </cell>
          <cell r="F301" t="str">
            <v>BOBST 104</v>
          </cell>
          <cell r="G301">
            <v>2</v>
          </cell>
          <cell r="H301" t="str">
            <v>Si</v>
          </cell>
          <cell r="I301" t="str">
            <v>No</v>
          </cell>
          <cell r="J301" t="str">
            <v>No</v>
          </cell>
          <cell r="K301">
            <v>0</v>
          </cell>
          <cell r="L301" t="str">
            <v>Si</v>
          </cell>
          <cell r="M301" t="str">
            <v>Diana Pro 114</v>
          </cell>
          <cell r="N301" t="str">
            <v>Fondo Automatico</v>
          </cell>
        </row>
        <row r="302">
          <cell r="A302" t="str">
            <v>FU0300</v>
          </cell>
          <cell r="B302" t="str">
            <v>Fusteltecnica</v>
          </cell>
          <cell r="C302" t="str">
            <v>E13435</v>
          </cell>
          <cell r="D302" t="str">
            <v>CRM</v>
          </cell>
          <cell r="E302" t="str">
            <v>Buste COOP Collant</v>
          </cell>
          <cell r="F302" t="str">
            <v>BOBST 1260</v>
          </cell>
          <cell r="G302">
            <v>5</v>
          </cell>
          <cell r="H302" t="str">
            <v>Si</v>
          </cell>
          <cell r="I302" t="str">
            <v>Si</v>
          </cell>
          <cell r="J302" t="str">
            <v>No</v>
          </cell>
          <cell r="K302">
            <v>0</v>
          </cell>
          <cell r="L302" t="str">
            <v>Si</v>
          </cell>
          <cell r="M302" t="str">
            <v>Diana Pro 114</v>
          </cell>
          <cell r="N302" t="str">
            <v>Soffietto</v>
          </cell>
        </row>
        <row r="303">
          <cell r="A303" t="str">
            <v>FU0301</v>
          </cell>
          <cell r="B303" t="str">
            <v>Lasercom</v>
          </cell>
          <cell r="C303" t="str">
            <v>Lomba474</v>
          </cell>
          <cell r="D303" t="str">
            <v>Pantytex</v>
          </cell>
          <cell r="E303" t="str">
            <v>Astucci Mascarde</v>
          </cell>
          <cell r="F303" t="str">
            <v>BOBST 104</v>
          </cell>
          <cell r="G303">
            <v>6</v>
          </cell>
          <cell r="H303" t="str">
            <v>Si</v>
          </cell>
          <cell r="I303" t="str">
            <v>No</v>
          </cell>
          <cell r="J303" t="str">
            <v>No</v>
          </cell>
          <cell r="K303">
            <v>0</v>
          </cell>
          <cell r="L303" t="str">
            <v>Si</v>
          </cell>
          <cell r="M303" t="str">
            <v>DIana X80</v>
          </cell>
          <cell r="N303" t="str">
            <v>Lineare</v>
          </cell>
        </row>
        <row r="304">
          <cell r="A304" t="str">
            <v>FU0302</v>
          </cell>
          <cell r="B304" t="str">
            <v>Fusteltecnica</v>
          </cell>
          <cell r="C304" t="str">
            <v>M03879</v>
          </cell>
          <cell r="D304" t="str">
            <v>Pasta Lensi</v>
          </cell>
          <cell r="E304" t="str">
            <v>Muller Elbow</v>
          </cell>
          <cell r="F304" t="str">
            <v>BOBST 104</v>
          </cell>
          <cell r="G304">
            <v>4</v>
          </cell>
          <cell r="H304" t="str">
            <v>Si</v>
          </cell>
          <cell r="I304" t="str">
            <v>No</v>
          </cell>
          <cell r="J304" t="str">
            <v>No</v>
          </cell>
          <cell r="K304">
            <v>0</v>
          </cell>
          <cell r="L304" t="str">
            <v>Si</v>
          </cell>
          <cell r="M304" t="str">
            <v>Diana Pro 114</v>
          </cell>
          <cell r="N304" t="str">
            <v>Fondo Automatico</v>
          </cell>
        </row>
        <row r="305">
          <cell r="A305" t="str">
            <v>FU0303</v>
          </cell>
          <cell r="B305" t="str">
            <v>Fusteltecnica</v>
          </cell>
          <cell r="C305" t="str">
            <v>A02938</v>
          </cell>
          <cell r="D305" t="str">
            <v>CRM</v>
          </cell>
          <cell r="E305" t="str">
            <v>Astucci COOP 3 pair</v>
          </cell>
          <cell r="F305" t="str">
            <v>BOBST 1260</v>
          </cell>
          <cell r="G305">
            <v>6</v>
          </cell>
          <cell r="H305" t="str">
            <v>Si</v>
          </cell>
          <cell r="I305" t="str">
            <v>Si</v>
          </cell>
          <cell r="J305" t="str">
            <v>No</v>
          </cell>
          <cell r="K305">
            <v>0</v>
          </cell>
          <cell r="L305" t="str">
            <v>Si</v>
          </cell>
          <cell r="M305" t="str">
            <v>Diana Pro 114</v>
          </cell>
          <cell r="N305" t="str">
            <v>Lineare con Gancio</v>
          </cell>
        </row>
        <row r="306">
          <cell r="A306" t="str">
            <v>FU0304</v>
          </cell>
          <cell r="B306" t="str">
            <v>Lasercom</v>
          </cell>
          <cell r="C306" t="str">
            <v>Lomb308N</v>
          </cell>
          <cell r="D306" t="str">
            <v>Gallo</v>
          </cell>
          <cell r="E306" t="str">
            <v>Pendaglio testa di gallo piccoli</v>
          </cell>
          <cell r="F306" t="str">
            <v>BOBST 104</v>
          </cell>
          <cell r="G306">
            <v>24</v>
          </cell>
          <cell r="H306" t="str">
            <v>Si</v>
          </cell>
          <cell r="I306" t="str">
            <v>No</v>
          </cell>
          <cell r="J306" t="str">
            <v>No</v>
          </cell>
          <cell r="K306">
            <v>0</v>
          </cell>
          <cell r="L306" t="str">
            <v>No</v>
          </cell>
          <cell r="M306">
            <v>0</v>
          </cell>
          <cell r="N306">
            <v>0</v>
          </cell>
        </row>
        <row r="307">
          <cell r="A307" t="str">
            <v>FU0305</v>
          </cell>
          <cell r="B307" t="str">
            <v>Fusteltecnica</v>
          </cell>
          <cell r="C307" t="str">
            <v>M03211</v>
          </cell>
          <cell r="D307" t="str">
            <v>Pantytex</v>
          </cell>
          <cell r="E307" t="str">
            <v>Appendini Hema FSC 40952</v>
          </cell>
          <cell r="F307" t="str">
            <v>BOBST 104</v>
          </cell>
          <cell r="G307">
            <v>4</v>
          </cell>
          <cell r="H307" t="str">
            <v>Si</v>
          </cell>
          <cell r="I307" t="str">
            <v>No</v>
          </cell>
          <cell r="J307" t="str">
            <v>No</v>
          </cell>
          <cell r="K307">
            <v>0</v>
          </cell>
          <cell r="L307" t="str">
            <v>No</v>
          </cell>
          <cell r="M307">
            <v>0</v>
          </cell>
          <cell r="N307">
            <v>0</v>
          </cell>
        </row>
        <row r="308">
          <cell r="A308" t="str">
            <v>FU0306</v>
          </cell>
          <cell r="B308" t="str">
            <v>Fusteltecnica</v>
          </cell>
          <cell r="C308" t="str">
            <v>A03686</v>
          </cell>
          <cell r="D308" t="str">
            <v>Magazzini del Caffè</v>
          </cell>
          <cell r="E308" t="str">
            <v>Astucci Pressogno</v>
          </cell>
          <cell r="F308" t="str">
            <v>BOBST 104</v>
          </cell>
          <cell r="G308">
            <v>9</v>
          </cell>
          <cell r="H308" t="str">
            <v>Si</v>
          </cell>
          <cell r="I308" t="str">
            <v>No</v>
          </cell>
          <cell r="J308" t="str">
            <v>No</v>
          </cell>
          <cell r="K308">
            <v>0</v>
          </cell>
          <cell r="L308" t="str">
            <v>No</v>
          </cell>
          <cell r="M308">
            <v>0</v>
          </cell>
          <cell r="N308">
            <v>0</v>
          </cell>
        </row>
        <row r="309">
          <cell r="A309" t="str">
            <v>FU0307</v>
          </cell>
          <cell r="B309" t="str">
            <v>Fusteltecnica</v>
          </cell>
          <cell r="C309" t="str">
            <v>A01411</v>
          </cell>
          <cell r="D309" t="str">
            <v>Prontofoods</v>
          </cell>
          <cell r="E309" t="str">
            <v>Astucci Budini</v>
          </cell>
          <cell r="F309" t="str">
            <v>BOBST 104</v>
          </cell>
          <cell r="G309">
            <v>8</v>
          </cell>
          <cell r="H309" t="str">
            <v>Si</v>
          </cell>
          <cell r="I309" t="str">
            <v>No</v>
          </cell>
          <cell r="J309" t="str">
            <v>No</v>
          </cell>
          <cell r="K309">
            <v>0</v>
          </cell>
          <cell r="L309" t="str">
            <v>Si</v>
          </cell>
          <cell r="M309" t="str">
            <v>DIana X80</v>
          </cell>
          <cell r="N309" t="str">
            <v>Lineare</v>
          </cell>
        </row>
        <row r="310">
          <cell r="A310" t="str">
            <v>FU0308</v>
          </cell>
          <cell r="B310" t="str">
            <v>Fusteltecnica</v>
          </cell>
          <cell r="C310" t="str">
            <v>R03342</v>
          </cell>
          <cell r="D310" t="str">
            <v>Pasta Lensi</v>
          </cell>
          <cell r="E310" t="str">
            <v>Spaghetti Mullers</v>
          </cell>
          <cell r="F310" t="str">
            <v>BOBST 104</v>
          </cell>
          <cell r="G310">
            <v>8</v>
          </cell>
          <cell r="H310" t="str">
            <v>Si</v>
          </cell>
          <cell r="I310" t="str">
            <v>No</v>
          </cell>
          <cell r="J310" t="str">
            <v>No</v>
          </cell>
          <cell r="K310">
            <v>0</v>
          </cell>
          <cell r="L310" t="str">
            <v>Si</v>
          </cell>
          <cell r="M310" t="str">
            <v>DIana X80</v>
          </cell>
          <cell r="N310" t="str">
            <v>Lineare</v>
          </cell>
        </row>
        <row r="311">
          <cell r="A311" t="str">
            <v>FU0309</v>
          </cell>
          <cell r="B311" t="str">
            <v>Fusteltecnica</v>
          </cell>
          <cell r="C311" t="str">
            <v>E14124</v>
          </cell>
          <cell r="D311" t="str">
            <v>JBS</v>
          </cell>
          <cell r="E311" t="str">
            <v>Buste Decoy + Matas</v>
          </cell>
          <cell r="F311" t="str">
            <v>BOBST 104</v>
          </cell>
          <cell r="G311">
            <v>4</v>
          </cell>
          <cell r="H311" t="str">
            <v>Si</v>
          </cell>
          <cell r="I311" t="str">
            <v>No</v>
          </cell>
          <cell r="J311" t="str">
            <v>No</v>
          </cell>
          <cell r="K311">
            <v>0</v>
          </cell>
          <cell r="L311" t="str">
            <v>Si</v>
          </cell>
          <cell r="M311" t="str">
            <v>Diana Pro 114</v>
          </cell>
          <cell r="N311" t="str">
            <v>Soffietto</v>
          </cell>
        </row>
        <row r="312">
          <cell r="A312" t="str">
            <v>FU0310</v>
          </cell>
          <cell r="B312" t="str">
            <v>Lasercom</v>
          </cell>
          <cell r="C312" t="str">
            <v>Lomb41</v>
          </cell>
          <cell r="D312" t="str">
            <v>Pantytex</v>
          </cell>
          <cell r="E312" t="str">
            <v>Astucci Panty 40625</v>
          </cell>
          <cell r="F312" t="str">
            <v>BOBST 104</v>
          </cell>
          <cell r="G312">
            <v>8</v>
          </cell>
          <cell r="H312" t="str">
            <v>Si</v>
          </cell>
          <cell r="I312" t="str">
            <v>No</v>
          </cell>
          <cell r="J312" t="str">
            <v>No</v>
          </cell>
          <cell r="K312">
            <v>0</v>
          </cell>
          <cell r="L312" t="str">
            <v>Si</v>
          </cell>
          <cell r="M312" t="str">
            <v>DIana X80</v>
          </cell>
          <cell r="N312" t="str">
            <v>Lineare</v>
          </cell>
        </row>
        <row r="313">
          <cell r="A313" t="str">
            <v>FU0311</v>
          </cell>
          <cell r="B313" t="str">
            <v>Fusteltecnica</v>
          </cell>
          <cell r="C313" t="str">
            <v>E04017</v>
          </cell>
          <cell r="D313" t="str">
            <v>Quaranta</v>
          </cell>
          <cell r="E313" t="str">
            <v>Ovali Quaranta</v>
          </cell>
          <cell r="F313" t="str">
            <v>BOBST 104</v>
          </cell>
          <cell r="G313">
            <v>12</v>
          </cell>
          <cell r="H313" t="str">
            <v>No</v>
          </cell>
          <cell r="I313" t="str">
            <v>No</v>
          </cell>
          <cell r="J313" t="str">
            <v>No</v>
          </cell>
          <cell r="K313">
            <v>0</v>
          </cell>
          <cell r="L313" t="str">
            <v>No</v>
          </cell>
          <cell r="M313">
            <v>0</v>
          </cell>
          <cell r="N313">
            <v>0</v>
          </cell>
        </row>
        <row r="314">
          <cell r="A314" t="str">
            <v>FU0312</v>
          </cell>
          <cell r="B314" t="str">
            <v>Lasercom</v>
          </cell>
          <cell r="C314" t="str">
            <v>Lomba513</v>
          </cell>
          <cell r="D314" t="str">
            <v>Elettroplastica</v>
          </cell>
          <cell r="E314" t="str">
            <v>Scatole A200</v>
          </cell>
          <cell r="F314" t="str">
            <v>BOBST 1260</v>
          </cell>
          <cell r="G314">
            <v>2</v>
          </cell>
          <cell r="H314" t="str">
            <v>No</v>
          </cell>
          <cell r="I314" t="str">
            <v>Si</v>
          </cell>
          <cell r="J314" t="str">
            <v>No</v>
          </cell>
          <cell r="K314">
            <v>0</v>
          </cell>
          <cell r="L314" t="str">
            <v>Si</v>
          </cell>
          <cell r="M314" t="str">
            <v>DIana X80</v>
          </cell>
          <cell r="N314" t="str">
            <v>Lineare</v>
          </cell>
        </row>
        <row r="315">
          <cell r="A315" t="str">
            <v>FU0313</v>
          </cell>
          <cell r="B315" t="str">
            <v>Lasercom</v>
          </cell>
          <cell r="C315" t="str">
            <v>Lomba515</v>
          </cell>
          <cell r="D315" t="str">
            <v>Battaglio</v>
          </cell>
          <cell r="E315" t="str">
            <v>Fascette 3 Orsi</v>
          </cell>
          <cell r="F315" t="str">
            <v>BOBST 104</v>
          </cell>
          <cell r="G315">
            <v>28</v>
          </cell>
          <cell r="H315" t="str">
            <v>No</v>
          </cell>
          <cell r="I315" t="str">
            <v>No</v>
          </cell>
          <cell r="J315" t="str">
            <v>No</v>
          </cell>
          <cell r="K315">
            <v>0</v>
          </cell>
          <cell r="L315" t="str">
            <v>No</v>
          </cell>
          <cell r="M315">
            <v>0</v>
          </cell>
          <cell r="N315">
            <v>0</v>
          </cell>
        </row>
        <row r="316">
          <cell r="A316" t="str">
            <v>FU0314</v>
          </cell>
          <cell r="B316" t="str">
            <v>Lasercom</v>
          </cell>
          <cell r="C316" t="str">
            <v>Lomba691</v>
          </cell>
          <cell r="D316" t="str">
            <v>Battaglio</v>
          </cell>
          <cell r="E316" t="str">
            <v>Cavallotti Fascette Abbinati</v>
          </cell>
          <cell r="F316" t="str">
            <v>BOBST 104</v>
          </cell>
          <cell r="G316">
            <v>18</v>
          </cell>
          <cell r="H316" t="str">
            <v>No</v>
          </cell>
          <cell r="I316" t="str">
            <v>No</v>
          </cell>
          <cell r="J316" t="str">
            <v>No</v>
          </cell>
          <cell r="K316">
            <v>0</v>
          </cell>
          <cell r="L316" t="str">
            <v>No</v>
          </cell>
          <cell r="M316">
            <v>0</v>
          </cell>
          <cell r="N316">
            <v>0</v>
          </cell>
        </row>
        <row r="317">
          <cell r="A317" t="str">
            <v>FU0315</v>
          </cell>
          <cell r="B317" t="str">
            <v>Fusteltecnica</v>
          </cell>
          <cell r="C317" t="str">
            <v>M01817</v>
          </cell>
          <cell r="D317" t="str">
            <v>Gieffeplast</v>
          </cell>
          <cell r="E317" t="str">
            <v>Astucci Nastri</v>
          </cell>
          <cell r="F317" t="str">
            <v>BOBST 1260</v>
          </cell>
          <cell r="G317">
            <v>6</v>
          </cell>
          <cell r="H317" t="str">
            <v>Si</v>
          </cell>
          <cell r="I317" t="str">
            <v>Si</v>
          </cell>
          <cell r="J317" t="str">
            <v>No</v>
          </cell>
          <cell r="K317">
            <v>0</v>
          </cell>
          <cell r="L317" t="str">
            <v>Si</v>
          </cell>
          <cell r="M317" t="str">
            <v>Diana Pro 114</v>
          </cell>
          <cell r="N317" t="str">
            <v>Fondo Automatico</v>
          </cell>
        </row>
        <row r="318">
          <cell r="A318" t="str">
            <v>FU0316</v>
          </cell>
          <cell r="B318" t="str">
            <v>Fusteltecnica</v>
          </cell>
          <cell r="C318" t="str">
            <v>R01650</v>
          </cell>
          <cell r="D318" t="str">
            <v>Tracy</v>
          </cell>
          <cell r="E318" t="str">
            <v>Fasciette Estex piccole</v>
          </cell>
          <cell r="F318" t="str">
            <v>BOBST 104</v>
          </cell>
          <cell r="G318">
            <v>9</v>
          </cell>
          <cell r="H318" t="str">
            <v>No</v>
          </cell>
          <cell r="I318" t="str">
            <v>No</v>
          </cell>
          <cell r="J318" t="str">
            <v>No</v>
          </cell>
          <cell r="K318">
            <v>0</v>
          </cell>
          <cell r="L318" t="str">
            <v>No</v>
          </cell>
          <cell r="M318">
            <v>0</v>
          </cell>
          <cell r="N318">
            <v>0</v>
          </cell>
        </row>
        <row r="319">
          <cell r="A319" t="str">
            <v>FU0317</v>
          </cell>
          <cell r="B319" t="str">
            <v>Fusteltecnica</v>
          </cell>
          <cell r="C319" t="str">
            <v>E07987</v>
          </cell>
          <cell r="D319" t="str">
            <v>Pantytex</v>
          </cell>
          <cell r="E319" t="str">
            <v>Appendini Tchibo d45 2020</v>
          </cell>
          <cell r="F319" t="str">
            <v>BOBST 104</v>
          </cell>
          <cell r="G319">
            <v>6</v>
          </cell>
          <cell r="H319" t="str">
            <v>No</v>
          </cell>
          <cell r="I319" t="str">
            <v>No</v>
          </cell>
          <cell r="J319" t="str">
            <v>No</v>
          </cell>
          <cell r="K319">
            <v>0</v>
          </cell>
          <cell r="L319" t="str">
            <v>No</v>
          </cell>
          <cell r="M319">
            <v>0</v>
          </cell>
          <cell r="N319">
            <v>0</v>
          </cell>
        </row>
        <row r="320">
          <cell r="A320" t="str">
            <v>FU0318</v>
          </cell>
          <cell r="B320" t="str">
            <v>Lasercom</v>
          </cell>
          <cell r="C320" t="str">
            <v>Lomba486</v>
          </cell>
          <cell r="D320" t="str">
            <v>Tracy</v>
          </cell>
          <cell r="E320" t="str">
            <v>Fasciette Estex</v>
          </cell>
          <cell r="F320" t="str">
            <v>BOBST 104</v>
          </cell>
          <cell r="G320">
            <v>10</v>
          </cell>
          <cell r="H320" t="str">
            <v>No</v>
          </cell>
          <cell r="I320" t="str">
            <v>No</v>
          </cell>
          <cell r="J320" t="str">
            <v>No</v>
          </cell>
          <cell r="K320">
            <v>0</v>
          </cell>
          <cell r="L320" t="str">
            <v>No</v>
          </cell>
          <cell r="M320">
            <v>0</v>
          </cell>
          <cell r="N320">
            <v>0</v>
          </cell>
        </row>
        <row r="321">
          <cell r="A321" t="str">
            <v>FU0319</v>
          </cell>
          <cell r="B321" t="str">
            <v>Fusteltecnica</v>
          </cell>
          <cell r="C321" t="str">
            <v>M05731</v>
          </cell>
          <cell r="D321" t="str">
            <v>Vegas</v>
          </cell>
          <cell r="E321" t="str">
            <v>Appendini Vegas h45</v>
          </cell>
          <cell r="F321" t="str">
            <v>BOBST 1260</v>
          </cell>
          <cell r="G321">
            <v>2</v>
          </cell>
          <cell r="H321" t="str">
            <v>No</v>
          </cell>
          <cell r="I321" t="str">
            <v>Si</v>
          </cell>
          <cell r="J321" t="str">
            <v>No</v>
          </cell>
          <cell r="K321">
            <v>0</v>
          </cell>
          <cell r="L321" t="str">
            <v>No</v>
          </cell>
          <cell r="M321">
            <v>0</v>
          </cell>
          <cell r="N321">
            <v>0</v>
          </cell>
        </row>
        <row r="322">
          <cell r="A322" t="str">
            <v>FU0320</v>
          </cell>
          <cell r="B322" t="str">
            <v>Fusteltecnica</v>
          </cell>
          <cell r="C322" t="str">
            <v>G18657</v>
          </cell>
          <cell r="D322" t="str">
            <v>Pantytex</v>
          </cell>
          <cell r="E322" t="str">
            <v>Astucci Hema H12</v>
          </cell>
          <cell r="F322" t="str">
            <v>BOBST 1260</v>
          </cell>
          <cell r="G322">
            <v>6</v>
          </cell>
          <cell r="H322" t="str">
            <v>Si</v>
          </cell>
          <cell r="I322" t="str">
            <v>Si</v>
          </cell>
          <cell r="J322" t="str">
            <v>No</v>
          </cell>
          <cell r="K322">
            <v>0</v>
          </cell>
          <cell r="L322" t="str">
            <v>Si</v>
          </cell>
          <cell r="M322" t="str">
            <v>DIana X80</v>
          </cell>
          <cell r="N322" t="str">
            <v>Lineare</v>
          </cell>
        </row>
        <row r="323">
          <cell r="A323" t="str">
            <v>FU0321</v>
          </cell>
          <cell r="B323" t="str">
            <v>Fusteltecnica</v>
          </cell>
          <cell r="C323" t="str">
            <v>R01505</v>
          </cell>
          <cell r="D323" t="str">
            <v>Cipriani</v>
          </cell>
          <cell r="E323" t="str">
            <v>Expo cipry</v>
          </cell>
          <cell r="F323" t="str">
            <v>BOBST 1260</v>
          </cell>
          <cell r="G323">
            <v>4</v>
          </cell>
          <cell r="H323" t="str">
            <v>Si</v>
          </cell>
          <cell r="I323" t="str">
            <v>Si</v>
          </cell>
          <cell r="J323" t="str">
            <v>No</v>
          </cell>
          <cell r="K323">
            <v>0</v>
          </cell>
          <cell r="L323" t="str">
            <v>No</v>
          </cell>
          <cell r="M323">
            <v>0</v>
          </cell>
          <cell r="N323">
            <v>0</v>
          </cell>
        </row>
        <row r="324">
          <cell r="A324" t="str">
            <v>FU0322</v>
          </cell>
          <cell r="B324" t="str">
            <v>Lasercom</v>
          </cell>
          <cell r="C324" t="str">
            <v>Lomba350</v>
          </cell>
          <cell r="D324" t="str">
            <v>Tracy</v>
          </cell>
          <cell r="E324" t="str">
            <v>Cavallotti Evabella + Cartellini</v>
          </cell>
          <cell r="F324" t="str">
            <v>BOBST 104</v>
          </cell>
          <cell r="G324">
            <v>28</v>
          </cell>
          <cell r="H324" t="str">
            <v>No</v>
          </cell>
          <cell r="I324" t="str">
            <v>No</v>
          </cell>
          <cell r="J324" t="str">
            <v>No</v>
          </cell>
          <cell r="K324">
            <v>0</v>
          </cell>
          <cell r="L324" t="str">
            <v>No</v>
          </cell>
          <cell r="M324">
            <v>0</v>
          </cell>
          <cell r="N324">
            <v>0</v>
          </cell>
        </row>
        <row r="325">
          <cell r="A325" t="str">
            <v>FU0323</v>
          </cell>
          <cell r="B325" t="str">
            <v>Fusteltecnica</v>
          </cell>
          <cell r="C325" t="str">
            <v>R05124</v>
          </cell>
          <cell r="D325" t="str">
            <v>Eire</v>
          </cell>
          <cell r="E325" t="str">
            <v>Appendini Tchibo</v>
          </cell>
          <cell r="F325" t="str">
            <v>BOBST 104</v>
          </cell>
          <cell r="G325">
            <v>6</v>
          </cell>
          <cell r="H325" t="str">
            <v>No</v>
          </cell>
          <cell r="I325" t="str">
            <v>No</v>
          </cell>
          <cell r="J325" t="str">
            <v>No</v>
          </cell>
          <cell r="K325">
            <v>0</v>
          </cell>
          <cell r="L325" t="str">
            <v>No</v>
          </cell>
          <cell r="M325">
            <v>0</v>
          </cell>
          <cell r="N325">
            <v>0</v>
          </cell>
        </row>
        <row r="326">
          <cell r="A326" t="str">
            <v>FU0324</v>
          </cell>
          <cell r="B326" t="str">
            <v>Lasercom</v>
          </cell>
          <cell r="C326" t="str">
            <v>Lomba666</v>
          </cell>
          <cell r="D326" t="str">
            <v>Artical</v>
          </cell>
          <cell r="E326" t="str">
            <v>Astucci black leather pro</v>
          </cell>
          <cell r="F326" t="str">
            <v>BOBST 1260</v>
          </cell>
          <cell r="G326">
            <v>4</v>
          </cell>
          <cell r="H326" t="str">
            <v>No</v>
          </cell>
          <cell r="I326" t="str">
            <v>Si</v>
          </cell>
          <cell r="J326" t="str">
            <v>No</v>
          </cell>
          <cell r="K326">
            <v>0</v>
          </cell>
          <cell r="L326" t="str">
            <v>No</v>
          </cell>
          <cell r="M326">
            <v>0</v>
          </cell>
          <cell r="N326">
            <v>0</v>
          </cell>
        </row>
        <row r="327">
          <cell r="A327" t="str">
            <v>FU0325</v>
          </cell>
          <cell r="B327" t="str">
            <v>Lasercom</v>
          </cell>
          <cell r="C327" t="str">
            <v>Lomb516</v>
          </cell>
          <cell r="D327" t="str">
            <v>Cizeta</v>
          </cell>
          <cell r="E327" t="str">
            <v>Inserti Piccoli</v>
          </cell>
          <cell r="F327" t="str">
            <v>BOBST 1260</v>
          </cell>
          <cell r="G327">
            <v>5</v>
          </cell>
          <cell r="H327" t="str">
            <v>No</v>
          </cell>
          <cell r="I327" t="str">
            <v>Si</v>
          </cell>
          <cell r="J327" t="str">
            <v>No</v>
          </cell>
          <cell r="K327">
            <v>0</v>
          </cell>
          <cell r="L327" t="str">
            <v>No</v>
          </cell>
          <cell r="M327">
            <v>0</v>
          </cell>
          <cell r="N327">
            <v>0</v>
          </cell>
        </row>
        <row r="328">
          <cell r="A328" t="str">
            <v>FU0326</v>
          </cell>
          <cell r="B328" t="str">
            <v>Fusteltecnica</v>
          </cell>
          <cell r="C328" t="str">
            <v>M02676</v>
          </cell>
          <cell r="D328" t="str">
            <v>CRM</v>
          </cell>
          <cell r="E328" t="str">
            <v>Astucci coop dorso 4</v>
          </cell>
          <cell r="F328" t="str">
            <v>BOBST 1260</v>
          </cell>
          <cell r="G328">
            <v>6</v>
          </cell>
          <cell r="H328" t="str">
            <v>Si</v>
          </cell>
          <cell r="I328" t="str">
            <v>Si</v>
          </cell>
          <cell r="J328" t="str">
            <v>No</v>
          </cell>
          <cell r="K328">
            <v>0</v>
          </cell>
          <cell r="L328" t="str">
            <v>Si</v>
          </cell>
          <cell r="M328" t="str">
            <v>DIana X80</v>
          </cell>
          <cell r="N328" t="str">
            <v>Lineare</v>
          </cell>
        </row>
        <row r="329">
          <cell r="A329" t="str">
            <v>FU0327</v>
          </cell>
          <cell r="B329" t="str">
            <v>Lasercom</v>
          </cell>
          <cell r="C329" t="str">
            <v>Lomba512</v>
          </cell>
          <cell r="D329" t="str">
            <v>Gallo</v>
          </cell>
          <cell r="E329" t="str">
            <v>Scatole + coperchi</v>
          </cell>
          <cell r="F329" t="str">
            <v>BOBST 104</v>
          </cell>
          <cell r="G329">
            <v>4</v>
          </cell>
          <cell r="H329" t="str">
            <v>Si</v>
          </cell>
          <cell r="I329" t="str">
            <v>No</v>
          </cell>
          <cell r="J329" t="str">
            <v>No</v>
          </cell>
          <cell r="K329">
            <v>0</v>
          </cell>
          <cell r="L329" t="str">
            <v>Si</v>
          </cell>
          <cell r="M329" t="str">
            <v>Diana Pro 114</v>
          </cell>
          <cell r="N329" t="str">
            <v>Quattro angoli</v>
          </cell>
        </row>
        <row r="330">
          <cell r="A330" t="str">
            <v>FU0328</v>
          </cell>
          <cell r="B330" t="str">
            <v>Fusteltecnica</v>
          </cell>
          <cell r="C330" t="str">
            <v>M02232</v>
          </cell>
          <cell r="D330" t="str">
            <v>JBS</v>
          </cell>
          <cell r="E330" t="str">
            <v>Buste Stinna Gambaletto</v>
          </cell>
          <cell r="F330" t="str">
            <v>BOBST 104</v>
          </cell>
          <cell r="G330">
            <v>5</v>
          </cell>
          <cell r="H330" t="str">
            <v>Si</v>
          </cell>
          <cell r="I330" t="str">
            <v>No</v>
          </cell>
          <cell r="J330" t="str">
            <v>No</v>
          </cell>
          <cell r="K330">
            <v>0</v>
          </cell>
          <cell r="L330" t="str">
            <v>Si</v>
          </cell>
          <cell r="M330" t="str">
            <v>Diana Pro 114</v>
          </cell>
          <cell r="N330" t="str">
            <v>Soffietto</v>
          </cell>
        </row>
        <row r="331">
          <cell r="A331" t="str">
            <v>FU0329</v>
          </cell>
          <cell r="B331" t="str">
            <v>Fusteltecnica</v>
          </cell>
          <cell r="C331" t="str">
            <v>B01528</v>
          </cell>
          <cell r="D331" t="str">
            <v>Tradigo</v>
          </cell>
          <cell r="E331" t="str">
            <v>Buste A L master</v>
          </cell>
          <cell r="F331" t="str">
            <v>BOBST 104</v>
          </cell>
          <cell r="G331">
            <v>10</v>
          </cell>
          <cell r="H331" t="str">
            <v>Si</v>
          </cell>
          <cell r="I331" t="str">
            <v>No</v>
          </cell>
          <cell r="J331" t="str">
            <v>Si</v>
          </cell>
          <cell r="K331">
            <v>2</v>
          </cell>
          <cell r="L331" t="str">
            <v>Si</v>
          </cell>
          <cell r="M331" t="str">
            <v>Diana Pro 114</v>
          </cell>
          <cell r="N331" t="str">
            <v>Buste a L</v>
          </cell>
        </row>
        <row r="332">
          <cell r="A332" t="str">
            <v>FU0330</v>
          </cell>
          <cell r="B332" t="str">
            <v>Fusteltecnica</v>
          </cell>
          <cell r="C332" t="str">
            <v>R00977</v>
          </cell>
          <cell r="D332" t="str">
            <v>Gandola</v>
          </cell>
          <cell r="E332" t="str">
            <v>Espositore Farrociok</v>
          </cell>
          <cell r="F332" t="str">
            <v>BOBST 1260</v>
          </cell>
          <cell r="G332">
            <v>2</v>
          </cell>
          <cell r="H332" t="str">
            <v>Si</v>
          </cell>
          <cell r="I332" t="str">
            <v>Si</v>
          </cell>
          <cell r="J332" t="str">
            <v>No</v>
          </cell>
          <cell r="K332">
            <v>0</v>
          </cell>
          <cell r="L332" t="str">
            <v>Si</v>
          </cell>
          <cell r="M332" t="str">
            <v>Diana Pro 114</v>
          </cell>
          <cell r="N332" t="str">
            <v>Fondo Automatico</v>
          </cell>
        </row>
        <row r="333">
          <cell r="A333" t="str">
            <v>FU0331</v>
          </cell>
          <cell r="B333" t="str">
            <v>Fusteltecnica</v>
          </cell>
          <cell r="C333" t="str">
            <v>E09555</v>
          </cell>
          <cell r="D333" t="str">
            <v>Genny</v>
          </cell>
          <cell r="E333" t="str">
            <v>appendini bimba ca 3x</v>
          </cell>
          <cell r="F333" t="str">
            <v>BOBST 104</v>
          </cell>
          <cell r="G333">
            <v>8</v>
          </cell>
          <cell r="H333" t="str">
            <v>Si</v>
          </cell>
          <cell r="I333" t="str">
            <v>No</v>
          </cell>
          <cell r="J333" t="str">
            <v>No</v>
          </cell>
          <cell r="K333">
            <v>0</v>
          </cell>
          <cell r="L333" t="str">
            <v>No</v>
          </cell>
          <cell r="M333">
            <v>0</v>
          </cell>
          <cell r="N333">
            <v>0</v>
          </cell>
        </row>
        <row r="334">
          <cell r="A334" t="str">
            <v>FU0332</v>
          </cell>
          <cell r="B334" t="str">
            <v>Fusteltecnica</v>
          </cell>
          <cell r="C334" t="str">
            <v>E14643</v>
          </cell>
          <cell r="D334" t="str">
            <v>Love and Bra</v>
          </cell>
          <cell r="E334" t="str">
            <v>Astucci h37</v>
          </cell>
          <cell r="F334" t="str">
            <v>BOBST 1260</v>
          </cell>
          <cell r="G334">
            <v>6</v>
          </cell>
          <cell r="H334" t="str">
            <v>Si</v>
          </cell>
          <cell r="I334" t="str">
            <v>Si</v>
          </cell>
          <cell r="J334" t="str">
            <v>No</v>
          </cell>
          <cell r="K334">
            <v>0</v>
          </cell>
          <cell r="L334" t="str">
            <v>Si</v>
          </cell>
          <cell r="M334" t="str">
            <v>DIana X80</v>
          </cell>
          <cell r="N334" t="str">
            <v>Lineare</v>
          </cell>
        </row>
        <row r="335">
          <cell r="A335" t="str">
            <v>FU0333</v>
          </cell>
          <cell r="B335" t="str">
            <v>Fusteltecnica</v>
          </cell>
          <cell r="C335" t="str">
            <v>M03552</v>
          </cell>
          <cell r="D335" t="str">
            <v>Tracy</v>
          </cell>
          <cell r="E335" t="str">
            <v>Fascette Estex Piccole</v>
          </cell>
          <cell r="F335" t="str">
            <v>BOBST 104</v>
          </cell>
          <cell r="G335">
            <v>5</v>
          </cell>
          <cell r="H335" t="str">
            <v>Si</v>
          </cell>
          <cell r="I335" t="str">
            <v>No</v>
          </cell>
          <cell r="J335" t="str">
            <v>No</v>
          </cell>
          <cell r="K335">
            <v>0</v>
          </cell>
          <cell r="L335" t="str">
            <v>No</v>
          </cell>
          <cell r="M335">
            <v>0</v>
          </cell>
          <cell r="N335">
            <v>0</v>
          </cell>
        </row>
        <row r="336">
          <cell r="A336" t="str">
            <v>FU0334</v>
          </cell>
          <cell r="B336" t="str">
            <v>Fusteltecnica</v>
          </cell>
          <cell r="C336" t="str">
            <v>K01651</v>
          </cell>
          <cell r="D336" t="str">
            <v>Cipriani</v>
          </cell>
          <cell r="E336" t="str">
            <v>Astucci Cipriani</v>
          </cell>
          <cell r="F336" t="str">
            <v>BOBST 104</v>
          </cell>
          <cell r="G336">
            <v>4</v>
          </cell>
          <cell r="H336" t="str">
            <v>Si</v>
          </cell>
          <cell r="I336" t="str">
            <v>No</v>
          </cell>
          <cell r="J336" t="str">
            <v>No</v>
          </cell>
          <cell r="K336">
            <v>0</v>
          </cell>
          <cell r="L336" t="str">
            <v>Si</v>
          </cell>
          <cell r="M336" t="str">
            <v>DIana X80</v>
          </cell>
          <cell r="N336" t="str">
            <v>Lineare</v>
          </cell>
        </row>
        <row r="337">
          <cell r="A337" t="str">
            <v>FU0335</v>
          </cell>
          <cell r="B337" t="str">
            <v>Lasercom</v>
          </cell>
          <cell r="C337" t="str">
            <v>Lomba297</v>
          </cell>
          <cell r="D337" t="str">
            <v>Tradigo</v>
          </cell>
          <cell r="E337" t="str">
            <v>Astucci Scarpe &amp; Scarpe</v>
          </cell>
          <cell r="F337" t="str">
            <v>BOBST 104</v>
          </cell>
          <cell r="G337">
            <v>6</v>
          </cell>
          <cell r="H337" t="str">
            <v>Si</v>
          </cell>
          <cell r="I337" t="str">
            <v>No</v>
          </cell>
          <cell r="J337" t="str">
            <v>No</v>
          </cell>
          <cell r="K337">
            <v>0</v>
          </cell>
          <cell r="L337" t="str">
            <v>Si</v>
          </cell>
          <cell r="M337" t="str">
            <v>DIana X80</v>
          </cell>
          <cell r="N337" t="str">
            <v>Lineare</v>
          </cell>
        </row>
        <row r="338">
          <cell r="A338" t="str">
            <v>FU0336</v>
          </cell>
          <cell r="B338" t="str">
            <v>Fusteltecnica</v>
          </cell>
          <cell r="C338" t="str">
            <v>G17069</v>
          </cell>
          <cell r="D338" t="str">
            <v>Pantytex</v>
          </cell>
          <cell r="E338" t="str">
            <v>Appendini Hema fvoet</v>
          </cell>
          <cell r="F338" t="str">
            <v>BOBST 1260</v>
          </cell>
          <cell r="G338">
            <v>6</v>
          </cell>
          <cell r="H338" t="str">
            <v>Si</v>
          </cell>
          <cell r="I338" t="str">
            <v>Si</v>
          </cell>
          <cell r="J338" t="str">
            <v>No</v>
          </cell>
          <cell r="K338">
            <v>0</v>
          </cell>
          <cell r="L338" t="str">
            <v>No</v>
          </cell>
          <cell r="M338">
            <v>0</v>
          </cell>
          <cell r="N338">
            <v>0</v>
          </cell>
        </row>
        <row r="339">
          <cell r="A339" t="str">
            <v>FU0337</v>
          </cell>
          <cell r="B339" t="str">
            <v>Fusteltecnica</v>
          </cell>
          <cell r="C339" t="str">
            <v>M01191</v>
          </cell>
          <cell r="D339" t="str">
            <v>Pasta Lensi</v>
          </cell>
          <cell r="E339" t="str">
            <v>Cavallotti Piccoli Grandi</v>
          </cell>
          <cell r="F339" t="str">
            <v>BOBST 104</v>
          </cell>
          <cell r="G339">
            <v>19</v>
          </cell>
          <cell r="H339" t="str">
            <v>Si</v>
          </cell>
          <cell r="I339" t="str">
            <v>No</v>
          </cell>
          <cell r="J339" t="str">
            <v>No</v>
          </cell>
          <cell r="K339">
            <v>0</v>
          </cell>
          <cell r="L339" t="str">
            <v>No</v>
          </cell>
          <cell r="M339">
            <v>0</v>
          </cell>
          <cell r="N339">
            <v>0</v>
          </cell>
        </row>
        <row r="340">
          <cell r="A340" t="str">
            <v>FU0338</v>
          </cell>
          <cell r="B340" t="str">
            <v>Fusteltecnica</v>
          </cell>
          <cell r="C340" t="str">
            <v>M153</v>
          </cell>
          <cell r="D340" t="str">
            <v>Pasta Lensi</v>
          </cell>
          <cell r="E340" t="str">
            <v>Cavallotti ahold</v>
          </cell>
          <cell r="F340" t="str">
            <v>BOBST 1260</v>
          </cell>
          <cell r="G340">
            <v>12</v>
          </cell>
          <cell r="H340" t="str">
            <v>Si</v>
          </cell>
          <cell r="I340" t="str">
            <v>Si</v>
          </cell>
          <cell r="J340" t="str">
            <v>No</v>
          </cell>
          <cell r="K340">
            <v>0</v>
          </cell>
          <cell r="L340" t="str">
            <v>No</v>
          </cell>
          <cell r="M340">
            <v>0</v>
          </cell>
          <cell r="N340">
            <v>0</v>
          </cell>
        </row>
        <row r="341">
          <cell r="A341" t="str">
            <v>FU0339</v>
          </cell>
          <cell r="B341" t="str">
            <v>Fusteltecnica</v>
          </cell>
          <cell r="C341" t="str">
            <v>E09626</v>
          </cell>
          <cell r="D341" t="str">
            <v>Pantytex</v>
          </cell>
          <cell r="E341" t="str">
            <v>Appendini Action D33</v>
          </cell>
          <cell r="F341" t="str">
            <v>BOBST 104</v>
          </cell>
          <cell r="G341">
            <v>10</v>
          </cell>
          <cell r="H341" t="str">
            <v>Si</v>
          </cell>
          <cell r="I341" t="str">
            <v>No</v>
          </cell>
          <cell r="J341" t="str">
            <v>No</v>
          </cell>
          <cell r="K341">
            <v>0</v>
          </cell>
          <cell r="L341" t="str">
            <v>No</v>
          </cell>
          <cell r="M341">
            <v>0</v>
          </cell>
          <cell r="N341">
            <v>0</v>
          </cell>
        </row>
        <row r="342">
          <cell r="A342" t="str">
            <v>FU0340</v>
          </cell>
          <cell r="B342" t="str">
            <v>Fusteltecnica</v>
          </cell>
          <cell r="C342" t="str">
            <v>E15076</v>
          </cell>
          <cell r="D342" t="str">
            <v>Love and Bra</v>
          </cell>
          <cell r="E342" t="str">
            <v>Scatole h75 Supercubo</v>
          </cell>
          <cell r="F342" t="str">
            <v>BOBST 1260</v>
          </cell>
          <cell r="G342">
            <v>2</v>
          </cell>
          <cell r="H342" t="str">
            <v>Si</v>
          </cell>
          <cell r="I342" t="str">
            <v>Si</v>
          </cell>
          <cell r="J342" t="str">
            <v>No</v>
          </cell>
          <cell r="K342">
            <v>0</v>
          </cell>
          <cell r="L342" t="str">
            <v>Si</v>
          </cell>
          <cell r="M342" t="str">
            <v>DIana X80</v>
          </cell>
          <cell r="N342" t="str">
            <v>Lineare</v>
          </cell>
        </row>
        <row r="343">
          <cell r="A343" t="str">
            <v>FU0341</v>
          </cell>
          <cell r="B343" t="str">
            <v>Fusteltecnica</v>
          </cell>
          <cell r="C343" t="str">
            <v>B19515</v>
          </cell>
          <cell r="D343" t="str">
            <v>Pantytex</v>
          </cell>
          <cell r="E343" t="str">
            <v>Appendini C&amp;A H320</v>
          </cell>
          <cell r="F343" t="str">
            <v>BOBST 104</v>
          </cell>
          <cell r="G343">
            <v>10</v>
          </cell>
          <cell r="H343" t="str">
            <v>Si</v>
          </cell>
          <cell r="I343" t="str">
            <v>No</v>
          </cell>
          <cell r="J343" t="str">
            <v>No</v>
          </cell>
          <cell r="K343">
            <v>0</v>
          </cell>
          <cell r="L343" t="str">
            <v>No</v>
          </cell>
          <cell r="M343">
            <v>0</v>
          </cell>
          <cell r="N343">
            <v>0</v>
          </cell>
        </row>
        <row r="344">
          <cell r="A344" t="str">
            <v>FU0342</v>
          </cell>
          <cell r="B344" t="str">
            <v>Lasercom</v>
          </cell>
          <cell r="C344" t="str">
            <v>Lomba400</v>
          </cell>
          <cell r="D344" t="str">
            <v>JBS</v>
          </cell>
          <cell r="E344" t="str">
            <v>Inserti Annie</v>
          </cell>
          <cell r="F344" t="str">
            <v>BOBST 104</v>
          </cell>
          <cell r="G344">
            <v>4</v>
          </cell>
          <cell r="H344" t="str">
            <v>Si</v>
          </cell>
          <cell r="I344" t="str">
            <v>No</v>
          </cell>
          <cell r="J344" t="str">
            <v>No</v>
          </cell>
          <cell r="K344">
            <v>0</v>
          </cell>
          <cell r="L344" t="str">
            <v>No</v>
          </cell>
          <cell r="M344">
            <v>0</v>
          </cell>
          <cell r="N344">
            <v>0</v>
          </cell>
        </row>
        <row r="345">
          <cell r="A345" t="str">
            <v>FU0343</v>
          </cell>
          <cell r="B345" t="str">
            <v>Lasercom</v>
          </cell>
          <cell r="C345" t="str">
            <v>Lomba470</v>
          </cell>
          <cell r="D345" t="str">
            <v>Gelcream</v>
          </cell>
          <cell r="E345" t="str">
            <v xml:space="preserve">Scatole Gel Cream </v>
          </cell>
          <cell r="F345" t="str">
            <v>BOBST 1260</v>
          </cell>
          <cell r="G345">
            <v>2</v>
          </cell>
          <cell r="H345" t="str">
            <v>Si</v>
          </cell>
          <cell r="I345" t="str">
            <v>Si</v>
          </cell>
          <cell r="J345" t="str">
            <v>No</v>
          </cell>
          <cell r="K345">
            <v>0</v>
          </cell>
          <cell r="L345" t="str">
            <v>No</v>
          </cell>
          <cell r="M345">
            <v>0</v>
          </cell>
          <cell r="N345">
            <v>0</v>
          </cell>
        </row>
        <row r="346">
          <cell r="A346" t="str">
            <v>FU0344</v>
          </cell>
          <cell r="B346" t="str">
            <v>Fusteltecnica</v>
          </cell>
          <cell r="C346" t="str">
            <v>M04065</v>
          </cell>
          <cell r="D346" t="str">
            <v>Pasta Lensi</v>
          </cell>
          <cell r="E346" t="str">
            <v>Astucci penne Ahold</v>
          </cell>
          <cell r="F346" t="str">
            <v>BOBST 104</v>
          </cell>
          <cell r="G346">
            <v>4</v>
          </cell>
          <cell r="H346" t="str">
            <v>Si</v>
          </cell>
          <cell r="I346" t="str">
            <v>No</v>
          </cell>
          <cell r="J346" t="str">
            <v>No</v>
          </cell>
          <cell r="K346">
            <v>0</v>
          </cell>
          <cell r="L346" t="str">
            <v>Si</v>
          </cell>
          <cell r="M346" t="str">
            <v>Diana Pro 114</v>
          </cell>
          <cell r="N346" t="str">
            <v>Fondo Automatico</v>
          </cell>
        </row>
        <row r="347">
          <cell r="A347" t="str">
            <v>FU0345</v>
          </cell>
          <cell r="B347" t="str">
            <v>Fusteltecnica</v>
          </cell>
          <cell r="C347" t="str">
            <v>M04066</v>
          </cell>
          <cell r="D347" t="str">
            <v>Pasta Lensi</v>
          </cell>
          <cell r="E347" t="str">
            <v>Astucci spaghetti Ahold</v>
          </cell>
          <cell r="F347" t="str">
            <v>BOBST 104</v>
          </cell>
          <cell r="G347">
            <v>4</v>
          </cell>
          <cell r="H347" t="str">
            <v>Si</v>
          </cell>
          <cell r="I347" t="str">
            <v>No</v>
          </cell>
          <cell r="J347" t="str">
            <v>No</v>
          </cell>
          <cell r="K347">
            <v>0</v>
          </cell>
          <cell r="L347" t="str">
            <v>Si</v>
          </cell>
          <cell r="M347" t="str">
            <v>DIana X80</v>
          </cell>
          <cell r="N347" t="str">
            <v>Lineare</v>
          </cell>
        </row>
        <row r="348">
          <cell r="A348" t="str">
            <v>FU0346</v>
          </cell>
          <cell r="B348" t="str">
            <v>Fusteltecnica</v>
          </cell>
          <cell r="C348" t="str">
            <v>R05117</v>
          </cell>
          <cell r="D348" t="str">
            <v>Tracy</v>
          </cell>
          <cell r="E348" t="str">
            <v>Appendini Estex dorso 20</v>
          </cell>
          <cell r="F348" t="str">
            <v>BOBST 1260</v>
          </cell>
          <cell r="G348">
            <v>6</v>
          </cell>
          <cell r="H348" t="str">
            <v>Si</v>
          </cell>
          <cell r="I348" t="str">
            <v>Si</v>
          </cell>
          <cell r="J348" t="str">
            <v>No</v>
          </cell>
          <cell r="K348">
            <v>0</v>
          </cell>
          <cell r="L348" t="str">
            <v>No</v>
          </cell>
          <cell r="M348">
            <v>0</v>
          </cell>
          <cell r="N348">
            <v>0</v>
          </cell>
        </row>
        <row r="349">
          <cell r="A349" t="str">
            <v>FU0347</v>
          </cell>
          <cell r="B349" t="str">
            <v>Fusteltecnica</v>
          </cell>
          <cell r="C349" t="str">
            <v>R05116</v>
          </cell>
          <cell r="D349" t="str">
            <v>Tracy</v>
          </cell>
          <cell r="E349" t="str">
            <v>Appendini Estex dorso 30</v>
          </cell>
          <cell r="F349" t="str">
            <v>BOBST 1260</v>
          </cell>
          <cell r="G349">
            <v>6</v>
          </cell>
          <cell r="H349" t="str">
            <v>Si</v>
          </cell>
          <cell r="I349" t="str">
            <v>Si</v>
          </cell>
          <cell r="J349" t="str">
            <v>No</v>
          </cell>
          <cell r="K349">
            <v>0</v>
          </cell>
          <cell r="L349" t="str">
            <v>No</v>
          </cell>
          <cell r="M349">
            <v>0</v>
          </cell>
          <cell r="N349">
            <v>0</v>
          </cell>
        </row>
        <row r="350">
          <cell r="A350" t="str">
            <v>FU0348</v>
          </cell>
          <cell r="B350" t="str">
            <v>Fusteltecnica</v>
          </cell>
          <cell r="C350" t="str">
            <v>R05335</v>
          </cell>
          <cell r="D350" t="str">
            <v>Magazzini del Caffè</v>
          </cell>
          <cell r="E350" t="str">
            <v>Astucci Bahia</v>
          </cell>
          <cell r="F350" t="str">
            <v>BOBST 1260</v>
          </cell>
          <cell r="G350">
            <v>4</v>
          </cell>
          <cell r="H350" t="str">
            <v>Si</v>
          </cell>
          <cell r="I350" t="str">
            <v>Si</v>
          </cell>
          <cell r="J350" t="str">
            <v>No</v>
          </cell>
          <cell r="K350">
            <v>0</v>
          </cell>
          <cell r="L350" t="str">
            <v>Si</v>
          </cell>
          <cell r="M350" t="str">
            <v>Diana Pro 114</v>
          </cell>
          <cell r="N350" t="str">
            <v>Fondo Automatico</v>
          </cell>
        </row>
        <row r="351">
          <cell r="A351" t="str">
            <v>FU0349</v>
          </cell>
          <cell r="B351" t="str">
            <v>Lasercom</v>
          </cell>
          <cell r="C351" t="str">
            <v>Lomb1000</v>
          </cell>
          <cell r="D351" t="str">
            <v>Battaglio</v>
          </cell>
          <cell r="E351" t="str">
            <v>Cavallotti vari</v>
          </cell>
          <cell r="F351" t="str">
            <v>BOBST 104</v>
          </cell>
          <cell r="G351">
            <v>36</v>
          </cell>
          <cell r="H351" t="str">
            <v>No</v>
          </cell>
          <cell r="I351" t="str">
            <v>No</v>
          </cell>
          <cell r="J351" t="str">
            <v>No</v>
          </cell>
          <cell r="K351">
            <v>0</v>
          </cell>
          <cell r="L351" t="str">
            <v>No</v>
          </cell>
          <cell r="M351">
            <v>0</v>
          </cell>
          <cell r="N351">
            <v>0</v>
          </cell>
        </row>
        <row r="352">
          <cell r="A352" t="str">
            <v>FU0350</v>
          </cell>
          <cell r="B352" t="str">
            <v>Fusteltecnica</v>
          </cell>
          <cell r="C352" t="str">
            <v>E04086</v>
          </cell>
          <cell r="D352" t="str">
            <v>Rcm</v>
          </cell>
          <cell r="E352" t="str">
            <v>Astucci Nee Abbinati</v>
          </cell>
          <cell r="F352" t="str">
            <v>BOBST 104</v>
          </cell>
          <cell r="G352">
            <v>9</v>
          </cell>
          <cell r="H352" t="str">
            <v>No</v>
          </cell>
          <cell r="I352" t="str">
            <v>No</v>
          </cell>
          <cell r="J352" t="str">
            <v>No</v>
          </cell>
          <cell r="K352">
            <v>0</v>
          </cell>
          <cell r="L352" t="str">
            <v>Si</v>
          </cell>
          <cell r="M352" t="str">
            <v>DIana X80</v>
          </cell>
          <cell r="N352" t="str">
            <v>Lineare</v>
          </cell>
        </row>
        <row r="353">
          <cell r="A353" t="str">
            <v>FU0351</v>
          </cell>
          <cell r="B353" t="str">
            <v>Lasercom</v>
          </cell>
          <cell r="C353" t="str">
            <v>Lomba600</v>
          </cell>
          <cell r="D353" t="str">
            <v>Artical</v>
          </cell>
          <cell r="E353" t="str">
            <v>Lustrina + espositore</v>
          </cell>
          <cell r="F353" t="str">
            <v>BOBST 104</v>
          </cell>
          <cell r="G353">
            <v>7</v>
          </cell>
          <cell r="H353" t="str">
            <v>No</v>
          </cell>
          <cell r="I353" t="str">
            <v>No</v>
          </cell>
          <cell r="J353" t="str">
            <v>No</v>
          </cell>
          <cell r="K353">
            <v>0</v>
          </cell>
          <cell r="L353" t="str">
            <v>Si</v>
          </cell>
          <cell r="M353" t="str">
            <v>DIana X80</v>
          </cell>
          <cell r="N353" t="str">
            <v>Lineare</v>
          </cell>
        </row>
        <row r="354">
          <cell r="A354" t="str">
            <v>FU0352</v>
          </cell>
          <cell r="B354" t="str">
            <v>Lasercom</v>
          </cell>
          <cell r="C354" t="str">
            <v>Lomba601</v>
          </cell>
          <cell r="D354" t="str">
            <v>Battaglio</v>
          </cell>
          <cell r="E354" t="str">
            <v>Fasciette Country Socks</v>
          </cell>
          <cell r="F354" t="str">
            <v>BOBST 1260</v>
          </cell>
          <cell r="G354">
            <v>7</v>
          </cell>
          <cell r="H354" t="str">
            <v>No</v>
          </cell>
          <cell r="I354" t="str">
            <v>Si</v>
          </cell>
          <cell r="J354" t="str">
            <v>No</v>
          </cell>
          <cell r="K354">
            <v>0</v>
          </cell>
          <cell r="L354" t="str">
            <v>No</v>
          </cell>
          <cell r="M354">
            <v>0</v>
          </cell>
          <cell r="N354">
            <v>0</v>
          </cell>
        </row>
        <row r="355">
          <cell r="A355" t="str">
            <v>FU0353</v>
          </cell>
          <cell r="B355" t="str">
            <v>Fusteltecnica</v>
          </cell>
          <cell r="C355" t="str">
            <v>E07986</v>
          </cell>
          <cell r="D355" t="str">
            <v>Pantytex</v>
          </cell>
          <cell r="E355" t="str">
            <v>Appendini Tchibo d30 2020</v>
          </cell>
          <cell r="F355" t="str">
            <v>BOBST 104</v>
          </cell>
          <cell r="G355">
            <v>6</v>
          </cell>
          <cell r="H355" t="str">
            <v>Si</v>
          </cell>
          <cell r="I355" t="str">
            <v>No</v>
          </cell>
          <cell r="J355" t="str">
            <v>No</v>
          </cell>
          <cell r="K355">
            <v>0</v>
          </cell>
          <cell r="L355" t="str">
            <v>No</v>
          </cell>
          <cell r="M355">
            <v>0</v>
          </cell>
          <cell r="N355">
            <v>0</v>
          </cell>
        </row>
        <row r="356">
          <cell r="A356" t="str">
            <v>FU0354</v>
          </cell>
          <cell r="B356" t="str">
            <v>Lasercom</v>
          </cell>
          <cell r="C356" t="str">
            <v>Lomba475</v>
          </cell>
          <cell r="D356" t="str">
            <v>CRM</v>
          </cell>
          <cell r="E356" t="str">
            <v>Appendini Premamam NATALYS</v>
          </cell>
          <cell r="F356" t="str">
            <v>BOBST 104</v>
          </cell>
          <cell r="G356">
            <v>4</v>
          </cell>
          <cell r="H356" t="str">
            <v>Si</v>
          </cell>
          <cell r="I356" t="str">
            <v>No</v>
          </cell>
          <cell r="J356" t="str">
            <v>No</v>
          </cell>
          <cell r="K356">
            <v>0</v>
          </cell>
          <cell r="L356" t="str">
            <v>No</v>
          </cell>
          <cell r="M356">
            <v>0</v>
          </cell>
          <cell r="N356">
            <v>0</v>
          </cell>
        </row>
        <row r="357">
          <cell r="A357" t="str">
            <v>FU0355</v>
          </cell>
          <cell r="B357" t="str">
            <v>Fusteltecnica</v>
          </cell>
          <cell r="C357" t="str">
            <v>E04111</v>
          </cell>
          <cell r="D357" t="str">
            <v>Rcm</v>
          </cell>
          <cell r="E357" t="str">
            <v>Astucci Nee Abbinati</v>
          </cell>
          <cell r="F357" t="str">
            <v>BOBST 104</v>
          </cell>
          <cell r="G357">
            <v>8</v>
          </cell>
          <cell r="H357" t="str">
            <v>Si</v>
          </cell>
          <cell r="I357" t="str">
            <v>No</v>
          </cell>
          <cell r="J357" t="str">
            <v>No</v>
          </cell>
          <cell r="K357">
            <v>0</v>
          </cell>
          <cell r="L357" t="str">
            <v>Si</v>
          </cell>
          <cell r="M357" t="str">
            <v>DIana X80</v>
          </cell>
          <cell r="N357" t="str">
            <v>Lineare</v>
          </cell>
        </row>
        <row r="358">
          <cell r="A358" t="str">
            <v>FU0356</v>
          </cell>
          <cell r="B358" t="str">
            <v>Fusteltecnica</v>
          </cell>
          <cell r="C358" t="str">
            <v>M04064</v>
          </cell>
          <cell r="D358" t="str">
            <v>Pasta Lensi</v>
          </cell>
          <cell r="E358" t="str">
            <v>Astucci fusilli Ahold</v>
          </cell>
          <cell r="F358" t="str">
            <v>BOBST 104</v>
          </cell>
          <cell r="G358">
            <v>2</v>
          </cell>
          <cell r="H358" t="str">
            <v>Si</v>
          </cell>
          <cell r="I358" t="str">
            <v>No</v>
          </cell>
          <cell r="J358" t="str">
            <v>No</v>
          </cell>
          <cell r="K358">
            <v>0</v>
          </cell>
          <cell r="L358" t="str">
            <v>No</v>
          </cell>
          <cell r="M358">
            <v>0</v>
          </cell>
          <cell r="N358">
            <v>0</v>
          </cell>
        </row>
        <row r="359">
          <cell r="A359" t="str">
            <v>FU0357</v>
          </cell>
          <cell r="B359" t="str">
            <v>Fusteltecnica</v>
          </cell>
          <cell r="C359" t="str">
            <v>R03098</v>
          </cell>
          <cell r="D359" t="str">
            <v>Tradigo</v>
          </cell>
          <cell r="E359" t="str">
            <v>Espositore Bata + interni</v>
          </cell>
          <cell r="F359" t="str">
            <v>BOBST 1260</v>
          </cell>
          <cell r="G359">
            <v>4</v>
          </cell>
          <cell r="H359" t="str">
            <v>Si</v>
          </cell>
          <cell r="I359" t="str">
            <v>Si</v>
          </cell>
          <cell r="J359" t="str">
            <v>No</v>
          </cell>
          <cell r="K359">
            <v>0</v>
          </cell>
          <cell r="L359" t="str">
            <v>No</v>
          </cell>
          <cell r="M359">
            <v>0</v>
          </cell>
          <cell r="N359">
            <v>0</v>
          </cell>
        </row>
        <row r="360">
          <cell r="A360" t="str">
            <v>FU0358</v>
          </cell>
          <cell r="B360" t="str">
            <v>Fusteltecnica</v>
          </cell>
          <cell r="C360" t="str">
            <v>M03662</v>
          </cell>
          <cell r="D360" t="str">
            <v>Pasta Lensi</v>
          </cell>
          <cell r="E360" t="str">
            <v>Astucci Hipp Bassi</v>
          </cell>
          <cell r="F360" t="str">
            <v>BOBST 1260</v>
          </cell>
          <cell r="G360">
            <v>6</v>
          </cell>
          <cell r="H360" t="str">
            <v>Si</v>
          </cell>
          <cell r="I360" t="str">
            <v>Si</v>
          </cell>
          <cell r="J360" t="str">
            <v>No</v>
          </cell>
          <cell r="K360">
            <v>0</v>
          </cell>
          <cell r="L360" t="str">
            <v>Si</v>
          </cell>
          <cell r="M360" t="str">
            <v>DIana X80</v>
          </cell>
          <cell r="N360" t="str">
            <v>Lineare</v>
          </cell>
        </row>
        <row r="361">
          <cell r="A361" t="str">
            <v>FU0359</v>
          </cell>
          <cell r="B361" t="str">
            <v>Fusteltecnica</v>
          </cell>
          <cell r="C361" t="str">
            <v>M04063</v>
          </cell>
          <cell r="D361" t="str">
            <v>Konus</v>
          </cell>
          <cell r="E361" t="str">
            <v>Appendini Konustex</v>
          </cell>
          <cell r="F361" t="str">
            <v>BOBST 104</v>
          </cell>
          <cell r="G361">
            <v>3</v>
          </cell>
          <cell r="H361" t="str">
            <v>Si</v>
          </cell>
          <cell r="I361" t="str">
            <v>No</v>
          </cell>
          <cell r="J361" t="str">
            <v>No</v>
          </cell>
          <cell r="K361">
            <v>0</v>
          </cell>
          <cell r="L361" t="str">
            <v>No</v>
          </cell>
          <cell r="M361">
            <v>0</v>
          </cell>
          <cell r="N361">
            <v>0</v>
          </cell>
        </row>
        <row r="362">
          <cell r="A362" t="str">
            <v>FU0360</v>
          </cell>
          <cell r="B362" t="str">
            <v>Lasercom</v>
          </cell>
          <cell r="C362" t="str">
            <v>Lomba688</v>
          </cell>
          <cell r="D362" t="str">
            <v>Barbieri</v>
          </cell>
          <cell r="E362" t="str">
            <v>Astucci Movi Abbinati</v>
          </cell>
          <cell r="F362" t="str">
            <v>BOBST 1260</v>
          </cell>
          <cell r="G362">
            <v>6</v>
          </cell>
          <cell r="H362" t="str">
            <v>No</v>
          </cell>
          <cell r="I362" t="str">
            <v>Si</v>
          </cell>
          <cell r="J362" t="str">
            <v>No</v>
          </cell>
          <cell r="K362">
            <v>0</v>
          </cell>
          <cell r="L362" t="str">
            <v>Si</v>
          </cell>
          <cell r="M362" t="str">
            <v>DIana X80</v>
          </cell>
          <cell r="N362" t="str">
            <v>Lineare</v>
          </cell>
        </row>
        <row r="363">
          <cell r="A363" t="str">
            <v>FU0361</v>
          </cell>
          <cell r="B363" t="str">
            <v>Lasercom</v>
          </cell>
          <cell r="C363" t="str">
            <v>Lomba699</v>
          </cell>
          <cell r="D363" t="str">
            <v>Pantytex</v>
          </cell>
          <cell r="E363" t="str">
            <v>Tirelle Hema</v>
          </cell>
          <cell r="F363" t="str">
            <v>BOBST 1260</v>
          </cell>
          <cell r="G363">
            <v>15</v>
          </cell>
          <cell r="H363" t="str">
            <v>No</v>
          </cell>
          <cell r="I363" t="str">
            <v>Si</v>
          </cell>
          <cell r="J363" t="str">
            <v>No</v>
          </cell>
          <cell r="K363">
            <v>0</v>
          </cell>
          <cell r="L363" t="str">
            <v>No</v>
          </cell>
          <cell r="M363">
            <v>0</v>
          </cell>
          <cell r="N363">
            <v>0</v>
          </cell>
        </row>
        <row r="364">
          <cell r="A364" t="str">
            <v>FU0362</v>
          </cell>
          <cell r="B364" t="str">
            <v>Fusteltecnica</v>
          </cell>
          <cell r="C364" t="str">
            <v>R05180</v>
          </cell>
          <cell r="D364" t="str">
            <v>Pasta Lensi</v>
          </cell>
          <cell r="E364" t="str">
            <v>Astucci progetto America</v>
          </cell>
          <cell r="F364" t="str">
            <v>BOBST 104</v>
          </cell>
          <cell r="G364">
            <v>2</v>
          </cell>
          <cell r="H364" t="str">
            <v>No</v>
          </cell>
          <cell r="I364" t="str">
            <v>No</v>
          </cell>
          <cell r="J364" t="str">
            <v>No</v>
          </cell>
          <cell r="K364">
            <v>0</v>
          </cell>
          <cell r="L364" t="str">
            <v>Si</v>
          </cell>
          <cell r="M364" t="str">
            <v>Diana Pro 114</v>
          </cell>
          <cell r="N364" t="str">
            <v>Fondo Automatico</v>
          </cell>
        </row>
        <row r="365">
          <cell r="A365" t="str">
            <v>FU0363</v>
          </cell>
          <cell r="B365" t="str">
            <v>Fusteltecnica</v>
          </cell>
          <cell r="C365" t="str">
            <v>R04115</v>
          </cell>
          <cell r="D365" t="str">
            <v>Gallo</v>
          </cell>
          <cell r="E365" t="str">
            <v>Lotti gallo dorso 15</v>
          </cell>
          <cell r="F365" t="str">
            <v>BOBST 104</v>
          </cell>
          <cell r="G365">
            <v>14</v>
          </cell>
          <cell r="H365" t="str">
            <v>No</v>
          </cell>
          <cell r="I365" t="str">
            <v>No</v>
          </cell>
          <cell r="J365" t="str">
            <v>No</v>
          </cell>
          <cell r="K365">
            <v>0</v>
          </cell>
          <cell r="L365" t="str">
            <v>No</v>
          </cell>
          <cell r="M365">
            <v>0</v>
          </cell>
          <cell r="N365">
            <v>0</v>
          </cell>
        </row>
        <row r="366">
          <cell r="A366" t="str">
            <v>FU0364</v>
          </cell>
          <cell r="B366" t="str">
            <v>Fusteltecnica</v>
          </cell>
          <cell r="C366" t="str">
            <v>E13648</v>
          </cell>
          <cell r="D366" t="str">
            <v>Pantytex</v>
          </cell>
          <cell r="E366" t="str">
            <v>Cubetti HEMA 40612</v>
          </cell>
          <cell r="F366" t="str">
            <v>BOBST 104</v>
          </cell>
          <cell r="G366">
            <v>10</v>
          </cell>
          <cell r="H366" t="str">
            <v>Si</v>
          </cell>
          <cell r="I366" t="str">
            <v>No</v>
          </cell>
          <cell r="J366" t="str">
            <v>No</v>
          </cell>
          <cell r="K366">
            <v>0</v>
          </cell>
          <cell r="L366" t="str">
            <v>Si</v>
          </cell>
          <cell r="M366" t="str">
            <v>Diana Pro 114</v>
          </cell>
          <cell r="N366" t="str">
            <v>Fondo Automatico</v>
          </cell>
        </row>
        <row r="367">
          <cell r="A367" t="str">
            <v>FU0365</v>
          </cell>
          <cell r="B367" t="str">
            <v>Fusteltecnica</v>
          </cell>
          <cell r="C367" t="str">
            <v>E15347</v>
          </cell>
          <cell r="D367" t="str">
            <v>CRM</v>
          </cell>
          <cell r="E367" t="str">
            <v>Astucci Irmas 49-50</v>
          </cell>
          <cell r="F367" t="str">
            <v>BOBST 104</v>
          </cell>
          <cell r="G367">
            <v>6</v>
          </cell>
          <cell r="H367" t="str">
            <v>Si</v>
          </cell>
          <cell r="I367" t="str">
            <v>No</v>
          </cell>
          <cell r="J367" t="str">
            <v>No</v>
          </cell>
          <cell r="K367">
            <v>0</v>
          </cell>
          <cell r="L367" t="str">
            <v>Si</v>
          </cell>
          <cell r="M367" t="str">
            <v>Diana Pro 114</v>
          </cell>
          <cell r="N367" t="str">
            <v>Lineare con Gancio</v>
          </cell>
        </row>
        <row r="368">
          <cell r="A368" t="str">
            <v>FU0366</v>
          </cell>
          <cell r="B368" t="str">
            <v>Lasercom</v>
          </cell>
          <cell r="C368" t="str">
            <v>Lomba407</v>
          </cell>
          <cell r="D368" t="str">
            <v>Pantytex</v>
          </cell>
          <cell r="E368" t="str">
            <v>Appendini Desiree</v>
          </cell>
          <cell r="F368" t="str">
            <v>BOBST 1260</v>
          </cell>
          <cell r="G368">
            <v>4</v>
          </cell>
          <cell r="H368" t="str">
            <v>Si</v>
          </cell>
          <cell r="I368" t="str">
            <v>Si</v>
          </cell>
          <cell r="J368" t="str">
            <v>No</v>
          </cell>
          <cell r="K368">
            <v>0</v>
          </cell>
          <cell r="L368" t="str">
            <v>No</v>
          </cell>
          <cell r="M368">
            <v>0</v>
          </cell>
          <cell r="N368">
            <v>0</v>
          </cell>
        </row>
        <row r="369">
          <cell r="A369" t="str">
            <v>FU0367</v>
          </cell>
          <cell r="B369" t="str">
            <v>Fusteltecnica</v>
          </cell>
          <cell r="C369" t="str">
            <v>R05169</v>
          </cell>
          <cell r="D369" t="str">
            <v>Quaranta</v>
          </cell>
          <cell r="E369" t="str">
            <v>Espositore croccante 30 pezzi</v>
          </cell>
          <cell r="F369" t="str">
            <v>BOBST 1260</v>
          </cell>
          <cell r="G369">
            <v>2</v>
          </cell>
          <cell r="H369" t="str">
            <v>No</v>
          </cell>
          <cell r="I369" t="str">
            <v>Si</v>
          </cell>
          <cell r="J369" t="str">
            <v>No</v>
          </cell>
          <cell r="K369">
            <v>0</v>
          </cell>
          <cell r="L369" t="str">
            <v>No</v>
          </cell>
          <cell r="M369">
            <v>0</v>
          </cell>
          <cell r="N369">
            <v>0</v>
          </cell>
        </row>
        <row r="370">
          <cell r="A370" t="str">
            <v>FU0368</v>
          </cell>
          <cell r="B370" t="str">
            <v>Lasercom</v>
          </cell>
          <cell r="C370" t="str">
            <v>Lomba448</v>
          </cell>
          <cell r="D370" t="str">
            <v>Palazzani</v>
          </cell>
          <cell r="E370" t="str">
            <v>Scatola Palazzani F21007</v>
          </cell>
          <cell r="F370" t="str">
            <v>BOBST 1260</v>
          </cell>
          <cell r="G370">
            <v>1</v>
          </cell>
          <cell r="H370" t="str">
            <v>No</v>
          </cell>
          <cell r="I370" t="str">
            <v>Si</v>
          </cell>
          <cell r="J370" t="str">
            <v>No</v>
          </cell>
          <cell r="K370">
            <v>0</v>
          </cell>
          <cell r="L370" t="str">
            <v>No</v>
          </cell>
          <cell r="M370">
            <v>0</v>
          </cell>
          <cell r="N370">
            <v>0</v>
          </cell>
        </row>
        <row r="371">
          <cell r="A371" t="str">
            <v>FU0369</v>
          </cell>
          <cell r="B371" t="str">
            <v>Lasercom</v>
          </cell>
          <cell r="C371" t="str">
            <v>Lomba264</v>
          </cell>
          <cell r="D371" t="str">
            <v>Fortis</v>
          </cell>
          <cell r="E371" t="str">
            <v>Astuccio DEGT 145</v>
          </cell>
          <cell r="F371" t="str">
            <v>BOBST 1260</v>
          </cell>
          <cell r="G371">
            <v>6</v>
          </cell>
          <cell r="H371" t="str">
            <v>No</v>
          </cell>
          <cell r="I371" t="str">
            <v>Si</v>
          </cell>
          <cell r="J371" t="str">
            <v>No</v>
          </cell>
          <cell r="K371">
            <v>0</v>
          </cell>
          <cell r="L371" t="str">
            <v>Si</v>
          </cell>
          <cell r="M371" t="str">
            <v>DIana X80</v>
          </cell>
          <cell r="N371" t="str">
            <v>Lineare</v>
          </cell>
        </row>
        <row r="372">
          <cell r="A372" t="str">
            <v>FU0370</v>
          </cell>
          <cell r="B372" t="str">
            <v>Lasercom</v>
          </cell>
          <cell r="C372" t="str">
            <v>Lomba701</v>
          </cell>
          <cell r="D372" t="str">
            <v>Pasta Lensi</v>
          </cell>
          <cell r="E372" t="str">
            <v>Cavallotti Henji</v>
          </cell>
          <cell r="F372" t="str">
            <v>BOBST 104</v>
          </cell>
          <cell r="G372">
            <v>14</v>
          </cell>
          <cell r="H372" t="str">
            <v>No</v>
          </cell>
          <cell r="I372" t="str">
            <v>No</v>
          </cell>
          <cell r="J372" t="str">
            <v>No</v>
          </cell>
          <cell r="K372">
            <v>0</v>
          </cell>
          <cell r="L372" t="str">
            <v>No</v>
          </cell>
          <cell r="M372">
            <v>0</v>
          </cell>
          <cell r="N372">
            <v>0</v>
          </cell>
        </row>
        <row r="373">
          <cell r="A373" t="str">
            <v>FU0371</v>
          </cell>
          <cell r="B373" t="str">
            <v>Fusteltecnica</v>
          </cell>
          <cell r="C373" t="str">
            <v>R03343</v>
          </cell>
          <cell r="D373" t="str">
            <v>Pasta Lensi</v>
          </cell>
          <cell r="E373" t="str">
            <v>Astucci penne + fusilli mullers</v>
          </cell>
          <cell r="F373" t="str">
            <v>BOBST 104</v>
          </cell>
          <cell r="G373">
            <v>4</v>
          </cell>
          <cell r="H373" t="str">
            <v>Si</v>
          </cell>
          <cell r="I373" t="str">
            <v>No</v>
          </cell>
          <cell r="J373" t="str">
            <v>No</v>
          </cell>
          <cell r="K373">
            <v>0</v>
          </cell>
          <cell r="L373" t="str">
            <v>Si</v>
          </cell>
          <cell r="M373" t="str">
            <v>Diana Pro 114</v>
          </cell>
          <cell r="N373" t="str">
            <v>Fondo Automatico</v>
          </cell>
        </row>
        <row r="374">
          <cell r="A374" t="str">
            <v>FU0372</v>
          </cell>
          <cell r="B374" t="str">
            <v>Lasercom</v>
          </cell>
          <cell r="C374" t="str">
            <v>Lomba291</v>
          </cell>
          <cell r="D374" t="str">
            <v>Bonadei</v>
          </cell>
          <cell r="E374" t="str">
            <v>Scatole Eco corta fondi + coperchi</v>
          </cell>
          <cell r="F374" t="str">
            <v>BOBST 1260</v>
          </cell>
          <cell r="G374">
            <v>4</v>
          </cell>
          <cell r="H374" t="str">
            <v>Si</v>
          </cell>
          <cell r="I374" t="str">
            <v>Si</v>
          </cell>
          <cell r="J374" t="str">
            <v>No</v>
          </cell>
          <cell r="K374">
            <v>0</v>
          </cell>
          <cell r="L374" t="str">
            <v>No</v>
          </cell>
          <cell r="M374">
            <v>0</v>
          </cell>
          <cell r="N374">
            <v>0</v>
          </cell>
        </row>
        <row r="375">
          <cell r="A375" t="str">
            <v>FU0373</v>
          </cell>
          <cell r="B375" t="str">
            <v>Lasercom</v>
          </cell>
          <cell r="C375" t="str">
            <v>Lomba65</v>
          </cell>
          <cell r="D375" t="str">
            <v>Miva</v>
          </cell>
          <cell r="E375" t="str">
            <v>Inserti Fabiani</v>
          </cell>
          <cell r="F375" t="str">
            <v>BOBST 104</v>
          </cell>
          <cell r="G375">
            <v>4</v>
          </cell>
          <cell r="H375" t="str">
            <v>Si</v>
          </cell>
          <cell r="I375" t="str">
            <v>No</v>
          </cell>
          <cell r="J375" t="str">
            <v>No</v>
          </cell>
          <cell r="K375">
            <v>0</v>
          </cell>
          <cell r="L375" t="str">
            <v>No</v>
          </cell>
          <cell r="M375">
            <v>0</v>
          </cell>
          <cell r="N375">
            <v>0</v>
          </cell>
        </row>
        <row r="376">
          <cell r="A376" t="str">
            <v>FU0374</v>
          </cell>
          <cell r="B376" t="str">
            <v>Fusteltecnica</v>
          </cell>
          <cell r="C376" t="str">
            <v>E01968</v>
          </cell>
          <cell r="D376" t="str">
            <v>Nuova Virgiliana</v>
          </cell>
          <cell r="E376" t="str">
            <v>Scatole trasparenze</v>
          </cell>
          <cell r="F376" t="str">
            <v>BOBST 104</v>
          </cell>
          <cell r="G376">
            <v>4</v>
          </cell>
          <cell r="H376" t="str">
            <v>Si</v>
          </cell>
          <cell r="I376" t="str">
            <v>No</v>
          </cell>
          <cell r="J376" t="str">
            <v>No</v>
          </cell>
          <cell r="K376">
            <v>0</v>
          </cell>
          <cell r="L376" t="str">
            <v>Si</v>
          </cell>
          <cell r="M376" t="str">
            <v>Diana Pro 114</v>
          </cell>
          <cell r="N376" t="str">
            <v>Fondo Automatico</v>
          </cell>
        </row>
        <row r="377">
          <cell r="A377" t="str">
            <v>FU0375</v>
          </cell>
          <cell r="B377" t="str">
            <v>Lasercom</v>
          </cell>
          <cell r="C377" t="str">
            <v>Lomba503</v>
          </cell>
          <cell r="D377" t="str">
            <v>Elettroplastica</v>
          </cell>
          <cell r="E377" t="str">
            <v>Scatola air spinny A1350</v>
          </cell>
          <cell r="F377" t="str">
            <v>BOBST 1260</v>
          </cell>
          <cell r="G377">
            <v>1</v>
          </cell>
          <cell r="H377" t="str">
            <v>Si</v>
          </cell>
          <cell r="I377" t="str">
            <v>Si</v>
          </cell>
          <cell r="J377" t="str">
            <v>No</v>
          </cell>
          <cell r="K377">
            <v>0</v>
          </cell>
          <cell r="L377" t="str">
            <v>Si</v>
          </cell>
          <cell r="M377" t="str">
            <v>DIana X80</v>
          </cell>
          <cell r="N377" t="str">
            <v>Lineare</v>
          </cell>
        </row>
        <row r="378">
          <cell r="A378" t="str">
            <v>FU0376</v>
          </cell>
          <cell r="B378" t="str">
            <v>Lasercom</v>
          </cell>
          <cell r="C378" t="str">
            <v>Lomba520</v>
          </cell>
          <cell r="D378" t="str">
            <v>Elettroplastica</v>
          </cell>
          <cell r="E378" t="str">
            <v>Scatola Mr. Carrot A1501</v>
          </cell>
          <cell r="F378" t="str">
            <v>BOBST 1260</v>
          </cell>
          <cell r="G378">
            <v>1</v>
          </cell>
          <cell r="H378" t="str">
            <v>Si</v>
          </cell>
          <cell r="I378" t="str">
            <v>Si</v>
          </cell>
          <cell r="J378" t="str">
            <v>No</v>
          </cell>
          <cell r="K378">
            <v>0</v>
          </cell>
          <cell r="L378" t="str">
            <v>Si</v>
          </cell>
          <cell r="M378" t="str">
            <v>DIana X80</v>
          </cell>
          <cell r="N378" t="str">
            <v>Lineare</v>
          </cell>
        </row>
        <row r="379">
          <cell r="A379" t="str">
            <v>FU0377</v>
          </cell>
          <cell r="B379" t="str">
            <v>Lasercom</v>
          </cell>
          <cell r="C379" t="str">
            <v>Lomba235</v>
          </cell>
          <cell r="D379" t="str">
            <v>Pantytex</v>
          </cell>
          <cell r="E379" t="str">
            <v>Appendini CA</v>
          </cell>
          <cell r="F379" t="str">
            <v>BOBST 1260</v>
          </cell>
          <cell r="G379">
            <v>4</v>
          </cell>
          <cell r="H379" t="str">
            <v>No</v>
          </cell>
          <cell r="I379" t="str">
            <v>Si</v>
          </cell>
          <cell r="J379" t="str">
            <v>No</v>
          </cell>
          <cell r="K379">
            <v>0</v>
          </cell>
          <cell r="L379" t="str">
            <v>No</v>
          </cell>
          <cell r="M379">
            <v>0</v>
          </cell>
          <cell r="N379">
            <v>0</v>
          </cell>
        </row>
        <row r="380">
          <cell r="A380" t="str">
            <v>FU0378</v>
          </cell>
          <cell r="B380" t="str">
            <v>Lasercom</v>
          </cell>
          <cell r="C380" t="str">
            <v>Lomba461</v>
          </cell>
          <cell r="D380" t="str">
            <v>Battaglio</v>
          </cell>
          <cell r="E380" t="str">
            <v>Scatole Tre Orsi</v>
          </cell>
          <cell r="F380" t="str">
            <v>BOBST 104</v>
          </cell>
          <cell r="G380">
            <v>1</v>
          </cell>
          <cell r="H380" t="str">
            <v>No</v>
          </cell>
          <cell r="I380" t="str">
            <v>No</v>
          </cell>
          <cell r="J380" t="str">
            <v>No</v>
          </cell>
          <cell r="K380">
            <v>0</v>
          </cell>
          <cell r="L380" t="str">
            <v>Si</v>
          </cell>
          <cell r="M380" t="str">
            <v>Diana Pro 114</v>
          </cell>
          <cell r="N380" t="str">
            <v>Quattro angoli</v>
          </cell>
        </row>
        <row r="381">
          <cell r="A381" t="str">
            <v>FU0379</v>
          </cell>
          <cell r="B381" t="str">
            <v>Lasercom</v>
          </cell>
          <cell r="C381" t="str">
            <v>Lomba227</v>
          </cell>
          <cell r="D381" t="str">
            <v>Ileana</v>
          </cell>
          <cell r="E381" t="str">
            <v>Appendini Park lane dorso 2</v>
          </cell>
          <cell r="F381" t="str">
            <v>BOBST 104</v>
          </cell>
          <cell r="G381">
            <v>6</v>
          </cell>
          <cell r="H381" t="str">
            <v>No</v>
          </cell>
          <cell r="I381" t="str">
            <v>No</v>
          </cell>
          <cell r="J381" t="str">
            <v>No</v>
          </cell>
          <cell r="K381">
            <v>0</v>
          </cell>
          <cell r="L381" t="str">
            <v>No</v>
          </cell>
          <cell r="M381">
            <v>0</v>
          </cell>
          <cell r="N381">
            <v>0</v>
          </cell>
        </row>
        <row r="382">
          <cell r="A382" t="str">
            <v>FU0380</v>
          </cell>
          <cell r="B382" t="str">
            <v>Lasercom</v>
          </cell>
          <cell r="C382" t="str">
            <v>Lomba466</v>
          </cell>
          <cell r="D382" t="str">
            <v>Gallo</v>
          </cell>
          <cell r="E382" t="str">
            <v>Appendini Dorè + fascia</v>
          </cell>
          <cell r="F382" t="str">
            <v>BOBST 1260</v>
          </cell>
          <cell r="G382">
            <v>6</v>
          </cell>
          <cell r="H382" t="str">
            <v>No</v>
          </cell>
          <cell r="I382" t="str">
            <v>Si</v>
          </cell>
          <cell r="J382" t="str">
            <v>No</v>
          </cell>
          <cell r="K382">
            <v>0</v>
          </cell>
          <cell r="L382" t="str">
            <v>No</v>
          </cell>
          <cell r="M382">
            <v>0</v>
          </cell>
          <cell r="N382">
            <v>0</v>
          </cell>
        </row>
        <row r="383">
          <cell r="A383" t="str">
            <v>FU0381</v>
          </cell>
          <cell r="B383" t="str">
            <v>Lasercom</v>
          </cell>
          <cell r="C383" t="str">
            <v>Lomb206</v>
          </cell>
          <cell r="D383" t="str">
            <v>Pantytex</v>
          </cell>
          <cell r="E383" t="str">
            <v>Inserti Tchibo</v>
          </cell>
          <cell r="F383" t="str">
            <v>BOBST 1260</v>
          </cell>
          <cell r="G383">
            <v>8</v>
          </cell>
          <cell r="H383" t="str">
            <v>Si</v>
          </cell>
          <cell r="I383" t="str">
            <v>Si</v>
          </cell>
          <cell r="J383" t="str">
            <v>No</v>
          </cell>
          <cell r="K383">
            <v>0</v>
          </cell>
          <cell r="L383" t="str">
            <v>No</v>
          </cell>
          <cell r="M383">
            <v>0</v>
          </cell>
          <cell r="N383">
            <v>0</v>
          </cell>
        </row>
        <row r="384">
          <cell r="A384" t="str">
            <v>FU0382</v>
          </cell>
          <cell r="B384" t="str">
            <v>Fusteltecnica</v>
          </cell>
          <cell r="C384" t="str">
            <v>R05170</v>
          </cell>
          <cell r="D384" t="str">
            <v>Pantytex</v>
          </cell>
          <cell r="E384" t="str">
            <v>Appendini Tchibo</v>
          </cell>
          <cell r="F384" t="str">
            <v>BOBST 104</v>
          </cell>
          <cell r="G384">
            <v>8</v>
          </cell>
          <cell r="H384" t="str">
            <v>Si</v>
          </cell>
          <cell r="I384" t="str">
            <v>No</v>
          </cell>
          <cell r="J384" t="str">
            <v>No</v>
          </cell>
          <cell r="K384">
            <v>0</v>
          </cell>
          <cell r="L384" t="str">
            <v>No</v>
          </cell>
          <cell r="M384">
            <v>0</v>
          </cell>
          <cell r="N384">
            <v>0</v>
          </cell>
        </row>
        <row r="385">
          <cell r="A385" t="str">
            <v>FU0383</v>
          </cell>
          <cell r="B385" t="str">
            <v>Lasercom</v>
          </cell>
          <cell r="C385" t="str">
            <v>Lomba525</v>
          </cell>
          <cell r="D385" t="str">
            <v>JBS</v>
          </cell>
          <cell r="E385" t="str">
            <v>Scatole + appendini zizzi</v>
          </cell>
          <cell r="F385" t="str">
            <v>BOBST 104</v>
          </cell>
          <cell r="G385">
            <v>4</v>
          </cell>
          <cell r="H385" t="str">
            <v>Si</v>
          </cell>
          <cell r="I385" t="str">
            <v>No</v>
          </cell>
          <cell r="J385" t="str">
            <v>No</v>
          </cell>
          <cell r="K385">
            <v>0</v>
          </cell>
          <cell r="L385" t="str">
            <v>No</v>
          </cell>
          <cell r="M385">
            <v>0</v>
          </cell>
          <cell r="N385">
            <v>0</v>
          </cell>
        </row>
        <row r="386">
          <cell r="A386" t="str">
            <v>FU0384</v>
          </cell>
          <cell r="B386" t="str">
            <v>Fusteltecnica</v>
          </cell>
          <cell r="C386" t="str">
            <v>E02425</v>
          </cell>
          <cell r="D386" t="str">
            <v>Dolci</v>
          </cell>
          <cell r="E386" t="str">
            <v>Appendini Avant Premier</v>
          </cell>
          <cell r="F386" t="str">
            <v>BOBST 104</v>
          </cell>
          <cell r="G386">
            <v>8</v>
          </cell>
          <cell r="H386" t="str">
            <v>Si</v>
          </cell>
          <cell r="I386" t="str">
            <v>No</v>
          </cell>
          <cell r="J386" t="str">
            <v>No</v>
          </cell>
          <cell r="K386">
            <v>0</v>
          </cell>
          <cell r="L386" t="str">
            <v>No</v>
          </cell>
          <cell r="M386">
            <v>0</v>
          </cell>
          <cell r="N386">
            <v>0</v>
          </cell>
        </row>
        <row r="387">
          <cell r="A387" t="str">
            <v>FU0385</v>
          </cell>
          <cell r="B387" t="str">
            <v>Lasercom</v>
          </cell>
          <cell r="C387" t="str">
            <v>Lomba279</v>
          </cell>
          <cell r="D387" t="str">
            <v>Tradigo</v>
          </cell>
          <cell r="E387" t="str">
            <v>Inserti Fauno piedesan</v>
          </cell>
          <cell r="F387" t="str">
            <v>BOBST 104</v>
          </cell>
          <cell r="G387">
            <v>12</v>
          </cell>
          <cell r="H387" t="str">
            <v>No</v>
          </cell>
          <cell r="I387" t="str">
            <v>No</v>
          </cell>
          <cell r="J387" t="str">
            <v>No</v>
          </cell>
          <cell r="K387">
            <v>0</v>
          </cell>
          <cell r="L387" t="str">
            <v>No</v>
          </cell>
          <cell r="M387">
            <v>0</v>
          </cell>
          <cell r="N387">
            <v>0</v>
          </cell>
        </row>
        <row r="388">
          <cell r="A388" t="str">
            <v>FU0386</v>
          </cell>
          <cell r="B388" t="str">
            <v>Lasercom</v>
          </cell>
          <cell r="C388" t="str">
            <v>Lomba527</v>
          </cell>
          <cell r="D388" t="str">
            <v>Pantytex</v>
          </cell>
          <cell r="E388" t="str">
            <v>Inserti soft silky/confort</v>
          </cell>
          <cell r="F388" t="str">
            <v>BOBST 104</v>
          </cell>
          <cell r="G388">
            <v>8</v>
          </cell>
          <cell r="H388" t="str">
            <v>No</v>
          </cell>
          <cell r="I388" t="str">
            <v>No</v>
          </cell>
          <cell r="J388" t="str">
            <v>No</v>
          </cell>
          <cell r="K388">
            <v>0</v>
          </cell>
          <cell r="L388" t="str">
            <v>No</v>
          </cell>
          <cell r="M388">
            <v>0</v>
          </cell>
          <cell r="N388">
            <v>0</v>
          </cell>
        </row>
        <row r="389">
          <cell r="A389" t="str">
            <v>FU0387</v>
          </cell>
          <cell r="B389" t="str">
            <v>Lasercom</v>
          </cell>
          <cell r="C389" t="str">
            <v>Lomba521</v>
          </cell>
          <cell r="D389" t="str">
            <v>Tradigo</v>
          </cell>
          <cell r="E389" t="str">
            <v>Contenitori tradigo alzatacco stark</v>
          </cell>
          <cell r="F389" t="str">
            <v>BOBST 1260</v>
          </cell>
          <cell r="G389">
            <v>2</v>
          </cell>
          <cell r="H389" t="str">
            <v>No</v>
          </cell>
          <cell r="I389" t="str">
            <v>Si</v>
          </cell>
          <cell r="J389" t="str">
            <v>No</v>
          </cell>
          <cell r="K389">
            <v>0</v>
          </cell>
          <cell r="L389" t="str">
            <v>Si</v>
          </cell>
          <cell r="M389" t="str">
            <v>DIana X80</v>
          </cell>
          <cell r="N389" t="str">
            <v>Lineare</v>
          </cell>
        </row>
        <row r="390">
          <cell r="A390" t="str">
            <v>FU0388</v>
          </cell>
          <cell r="B390" t="str">
            <v>Lasercom</v>
          </cell>
          <cell r="C390" t="str">
            <v>Lomba502</v>
          </cell>
          <cell r="D390" t="str">
            <v>Pantytex</v>
          </cell>
          <cell r="E390" t="str">
            <v>Inserti libra</v>
          </cell>
          <cell r="F390" t="str">
            <v>BOBST 1260</v>
          </cell>
          <cell r="G390">
            <v>6</v>
          </cell>
          <cell r="H390" t="str">
            <v>No</v>
          </cell>
          <cell r="I390" t="str">
            <v>Si</v>
          </cell>
          <cell r="J390" t="str">
            <v>No</v>
          </cell>
          <cell r="K390">
            <v>0</v>
          </cell>
          <cell r="L390" t="str">
            <v>No</v>
          </cell>
          <cell r="M390">
            <v>0</v>
          </cell>
          <cell r="N390">
            <v>0</v>
          </cell>
        </row>
        <row r="391">
          <cell r="A391" t="str">
            <v>FU0389</v>
          </cell>
          <cell r="B391" t="str">
            <v>Lasercom</v>
          </cell>
          <cell r="C391" t="str">
            <v>Lomba251</v>
          </cell>
          <cell r="D391" t="str">
            <v>Fortis</v>
          </cell>
          <cell r="E391" t="str">
            <v>Bauletti DEGT</v>
          </cell>
          <cell r="F391" t="str">
            <v>BOBST 1260</v>
          </cell>
          <cell r="G391">
            <v>4</v>
          </cell>
          <cell r="H391" t="str">
            <v>Si</v>
          </cell>
          <cell r="I391" t="str">
            <v>Si</v>
          </cell>
          <cell r="J391" t="str">
            <v>No</v>
          </cell>
          <cell r="K391">
            <v>0</v>
          </cell>
          <cell r="L391" t="str">
            <v>No</v>
          </cell>
          <cell r="M391">
            <v>0</v>
          </cell>
          <cell r="N391">
            <v>0</v>
          </cell>
        </row>
        <row r="392">
          <cell r="A392" t="str">
            <v>FU0390</v>
          </cell>
          <cell r="B392" t="str">
            <v>Lasercom</v>
          </cell>
          <cell r="C392" t="str">
            <v>Lomb5261</v>
          </cell>
          <cell r="D392" t="str">
            <v>Konus</v>
          </cell>
          <cell r="E392" t="str">
            <v>Scatole konus+almi</v>
          </cell>
          <cell r="F392" t="str">
            <v>BOBST 104</v>
          </cell>
          <cell r="G392">
            <v>6</v>
          </cell>
          <cell r="H392" t="str">
            <v>Si</v>
          </cell>
          <cell r="I392" t="str">
            <v>No</v>
          </cell>
          <cell r="J392" t="str">
            <v>No</v>
          </cell>
          <cell r="K392">
            <v>0</v>
          </cell>
          <cell r="L392" t="str">
            <v>Si</v>
          </cell>
          <cell r="M392" t="str">
            <v>DIana X80</v>
          </cell>
          <cell r="N392" t="str">
            <v>Lineare</v>
          </cell>
        </row>
        <row r="393">
          <cell r="A393" t="str">
            <v>FU0391</v>
          </cell>
          <cell r="B393" t="str">
            <v>Fusteltecnica</v>
          </cell>
          <cell r="C393" t="str">
            <v>R05121</v>
          </cell>
          <cell r="D393" t="str">
            <v>Pantytex</v>
          </cell>
          <cell r="E393" t="str">
            <v>Scatole Tchibo</v>
          </cell>
          <cell r="F393" t="str">
            <v>BOBST 104</v>
          </cell>
          <cell r="G393">
            <v>2</v>
          </cell>
          <cell r="H393" t="str">
            <v>Si</v>
          </cell>
          <cell r="I393" t="str">
            <v>No</v>
          </cell>
          <cell r="J393" t="str">
            <v>No</v>
          </cell>
          <cell r="K393">
            <v>0</v>
          </cell>
          <cell r="L393" t="str">
            <v>No</v>
          </cell>
          <cell r="M393">
            <v>0</v>
          </cell>
          <cell r="N393">
            <v>0</v>
          </cell>
        </row>
        <row r="394">
          <cell r="A394" t="str">
            <v>FU0392</v>
          </cell>
          <cell r="B394" t="str">
            <v>Fusteltecnica</v>
          </cell>
          <cell r="C394" t="str">
            <v>E14119</v>
          </cell>
          <cell r="D394" t="str">
            <v>JBS</v>
          </cell>
          <cell r="E394" t="str">
            <v>Appendini decoy blu basic</v>
          </cell>
          <cell r="F394" t="str">
            <v>BOBST 104</v>
          </cell>
          <cell r="G394">
            <v>6</v>
          </cell>
          <cell r="H394" t="str">
            <v>Si</v>
          </cell>
          <cell r="I394" t="str">
            <v>No</v>
          </cell>
          <cell r="J394" t="str">
            <v>No</v>
          </cell>
          <cell r="K394">
            <v>0</v>
          </cell>
          <cell r="L394" t="str">
            <v>No</v>
          </cell>
          <cell r="M394">
            <v>0</v>
          </cell>
          <cell r="N394">
            <v>0</v>
          </cell>
        </row>
        <row r="395">
          <cell r="A395" t="str">
            <v>FU0393</v>
          </cell>
          <cell r="B395" t="str">
            <v>Fusteltecnica</v>
          </cell>
          <cell r="C395" t="str">
            <v>E04248</v>
          </cell>
          <cell r="D395" t="str">
            <v>Pantytex</v>
          </cell>
          <cell r="E395" t="str">
            <v>Astucci Anni Rolfi dorso 35</v>
          </cell>
          <cell r="F395" t="str">
            <v>BOBST 1260</v>
          </cell>
          <cell r="G395">
            <v>6</v>
          </cell>
          <cell r="H395" t="str">
            <v>Si</v>
          </cell>
          <cell r="I395" t="str">
            <v>Si</v>
          </cell>
          <cell r="J395" t="str">
            <v>No</v>
          </cell>
          <cell r="K395">
            <v>0</v>
          </cell>
          <cell r="L395" t="str">
            <v>Si</v>
          </cell>
          <cell r="M395" t="str">
            <v>DIana X80</v>
          </cell>
          <cell r="N395" t="str">
            <v>Lineare</v>
          </cell>
        </row>
        <row r="396">
          <cell r="A396" t="str">
            <v>FU0394</v>
          </cell>
          <cell r="B396" t="str">
            <v>Fusteltecnica</v>
          </cell>
          <cell r="C396" t="str">
            <v>R01254</v>
          </cell>
          <cell r="D396" t="str">
            <v>Dolci</v>
          </cell>
          <cell r="E396" t="str">
            <v>Appendini Twilfit 1,5</v>
          </cell>
          <cell r="F396" t="str">
            <v>BOBST 1260</v>
          </cell>
          <cell r="G396">
            <v>4</v>
          </cell>
          <cell r="H396" t="str">
            <v>Si</v>
          </cell>
          <cell r="I396" t="str">
            <v>Si</v>
          </cell>
          <cell r="J396" t="str">
            <v>No</v>
          </cell>
          <cell r="K396">
            <v>0</v>
          </cell>
          <cell r="L396" t="str">
            <v>No</v>
          </cell>
          <cell r="M396">
            <v>0</v>
          </cell>
          <cell r="N396">
            <v>0</v>
          </cell>
        </row>
        <row r="397">
          <cell r="A397" t="str">
            <v>FU0395</v>
          </cell>
          <cell r="B397" t="str">
            <v>Fusteltecnica</v>
          </cell>
          <cell r="C397" t="str">
            <v>R01253</v>
          </cell>
          <cell r="D397" t="str">
            <v>Dolci</v>
          </cell>
          <cell r="E397" t="str">
            <v>Appendini Twilfit 2,5</v>
          </cell>
          <cell r="F397" t="str">
            <v>BOBST 1260</v>
          </cell>
          <cell r="G397">
            <v>4</v>
          </cell>
          <cell r="H397" t="str">
            <v>Si</v>
          </cell>
          <cell r="I397" t="str">
            <v>Si</v>
          </cell>
          <cell r="J397" t="str">
            <v>No</v>
          </cell>
          <cell r="K397">
            <v>0</v>
          </cell>
          <cell r="L397" t="str">
            <v>No</v>
          </cell>
          <cell r="M397">
            <v>0</v>
          </cell>
          <cell r="N397">
            <v>0</v>
          </cell>
        </row>
        <row r="398">
          <cell r="A398" t="str">
            <v>FU0396</v>
          </cell>
          <cell r="B398" t="str">
            <v>Fusteltecnica</v>
          </cell>
          <cell r="C398" t="str">
            <v>Lomba255</v>
          </cell>
          <cell r="D398" t="str">
            <v>Gandola</v>
          </cell>
          <cell r="E398" t="str">
            <v>Espositori choc dippers</v>
          </cell>
          <cell r="F398" t="str">
            <v>BOBST 104</v>
          </cell>
          <cell r="G398">
            <v>2</v>
          </cell>
          <cell r="H398" t="str">
            <v>Si</v>
          </cell>
          <cell r="I398" t="str">
            <v>No</v>
          </cell>
          <cell r="J398" t="str">
            <v>No</v>
          </cell>
          <cell r="K398">
            <v>0</v>
          </cell>
          <cell r="L398" t="str">
            <v>Si</v>
          </cell>
          <cell r="M398" t="str">
            <v>Diana Pro 114</v>
          </cell>
          <cell r="N398" t="str">
            <v>Fondo Automatico</v>
          </cell>
        </row>
        <row r="399">
          <cell r="A399" t="str">
            <v>FU0397</v>
          </cell>
          <cell r="B399" t="str">
            <v>Fusteltecnica</v>
          </cell>
          <cell r="C399" t="str">
            <v>E04238</v>
          </cell>
          <cell r="D399" t="str">
            <v>Pantytex</v>
          </cell>
          <cell r="E399" t="str">
            <v>Inserti globus</v>
          </cell>
          <cell r="F399" t="str">
            <v>BOBST 104</v>
          </cell>
          <cell r="G399">
            <v>4</v>
          </cell>
          <cell r="H399" t="str">
            <v>No</v>
          </cell>
          <cell r="I399" t="str">
            <v>No</v>
          </cell>
          <cell r="J399" t="str">
            <v>No</v>
          </cell>
          <cell r="K399">
            <v>0</v>
          </cell>
          <cell r="L399" t="str">
            <v>No</v>
          </cell>
          <cell r="M399">
            <v>0</v>
          </cell>
          <cell r="N399">
            <v>0</v>
          </cell>
        </row>
        <row r="400">
          <cell r="A400" t="str">
            <v>FU0398</v>
          </cell>
          <cell r="B400" t="str">
            <v>Fusteltecnica</v>
          </cell>
          <cell r="C400" t="str">
            <v>E09885</v>
          </cell>
          <cell r="D400" t="str">
            <v>JBS</v>
          </cell>
          <cell r="E400" t="str">
            <v>Buste Vrs Abbinate</v>
          </cell>
          <cell r="F400" t="str">
            <v>BOBST 1260</v>
          </cell>
          <cell r="G400">
            <v>5</v>
          </cell>
          <cell r="H400" t="str">
            <v>No</v>
          </cell>
          <cell r="I400" t="str">
            <v>Si</v>
          </cell>
          <cell r="J400" t="str">
            <v>Si</v>
          </cell>
          <cell r="K400">
            <v>0</v>
          </cell>
          <cell r="L400" t="str">
            <v>Si</v>
          </cell>
          <cell r="M400" t="str">
            <v>Diana Pro 114</v>
          </cell>
          <cell r="N400" t="str">
            <v>Soffietto</v>
          </cell>
        </row>
        <row r="401">
          <cell r="A401" t="str">
            <v>FU0399</v>
          </cell>
          <cell r="B401" t="str">
            <v>Fusteltecnica</v>
          </cell>
          <cell r="C401" t="str">
            <v>M05781</v>
          </cell>
          <cell r="D401" t="str">
            <v>Rcm</v>
          </cell>
          <cell r="E401" t="str">
            <v>Interni neutri</v>
          </cell>
          <cell r="F401" t="str">
            <v>BOBST 1260</v>
          </cell>
          <cell r="G401">
            <v>5</v>
          </cell>
          <cell r="H401" t="str">
            <v>No</v>
          </cell>
          <cell r="I401" t="str">
            <v>Si</v>
          </cell>
          <cell r="J401" t="str">
            <v>No</v>
          </cell>
          <cell r="K401">
            <v>0</v>
          </cell>
          <cell r="L401" t="str">
            <v>No</v>
          </cell>
          <cell r="M401">
            <v>0</v>
          </cell>
          <cell r="N401">
            <v>0</v>
          </cell>
        </row>
        <row r="402">
          <cell r="A402" t="str">
            <v>FU0400</v>
          </cell>
          <cell r="B402" t="str">
            <v>Fusteltecnica</v>
          </cell>
          <cell r="C402" t="str">
            <v>E04237</v>
          </cell>
          <cell r="D402" t="str">
            <v>JBS</v>
          </cell>
          <cell r="E402" t="str">
            <v>Inserti laze</v>
          </cell>
          <cell r="F402" t="str">
            <v>BOBST 104</v>
          </cell>
          <cell r="G402">
            <v>4</v>
          </cell>
          <cell r="H402" t="str">
            <v>No</v>
          </cell>
          <cell r="I402" t="str">
            <v>No</v>
          </cell>
          <cell r="J402" t="str">
            <v>No</v>
          </cell>
          <cell r="K402">
            <v>0</v>
          </cell>
          <cell r="L402" t="str">
            <v>No</v>
          </cell>
          <cell r="M402">
            <v>0</v>
          </cell>
          <cell r="N402">
            <v>0</v>
          </cell>
        </row>
        <row r="403">
          <cell r="A403" t="str">
            <v>FU0401</v>
          </cell>
          <cell r="B403" t="str">
            <v>Lasercom</v>
          </cell>
          <cell r="C403" t="str">
            <v>Lomba388</v>
          </cell>
          <cell r="D403" t="str">
            <v>Gallo</v>
          </cell>
          <cell r="E403" t="str">
            <v>Sagomati discretion</v>
          </cell>
          <cell r="F403" t="str">
            <v>BOBST 1260</v>
          </cell>
          <cell r="G403">
            <v>6</v>
          </cell>
          <cell r="H403" t="str">
            <v>Si</v>
          </cell>
          <cell r="I403" t="str">
            <v>Si</v>
          </cell>
          <cell r="J403" t="str">
            <v>No</v>
          </cell>
          <cell r="K403">
            <v>0</v>
          </cell>
          <cell r="L403" t="str">
            <v>No</v>
          </cell>
          <cell r="M403">
            <v>0</v>
          </cell>
          <cell r="N403">
            <v>0</v>
          </cell>
        </row>
        <row r="404">
          <cell r="A404" t="str">
            <v>FU0402</v>
          </cell>
          <cell r="B404" t="str">
            <v>Fusteltecnica</v>
          </cell>
          <cell r="C404" t="str">
            <v>R03758</v>
          </cell>
          <cell r="D404" t="str">
            <v>Pantytex</v>
          </cell>
          <cell r="E404" t="str">
            <v>Astucci Anni Rolfi dorso 25</v>
          </cell>
          <cell r="F404" t="str">
            <v>BOBST 1260</v>
          </cell>
          <cell r="G404">
            <v>8</v>
          </cell>
          <cell r="H404" t="str">
            <v>Si</v>
          </cell>
          <cell r="I404" t="str">
            <v>Si</v>
          </cell>
          <cell r="J404" t="str">
            <v>No</v>
          </cell>
          <cell r="K404">
            <v>0</v>
          </cell>
          <cell r="L404" t="str">
            <v>Si</v>
          </cell>
          <cell r="M404" t="str">
            <v>DIana X80</v>
          </cell>
          <cell r="N404" t="str">
            <v>Lineare</v>
          </cell>
        </row>
        <row r="405">
          <cell r="A405" t="str">
            <v>FU0403</v>
          </cell>
          <cell r="B405" t="str">
            <v>Lasercom</v>
          </cell>
          <cell r="C405" t="str">
            <v>Lomba231</v>
          </cell>
          <cell r="D405" t="str">
            <v>JBS</v>
          </cell>
          <cell r="E405" t="str">
            <v>Appendini fakta</v>
          </cell>
          <cell r="F405" t="str">
            <v>BOBST 1260</v>
          </cell>
          <cell r="G405">
            <v>4</v>
          </cell>
          <cell r="H405" t="str">
            <v>Si</v>
          </cell>
          <cell r="I405" t="str">
            <v>Si</v>
          </cell>
          <cell r="J405" t="str">
            <v>No</v>
          </cell>
          <cell r="K405">
            <v>0</v>
          </cell>
          <cell r="L405" t="str">
            <v>No</v>
          </cell>
          <cell r="M405">
            <v>0</v>
          </cell>
          <cell r="N405">
            <v>0</v>
          </cell>
        </row>
        <row r="406">
          <cell r="A406" t="str">
            <v>FU0404</v>
          </cell>
          <cell r="B406" t="str">
            <v>Lasercom</v>
          </cell>
          <cell r="C406" t="str">
            <v>Lomba532</v>
          </cell>
          <cell r="D406" t="str">
            <v>Arti Grafiche</v>
          </cell>
          <cell r="E406" t="str">
            <v>Copertina Sig.re Lombardi</v>
          </cell>
          <cell r="F406" t="str">
            <v>BOBST 104</v>
          </cell>
          <cell r="G406">
            <v>1</v>
          </cell>
          <cell r="H406" t="str">
            <v>No</v>
          </cell>
          <cell r="I406" t="str">
            <v>No</v>
          </cell>
          <cell r="J406" t="str">
            <v>No</v>
          </cell>
          <cell r="K406">
            <v>0</v>
          </cell>
          <cell r="L406" t="str">
            <v>No</v>
          </cell>
          <cell r="M406">
            <v>0</v>
          </cell>
          <cell r="N406">
            <v>0</v>
          </cell>
        </row>
        <row r="407">
          <cell r="A407" t="str">
            <v>FU0405</v>
          </cell>
          <cell r="B407" t="str">
            <v>Lasercom</v>
          </cell>
          <cell r="C407" t="str">
            <v>Lomba530</v>
          </cell>
          <cell r="D407" t="str">
            <v>Pantytex</v>
          </cell>
          <cell r="E407" t="str">
            <v>Appendini Hema Collant + Gambaletto</v>
          </cell>
          <cell r="F407" t="str">
            <v>BOBST 1260</v>
          </cell>
          <cell r="G407">
            <v>5</v>
          </cell>
          <cell r="H407" t="str">
            <v>No</v>
          </cell>
          <cell r="I407" t="str">
            <v>Si</v>
          </cell>
          <cell r="J407" t="str">
            <v>No</v>
          </cell>
          <cell r="K407">
            <v>0</v>
          </cell>
          <cell r="L407" t="str">
            <v>No</v>
          </cell>
          <cell r="M407">
            <v>0</v>
          </cell>
          <cell r="N407">
            <v>0</v>
          </cell>
        </row>
        <row r="408">
          <cell r="A408" t="str">
            <v>FU0406</v>
          </cell>
          <cell r="B408" t="str">
            <v>Lasercom</v>
          </cell>
          <cell r="C408" t="str">
            <v>Lomba534</v>
          </cell>
          <cell r="D408" t="str">
            <v>Pantytex</v>
          </cell>
          <cell r="E408" t="str">
            <v>Appendini La Halle bianchi</v>
          </cell>
          <cell r="F408" t="str">
            <v>BOBST 104</v>
          </cell>
          <cell r="G408">
            <v>4</v>
          </cell>
          <cell r="H408" t="str">
            <v>No</v>
          </cell>
          <cell r="I408" t="str">
            <v>No</v>
          </cell>
          <cell r="J408" t="str">
            <v>No</v>
          </cell>
          <cell r="K408">
            <v>0</v>
          </cell>
          <cell r="L408" t="str">
            <v>No</v>
          </cell>
          <cell r="M408">
            <v>0</v>
          </cell>
          <cell r="N408">
            <v>0</v>
          </cell>
        </row>
        <row r="409">
          <cell r="A409" t="str">
            <v>FU0407</v>
          </cell>
          <cell r="B409" t="str">
            <v>Fusteltecnica</v>
          </cell>
          <cell r="C409" t="str">
            <v>M11690</v>
          </cell>
          <cell r="D409" t="str">
            <v>Battaglio</v>
          </cell>
          <cell r="E409" t="str">
            <v>Fascette Krauter</v>
          </cell>
          <cell r="F409" t="str">
            <v>BOBST 104</v>
          </cell>
          <cell r="G409">
            <v>10</v>
          </cell>
          <cell r="H409" t="str">
            <v>No</v>
          </cell>
          <cell r="I409" t="str">
            <v>No</v>
          </cell>
          <cell r="J409" t="str">
            <v>No</v>
          </cell>
          <cell r="K409">
            <v>0</v>
          </cell>
          <cell r="L409" t="str">
            <v>No</v>
          </cell>
          <cell r="M409">
            <v>0</v>
          </cell>
          <cell r="N409">
            <v>0</v>
          </cell>
        </row>
        <row r="410">
          <cell r="A410" t="str">
            <v>FU0408</v>
          </cell>
          <cell r="B410" t="str">
            <v>Fusteltecnica</v>
          </cell>
          <cell r="C410" t="str">
            <v>E04249</v>
          </cell>
          <cell r="D410" t="str">
            <v>Pantytex</v>
          </cell>
          <cell r="E410" t="str">
            <v>Astucci Anni Rolfi dorso 20</v>
          </cell>
          <cell r="F410" t="str">
            <v>BOBST 1260</v>
          </cell>
          <cell r="G410">
            <v>8</v>
          </cell>
          <cell r="H410" t="str">
            <v>Si</v>
          </cell>
          <cell r="I410" t="str">
            <v>Si</v>
          </cell>
          <cell r="J410" t="str">
            <v>No</v>
          </cell>
          <cell r="K410">
            <v>0</v>
          </cell>
          <cell r="L410" t="str">
            <v>Si</v>
          </cell>
          <cell r="M410" t="str">
            <v>DIana X80</v>
          </cell>
          <cell r="N410" t="str">
            <v>Lineare</v>
          </cell>
        </row>
        <row r="411">
          <cell r="A411" t="str">
            <v>FU0409</v>
          </cell>
          <cell r="B411" t="str">
            <v>Fusteltecnica</v>
          </cell>
          <cell r="C411" t="str">
            <v>A02624</v>
          </cell>
          <cell r="D411" t="str">
            <v>Pantytex</v>
          </cell>
          <cell r="E411" t="str">
            <v>Astucci Anni Rolfi dorso 12</v>
          </cell>
          <cell r="F411" t="str">
            <v>BOBST 1260</v>
          </cell>
          <cell r="G411">
            <v>8</v>
          </cell>
          <cell r="H411" t="str">
            <v>Si</v>
          </cell>
          <cell r="I411" t="str">
            <v>Si</v>
          </cell>
          <cell r="J411" t="str">
            <v>No</v>
          </cell>
          <cell r="K411">
            <v>0</v>
          </cell>
          <cell r="L411" t="str">
            <v>Si</v>
          </cell>
          <cell r="M411" t="str">
            <v>DIana X80</v>
          </cell>
          <cell r="N411" t="str">
            <v>Lineare</v>
          </cell>
        </row>
        <row r="412">
          <cell r="A412" t="str">
            <v>FU0410</v>
          </cell>
          <cell r="B412" t="str">
            <v>Fusteltecnica</v>
          </cell>
          <cell r="C412" t="str">
            <v>M04188</v>
          </cell>
          <cell r="D412" t="str">
            <v>Tracy</v>
          </cell>
          <cell r="E412" t="str">
            <v>Astucci Gemo - tolentino</v>
          </cell>
          <cell r="F412" t="str">
            <v>BOBST 1260</v>
          </cell>
          <cell r="G412">
            <v>4</v>
          </cell>
          <cell r="H412" t="str">
            <v>Si</v>
          </cell>
          <cell r="I412" t="str">
            <v>Si</v>
          </cell>
          <cell r="J412" t="str">
            <v>No</v>
          </cell>
          <cell r="K412">
            <v>0</v>
          </cell>
          <cell r="L412" t="str">
            <v>Si</v>
          </cell>
          <cell r="M412" t="str">
            <v>DIana X80</v>
          </cell>
          <cell r="N412" t="str">
            <v>Lineare</v>
          </cell>
        </row>
        <row r="413">
          <cell r="A413" t="str">
            <v>FU0411</v>
          </cell>
          <cell r="B413" t="str">
            <v>Fusteltecnica</v>
          </cell>
          <cell r="C413" t="str">
            <v>M04187</v>
          </cell>
          <cell r="D413" t="str">
            <v>Tracy</v>
          </cell>
          <cell r="E413" t="str">
            <v>Appendini Gemo</v>
          </cell>
          <cell r="F413" t="str">
            <v>BOBST 104</v>
          </cell>
          <cell r="G413">
            <v>12</v>
          </cell>
          <cell r="H413" t="str">
            <v>Si</v>
          </cell>
          <cell r="I413" t="str">
            <v>No</v>
          </cell>
          <cell r="J413" t="str">
            <v>No</v>
          </cell>
          <cell r="K413">
            <v>0</v>
          </cell>
          <cell r="L413" t="str">
            <v>No</v>
          </cell>
          <cell r="M413">
            <v>0</v>
          </cell>
          <cell r="N413">
            <v>0</v>
          </cell>
        </row>
        <row r="414">
          <cell r="A414" t="str">
            <v>FU0412</v>
          </cell>
          <cell r="B414" t="str">
            <v>Fusteltecnica</v>
          </cell>
          <cell r="C414" t="str">
            <v>E15873</v>
          </cell>
          <cell r="D414" t="str">
            <v>Pantytex</v>
          </cell>
          <cell r="E414" t="str">
            <v>Appendini Hema metallizzati</v>
          </cell>
          <cell r="F414" t="str">
            <v>BOBST 104</v>
          </cell>
          <cell r="G414">
            <v>8</v>
          </cell>
          <cell r="H414" t="str">
            <v>Si</v>
          </cell>
          <cell r="I414" t="str">
            <v>No</v>
          </cell>
          <cell r="J414" t="str">
            <v>No</v>
          </cell>
          <cell r="K414">
            <v>0</v>
          </cell>
          <cell r="L414" t="str">
            <v>No</v>
          </cell>
          <cell r="M414">
            <v>0</v>
          </cell>
          <cell r="N414">
            <v>0</v>
          </cell>
        </row>
        <row r="415">
          <cell r="A415" t="str">
            <v>FU0413</v>
          </cell>
          <cell r="B415" t="str">
            <v>Fusteltecnica</v>
          </cell>
          <cell r="C415" t="str">
            <v>R02688</v>
          </cell>
          <cell r="D415" t="str">
            <v>Nuova Virgiliana</v>
          </cell>
          <cell r="E415" t="str">
            <v>Fondi trasparenze</v>
          </cell>
          <cell r="F415" t="str">
            <v>BOBST 104</v>
          </cell>
          <cell r="G415">
            <v>3</v>
          </cell>
          <cell r="H415" t="str">
            <v>Si</v>
          </cell>
          <cell r="I415" t="str">
            <v>No</v>
          </cell>
          <cell r="J415" t="str">
            <v>No</v>
          </cell>
          <cell r="K415">
            <v>0</v>
          </cell>
          <cell r="L415" t="str">
            <v>Si</v>
          </cell>
          <cell r="M415" t="str">
            <v>Diana Pro 114</v>
          </cell>
          <cell r="N415" t="str">
            <v>Quattro angoli</v>
          </cell>
        </row>
        <row r="416">
          <cell r="A416" t="str">
            <v>FU0414</v>
          </cell>
          <cell r="B416" t="str">
            <v>Fusteltecnica</v>
          </cell>
          <cell r="C416" t="str">
            <v>G20839</v>
          </cell>
          <cell r="D416" t="str">
            <v>Dolci</v>
          </cell>
          <cell r="E416" t="str">
            <v>Scatole dolci h85</v>
          </cell>
          <cell r="F416" t="str">
            <v>BOBST 104</v>
          </cell>
          <cell r="G416">
            <v>4</v>
          </cell>
          <cell r="H416" t="str">
            <v>Si</v>
          </cell>
          <cell r="I416" t="str">
            <v>No</v>
          </cell>
          <cell r="J416" t="str">
            <v>No</v>
          </cell>
          <cell r="K416">
            <v>0</v>
          </cell>
          <cell r="L416" t="str">
            <v>Si</v>
          </cell>
          <cell r="M416">
            <v>0</v>
          </cell>
          <cell r="N416">
            <v>0</v>
          </cell>
        </row>
        <row r="417">
          <cell r="A417" t="str">
            <v>FU0415</v>
          </cell>
          <cell r="B417" t="str">
            <v>Lasercom</v>
          </cell>
          <cell r="C417" t="str">
            <v>Lomba84</v>
          </cell>
          <cell r="D417" t="str">
            <v>Veronesi</v>
          </cell>
          <cell r="E417" t="str">
            <v>Inserti vari</v>
          </cell>
          <cell r="F417" t="str">
            <v>BOBST 1260</v>
          </cell>
          <cell r="G417">
            <v>5</v>
          </cell>
          <cell r="H417" t="str">
            <v>Si</v>
          </cell>
          <cell r="I417" t="str">
            <v>Si</v>
          </cell>
          <cell r="J417" t="str">
            <v>No</v>
          </cell>
          <cell r="K417">
            <v>0</v>
          </cell>
          <cell r="L417" t="str">
            <v>No</v>
          </cell>
          <cell r="M417">
            <v>0</v>
          </cell>
          <cell r="N417">
            <v>0</v>
          </cell>
        </row>
        <row r="418">
          <cell r="A418" t="str">
            <v>FU0416</v>
          </cell>
          <cell r="B418" t="str">
            <v>Fusteltecnica</v>
          </cell>
          <cell r="C418" t="str">
            <v>E04320</v>
          </cell>
          <cell r="D418" t="str">
            <v>Tracy</v>
          </cell>
          <cell r="E418" t="str">
            <v>Appendini Gemo abbinati</v>
          </cell>
          <cell r="F418" t="str">
            <v>BOBST 104</v>
          </cell>
          <cell r="G418">
            <v>10</v>
          </cell>
          <cell r="H418" t="str">
            <v>Si</v>
          </cell>
          <cell r="I418" t="str">
            <v>No</v>
          </cell>
          <cell r="J418" t="str">
            <v>No</v>
          </cell>
          <cell r="K418">
            <v>0</v>
          </cell>
          <cell r="L418" t="str">
            <v>No</v>
          </cell>
          <cell r="M418">
            <v>0</v>
          </cell>
          <cell r="N418">
            <v>0</v>
          </cell>
        </row>
        <row r="419">
          <cell r="A419" t="str">
            <v>FU0417</v>
          </cell>
          <cell r="B419" t="str">
            <v>Lasercom</v>
          </cell>
          <cell r="C419" t="str">
            <v>Lomba540</v>
          </cell>
          <cell r="D419" t="str">
            <v>JBS</v>
          </cell>
          <cell r="E419" t="str">
            <v>Inserti decoy + paperelle</v>
          </cell>
          <cell r="F419" t="str">
            <v>BOBST 104</v>
          </cell>
          <cell r="G419">
            <v>4</v>
          </cell>
          <cell r="H419" t="str">
            <v>Si</v>
          </cell>
          <cell r="I419" t="str">
            <v>No</v>
          </cell>
          <cell r="J419" t="str">
            <v>No</v>
          </cell>
          <cell r="K419">
            <v>0</v>
          </cell>
          <cell r="L419" t="str">
            <v>No</v>
          </cell>
          <cell r="M419">
            <v>0</v>
          </cell>
          <cell r="N419">
            <v>0</v>
          </cell>
        </row>
        <row r="420">
          <cell r="A420" t="str">
            <v>FU0418</v>
          </cell>
          <cell r="B420" t="str">
            <v>Fusteltecnica</v>
          </cell>
          <cell r="C420" t="str">
            <v>E13996</v>
          </cell>
          <cell r="D420" t="str">
            <v>JBS</v>
          </cell>
          <cell r="E420" t="str">
            <v>Appendini 9-313 - 9-339 - matas</v>
          </cell>
          <cell r="F420" t="str">
            <v>BOBST 1260</v>
          </cell>
          <cell r="G420">
            <v>4</v>
          </cell>
          <cell r="H420" t="str">
            <v>Si</v>
          </cell>
          <cell r="I420" t="str">
            <v>Si</v>
          </cell>
          <cell r="J420" t="str">
            <v>No</v>
          </cell>
          <cell r="K420">
            <v>0</v>
          </cell>
          <cell r="L420" t="str">
            <v>No</v>
          </cell>
          <cell r="M420">
            <v>0</v>
          </cell>
          <cell r="N420">
            <v>0</v>
          </cell>
        </row>
        <row r="421">
          <cell r="A421" t="str">
            <v>FU0419</v>
          </cell>
          <cell r="B421" t="str">
            <v>Fusteltecnica</v>
          </cell>
          <cell r="C421" t="str">
            <v>R03778</v>
          </cell>
          <cell r="D421" t="str">
            <v>CRM</v>
          </cell>
          <cell r="E421" t="str">
            <v>Appendini coop foto</v>
          </cell>
          <cell r="F421" t="str">
            <v>BOBST 1260</v>
          </cell>
          <cell r="G421">
            <v>4</v>
          </cell>
          <cell r="H421" t="str">
            <v>Si</v>
          </cell>
          <cell r="I421" t="str">
            <v>Si</v>
          </cell>
          <cell r="J421" t="str">
            <v>No</v>
          </cell>
          <cell r="K421">
            <v>0</v>
          </cell>
          <cell r="L421" t="str">
            <v>No</v>
          </cell>
          <cell r="M421">
            <v>0</v>
          </cell>
          <cell r="N421">
            <v>0</v>
          </cell>
        </row>
        <row r="422">
          <cell r="A422" t="str">
            <v>FU0420</v>
          </cell>
          <cell r="B422" t="str">
            <v>Lasercom</v>
          </cell>
          <cell r="C422" t="str">
            <v>Lomba542</v>
          </cell>
          <cell r="D422" t="str">
            <v>Tradigo</v>
          </cell>
          <cell r="E422" t="str">
            <v>Cartellini salvacalze</v>
          </cell>
          <cell r="F422" t="str">
            <v>BOBST 1260</v>
          </cell>
          <cell r="G422">
            <v>27</v>
          </cell>
          <cell r="H422" t="str">
            <v>No</v>
          </cell>
          <cell r="I422" t="str">
            <v>Si</v>
          </cell>
          <cell r="J422" t="str">
            <v>No</v>
          </cell>
          <cell r="K422">
            <v>0</v>
          </cell>
          <cell r="L422" t="str">
            <v>No</v>
          </cell>
          <cell r="M422">
            <v>0</v>
          </cell>
          <cell r="N422">
            <v>0</v>
          </cell>
        </row>
        <row r="423">
          <cell r="A423" t="str">
            <v>FU0421</v>
          </cell>
          <cell r="B423" t="str">
            <v>Lasercom</v>
          </cell>
          <cell r="C423" t="str">
            <v>Lomba533</v>
          </cell>
          <cell r="D423" t="str">
            <v>Eire</v>
          </cell>
          <cell r="E423" t="str">
            <v>Inserti LIDL</v>
          </cell>
          <cell r="F423" t="str">
            <v>BOBST 104</v>
          </cell>
          <cell r="G423">
            <v>8</v>
          </cell>
          <cell r="H423" t="str">
            <v>No</v>
          </cell>
          <cell r="I423" t="str">
            <v>No</v>
          </cell>
          <cell r="J423" t="str">
            <v>No</v>
          </cell>
          <cell r="K423">
            <v>0</v>
          </cell>
          <cell r="L423" t="str">
            <v>No</v>
          </cell>
          <cell r="M423">
            <v>0</v>
          </cell>
          <cell r="N423">
            <v>0</v>
          </cell>
        </row>
        <row r="424">
          <cell r="A424" t="str">
            <v>FU0422</v>
          </cell>
          <cell r="B424" t="str">
            <v>Lasercom</v>
          </cell>
          <cell r="C424" t="str">
            <v>Lomba541</v>
          </cell>
          <cell r="D424" t="str">
            <v>Pantytex</v>
          </cell>
          <cell r="E424" t="str">
            <v>Inserti divine</v>
          </cell>
          <cell r="F424" t="str">
            <v>BOBST 104</v>
          </cell>
          <cell r="G424">
            <v>6</v>
          </cell>
          <cell r="H424" t="str">
            <v>No</v>
          </cell>
          <cell r="I424" t="str">
            <v>No</v>
          </cell>
          <cell r="J424" t="str">
            <v>No</v>
          </cell>
          <cell r="K424">
            <v>0</v>
          </cell>
          <cell r="L424" t="str">
            <v>No</v>
          </cell>
          <cell r="M424">
            <v>0</v>
          </cell>
          <cell r="N424">
            <v>0</v>
          </cell>
        </row>
        <row r="425">
          <cell r="A425" t="str">
            <v>FU0423</v>
          </cell>
          <cell r="B425" t="str">
            <v>Lasercom</v>
          </cell>
          <cell r="C425" t="str">
            <v>Lomba535</v>
          </cell>
          <cell r="D425" t="str">
            <v>Pantytex</v>
          </cell>
          <cell r="E425" t="str">
            <v>Inserti La Halle Polya 5</v>
          </cell>
          <cell r="F425" t="str">
            <v>BOBST 104</v>
          </cell>
          <cell r="G425">
            <v>9</v>
          </cell>
          <cell r="H425" t="str">
            <v>No</v>
          </cell>
          <cell r="I425" t="str">
            <v>No</v>
          </cell>
          <cell r="J425" t="str">
            <v>No</v>
          </cell>
          <cell r="K425">
            <v>0</v>
          </cell>
          <cell r="L425" t="str">
            <v>No</v>
          </cell>
          <cell r="M425">
            <v>0</v>
          </cell>
          <cell r="N425">
            <v>0</v>
          </cell>
        </row>
        <row r="426">
          <cell r="A426" t="str">
            <v>FU0424</v>
          </cell>
          <cell r="B426" t="str">
            <v>Lasercom</v>
          </cell>
          <cell r="C426" t="str">
            <v>Lomb169N</v>
          </cell>
          <cell r="D426" t="str">
            <v>Moretto</v>
          </cell>
          <cell r="E426" t="str">
            <v>Astucci budini</v>
          </cell>
          <cell r="F426" t="str">
            <v>BOBST 1260</v>
          </cell>
          <cell r="G426">
            <v>8</v>
          </cell>
          <cell r="H426" t="str">
            <v>Si</v>
          </cell>
          <cell r="I426" t="str">
            <v>Si</v>
          </cell>
          <cell r="J426" t="str">
            <v>No</v>
          </cell>
          <cell r="K426">
            <v>0</v>
          </cell>
          <cell r="L426" t="str">
            <v>No</v>
          </cell>
          <cell r="M426">
            <v>0</v>
          </cell>
          <cell r="N426">
            <v>0</v>
          </cell>
        </row>
        <row r="427">
          <cell r="A427" t="str">
            <v>FU0425</v>
          </cell>
          <cell r="B427" t="str">
            <v>Fusteltecnica</v>
          </cell>
          <cell r="C427" t="str">
            <v>R02499</v>
          </cell>
          <cell r="D427" t="str">
            <v>Pantytex</v>
          </cell>
          <cell r="E427" t="str">
            <v>Appendini hema dorso 30</v>
          </cell>
          <cell r="F427" t="str">
            <v>BOBST 1260</v>
          </cell>
          <cell r="G427">
            <v>8</v>
          </cell>
          <cell r="H427" t="str">
            <v>Si</v>
          </cell>
          <cell r="I427" t="str">
            <v>Si</v>
          </cell>
          <cell r="J427" t="str">
            <v>No</v>
          </cell>
          <cell r="K427">
            <v>0</v>
          </cell>
          <cell r="L427" t="str">
            <v>No</v>
          </cell>
          <cell r="M427">
            <v>0</v>
          </cell>
          <cell r="N427">
            <v>0</v>
          </cell>
        </row>
        <row r="428">
          <cell r="A428" t="str">
            <v>FU0426</v>
          </cell>
          <cell r="B428" t="str">
            <v>Fusteltecnica</v>
          </cell>
          <cell r="C428" t="str">
            <v>E04240</v>
          </cell>
          <cell r="D428" t="str">
            <v>Pantytex</v>
          </cell>
          <cell r="E428" t="str">
            <v>Appendini Divine dorso 18</v>
          </cell>
          <cell r="F428" t="str">
            <v>BOBST 104</v>
          </cell>
          <cell r="G428">
            <v>6</v>
          </cell>
          <cell r="H428" t="str">
            <v>Si</v>
          </cell>
          <cell r="I428" t="str">
            <v>No</v>
          </cell>
          <cell r="J428" t="str">
            <v>No</v>
          </cell>
          <cell r="K428">
            <v>0</v>
          </cell>
          <cell r="L428" t="str">
            <v>No</v>
          </cell>
          <cell r="M428">
            <v>0</v>
          </cell>
          <cell r="N428">
            <v>0</v>
          </cell>
        </row>
        <row r="429">
          <cell r="A429" t="str">
            <v>FU0427</v>
          </cell>
          <cell r="B429" t="str">
            <v>Lasercom</v>
          </cell>
          <cell r="C429" t="str">
            <v>Lomba393</v>
          </cell>
          <cell r="D429" t="str">
            <v>Dolci</v>
          </cell>
          <cell r="E429" t="str">
            <v>Inserti Desirèe</v>
          </cell>
          <cell r="F429" t="str">
            <v>BOBST 104</v>
          </cell>
          <cell r="G429">
            <v>4</v>
          </cell>
          <cell r="H429" t="str">
            <v>Si</v>
          </cell>
          <cell r="I429" t="str">
            <v>No</v>
          </cell>
          <cell r="J429" t="str">
            <v>No</v>
          </cell>
          <cell r="K429">
            <v>0</v>
          </cell>
          <cell r="L429" t="str">
            <v>No</v>
          </cell>
          <cell r="M429">
            <v>0</v>
          </cell>
          <cell r="N429">
            <v>0</v>
          </cell>
        </row>
        <row r="430">
          <cell r="A430" t="str">
            <v>FU0428</v>
          </cell>
          <cell r="B430" t="str">
            <v>Fusteltecnica</v>
          </cell>
          <cell r="C430" t="str">
            <v>R05382</v>
          </cell>
          <cell r="D430" t="str">
            <v>Quaranta</v>
          </cell>
          <cell r="E430" t="str">
            <v>Expo Jolly 30 pz</v>
          </cell>
          <cell r="F430" t="str">
            <v>BOBST 104</v>
          </cell>
          <cell r="G430">
            <v>1</v>
          </cell>
          <cell r="H430" t="str">
            <v>Si</v>
          </cell>
          <cell r="I430" t="str">
            <v>No</v>
          </cell>
          <cell r="J430" t="str">
            <v>No</v>
          </cell>
          <cell r="K430">
            <v>0</v>
          </cell>
          <cell r="L430" t="str">
            <v>No</v>
          </cell>
          <cell r="M430">
            <v>0</v>
          </cell>
          <cell r="N430">
            <v>0</v>
          </cell>
        </row>
        <row r="431">
          <cell r="A431" t="str">
            <v>FU0429</v>
          </cell>
          <cell r="B431" t="str">
            <v>Fusteltecnica</v>
          </cell>
          <cell r="C431" t="str">
            <v>M04267</v>
          </cell>
          <cell r="D431" t="str">
            <v>Rcm</v>
          </cell>
          <cell r="E431" t="str">
            <v>Scatola rcm</v>
          </cell>
          <cell r="F431" t="str">
            <v>BOBST 104</v>
          </cell>
          <cell r="G431">
            <v>1</v>
          </cell>
          <cell r="H431" t="str">
            <v>No</v>
          </cell>
          <cell r="I431" t="str">
            <v>No</v>
          </cell>
          <cell r="J431" t="str">
            <v>No</v>
          </cell>
          <cell r="K431">
            <v>0</v>
          </cell>
          <cell r="L431" t="str">
            <v>No</v>
          </cell>
          <cell r="M431">
            <v>0</v>
          </cell>
          <cell r="N431">
            <v>0</v>
          </cell>
        </row>
        <row r="432">
          <cell r="A432" t="str">
            <v>FU0430</v>
          </cell>
          <cell r="B432" t="str">
            <v>Lasercom</v>
          </cell>
          <cell r="C432" t="str">
            <v>Lomba544</v>
          </cell>
          <cell r="D432" t="str">
            <v>Pantytex</v>
          </cell>
          <cell r="E432" t="str">
            <v>Inserti Beathe use</v>
          </cell>
          <cell r="F432" t="str">
            <v>BOBST 104</v>
          </cell>
          <cell r="G432">
            <v>4</v>
          </cell>
          <cell r="H432" t="str">
            <v>No</v>
          </cell>
          <cell r="I432" t="str">
            <v>No</v>
          </cell>
          <cell r="J432" t="str">
            <v>No</v>
          </cell>
          <cell r="K432">
            <v>0</v>
          </cell>
          <cell r="L432" t="str">
            <v>No</v>
          </cell>
          <cell r="M432">
            <v>0</v>
          </cell>
          <cell r="N432">
            <v>0</v>
          </cell>
        </row>
        <row r="433">
          <cell r="A433" t="str">
            <v>FU0431</v>
          </cell>
          <cell r="B433" t="str">
            <v>Fusteltecnica</v>
          </cell>
          <cell r="C433" t="str">
            <v>E04319</v>
          </cell>
          <cell r="D433" t="str">
            <v>Prontofoods</v>
          </cell>
          <cell r="E433" t="str">
            <v>Astucci Magica ciok</v>
          </cell>
          <cell r="F433" t="str">
            <v>BOBST 1260</v>
          </cell>
          <cell r="G433">
            <v>4</v>
          </cell>
          <cell r="H433" t="str">
            <v>No</v>
          </cell>
          <cell r="I433" t="str">
            <v>Si</v>
          </cell>
          <cell r="J433" t="str">
            <v>No</v>
          </cell>
          <cell r="K433">
            <v>0</v>
          </cell>
          <cell r="L433" t="str">
            <v>Si</v>
          </cell>
          <cell r="M433" t="str">
            <v>Diana Pro 114</v>
          </cell>
          <cell r="N433" t="str">
            <v>Fondo Automatico</v>
          </cell>
        </row>
        <row r="434">
          <cell r="A434" t="str">
            <v>FU0432</v>
          </cell>
          <cell r="B434" t="str">
            <v>Lasercom</v>
          </cell>
          <cell r="C434" t="str">
            <v>Lomba403</v>
          </cell>
          <cell r="D434" t="str">
            <v>JBS</v>
          </cell>
          <cell r="E434" t="str">
            <v>Cartelle colore</v>
          </cell>
          <cell r="F434" t="str">
            <v>BOBST 104</v>
          </cell>
          <cell r="G434">
            <v>9</v>
          </cell>
          <cell r="H434" t="str">
            <v>No</v>
          </cell>
          <cell r="I434" t="str">
            <v>No</v>
          </cell>
          <cell r="J434" t="str">
            <v>No</v>
          </cell>
          <cell r="K434">
            <v>0</v>
          </cell>
          <cell r="L434" t="str">
            <v>No</v>
          </cell>
          <cell r="M434">
            <v>0</v>
          </cell>
          <cell r="N434">
            <v>0</v>
          </cell>
        </row>
        <row r="435">
          <cell r="A435" t="str">
            <v>FU0433</v>
          </cell>
          <cell r="B435" t="str">
            <v>Lasercom</v>
          </cell>
          <cell r="C435" t="str">
            <v>Lomba537N</v>
          </cell>
          <cell r="D435" t="str">
            <v>Pantytex</v>
          </cell>
          <cell r="E435" t="str">
            <v>Asucci La Halle Polya 2</v>
          </cell>
          <cell r="F435" t="str">
            <v>BOBST 1260</v>
          </cell>
          <cell r="G435">
            <v>4</v>
          </cell>
          <cell r="H435" t="str">
            <v>Si</v>
          </cell>
          <cell r="I435" t="str">
            <v>Si</v>
          </cell>
          <cell r="J435" t="str">
            <v>No</v>
          </cell>
          <cell r="K435">
            <v>0</v>
          </cell>
          <cell r="L435" t="str">
            <v>Si</v>
          </cell>
          <cell r="M435" t="str">
            <v>DIana X80</v>
          </cell>
          <cell r="N435" t="str">
            <v>Lineare</v>
          </cell>
        </row>
        <row r="436">
          <cell r="A436" t="str">
            <v>FU0434</v>
          </cell>
          <cell r="B436" t="str">
            <v>Lasercom</v>
          </cell>
          <cell r="C436" t="str">
            <v>Lomba539</v>
          </cell>
          <cell r="D436" t="str">
            <v>Pantytex</v>
          </cell>
          <cell r="E436" t="str">
            <v>Appendini La Halle Polya 1</v>
          </cell>
          <cell r="F436" t="str">
            <v>BOBST 1260</v>
          </cell>
          <cell r="G436">
            <v>8</v>
          </cell>
          <cell r="H436" t="str">
            <v>Si</v>
          </cell>
          <cell r="I436" t="str">
            <v>Si</v>
          </cell>
          <cell r="J436" t="str">
            <v>No</v>
          </cell>
          <cell r="K436">
            <v>0</v>
          </cell>
          <cell r="L436" t="str">
            <v>No</v>
          </cell>
          <cell r="M436">
            <v>0</v>
          </cell>
          <cell r="N436">
            <v>0</v>
          </cell>
        </row>
        <row r="437">
          <cell r="A437" t="str">
            <v>FU0435</v>
          </cell>
          <cell r="B437" t="str">
            <v>Fusteltecnica</v>
          </cell>
          <cell r="C437" t="str">
            <v>E02596</v>
          </cell>
          <cell r="D437" t="str">
            <v>Pantytex</v>
          </cell>
          <cell r="E437" t="str">
            <v>Appendini La Halle Polya 4</v>
          </cell>
          <cell r="F437" t="str">
            <v>BOBST 1260</v>
          </cell>
          <cell r="G437">
            <v>6</v>
          </cell>
          <cell r="H437" t="str">
            <v>Si</v>
          </cell>
          <cell r="I437" t="str">
            <v>Si</v>
          </cell>
          <cell r="J437" t="str">
            <v>No</v>
          </cell>
          <cell r="K437">
            <v>0</v>
          </cell>
          <cell r="L437" t="str">
            <v>No</v>
          </cell>
          <cell r="M437">
            <v>0</v>
          </cell>
          <cell r="N437">
            <v>0</v>
          </cell>
        </row>
        <row r="438">
          <cell r="A438" t="str">
            <v>FU0436</v>
          </cell>
          <cell r="B438" t="str">
            <v>Lasercom</v>
          </cell>
          <cell r="C438" t="str">
            <v>Lomba538</v>
          </cell>
          <cell r="D438" t="str">
            <v>Pantytex</v>
          </cell>
          <cell r="E438" t="str">
            <v>Appendini La Halle Polya 3</v>
          </cell>
          <cell r="F438" t="str">
            <v>BOBST 104</v>
          </cell>
          <cell r="G438">
            <v>6</v>
          </cell>
          <cell r="H438" t="str">
            <v>Si</v>
          </cell>
          <cell r="I438" t="str">
            <v>No</v>
          </cell>
          <cell r="J438" t="str">
            <v>No</v>
          </cell>
          <cell r="K438">
            <v>0</v>
          </cell>
          <cell r="L438" t="str">
            <v>No</v>
          </cell>
          <cell r="M438">
            <v>0</v>
          </cell>
          <cell r="N438">
            <v>0</v>
          </cell>
        </row>
        <row r="439">
          <cell r="A439" t="str">
            <v>FU0437</v>
          </cell>
          <cell r="B439" t="str">
            <v>Fusteltecnica</v>
          </cell>
          <cell r="C439" t="str">
            <v>A03940</v>
          </cell>
          <cell r="D439" t="str">
            <v>JBS</v>
          </cell>
          <cell r="E439" t="str">
            <v>Buste Caroline Fleming abbinate</v>
          </cell>
          <cell r="F439" t="str">
            <v>BOBST 104</v>
          </cell>
          <cell r="G439">
            <v>5</v>
          </cell>
          <cell r="H439" t="str">
            <v>Si</v>
          </cell>
          <cell r="I439" t="str">
            <v>No</v>
          </cell>
          <cell r="J439" t="str">
            <v>No</v>
          </cell>
          <cell r="K439">
            <v>0</v>
          </cell>
          <cell r="L439" t="str">
            <v>Si</v>
          </cell>
          <cell r="M439" t="str">
            <v>Diana Pro 114</v>
          </cell>
          <cell r="N439" t="str">
            <v>Soffietto</v>
          </cell>
        </row>
        <row r="440">
          <cell r="A440" t="str">
            <v>FU0438</v>
          </cell>
          <cell r="B440" t="str">
            <v>Fusteltecnica</v>
          </cell>
          <cell r="C440" t="str">
            <v>R05404</v>
          </cell>
          <cell r="D440" t="str">
            <v>Dolci</v>
          </cell>
          <cell r="E440" t="str">
            <v>Appendini Moa</v>
          </cell>
          <cell r="F440" t="str">
            <v>BOBST 104</v>
          </cell>
          <cell r="G440">
            <v>6</v>
          </cell>
          <cell r="H440" t="str">
            <v>Si</v>
          </cell>
          <cell r="I440" t="str">
            <v>No</v>
          </cell>
          <cell r="J440" t="str">
            <v>No</v>
          </cell>
          <cell r="K440">
            <v>0</v>
          </cell>
          <cell r="L440" t="str">
            <v>No</v>
          </cell>
          <cell r="M440">
            <v>0</v>
          </cell>
          <cell r="N440">
            <v>0</v>
          </cell>
        </row>
        <row r="441">
          <cell r="A441" t="str">
            <v>FU0439</v>
          </cell>
          <cell r="B441">
            <v>0</v>
          </cell>
          <cell r="C441" t="str">
            <v>LI01985MFG</v>
          </cell>
          <cell r="D441" t="str">
            <v>Tradigo</v>
          </cell>
          <cell r="E441" t="str">
            <v>Astucci dry sox</v>
          </cell>
          <cell r="F441" t="str">
            <v>BOBST 1260</v>
          </cell>
          <cell r="G441">
            <v>6</v>
          </cell>
          <cell r="H441" t="str">
            <v>Si</v>
          </cell>
          <cell r="I441" t="str">
            <v>Si</v>
          </cell>
          <cell r="J441" t="str">
            <v>No</v>
          </cell>
          <cell r="K441">
            <v>0</v>
          </cell>
          <cell r="L441" t="str">
            <v>Si</v>
          </cell>
          <cell r="M441" t="str">
            <v>DIana X80</v>
          </cell>
          <cell r="N441" t="str">
            <v>Lineare</v>
          </cell>
        </row>
        <row r="442">
          <cell r="A442" t="str">
            <v>FU0440</v>
          </cell>
          <cell r="B442" t="str">
            <v>Lasercom</v>
          </cell>
          <cell r="C442" t="str">
            <v>Lomba147</v>
          </cell>
          <cell r="D442" t="str">
            <v>Dolci</v>
          </cell>
          <cell r="E442" t="str">
            <v>Inserti Noa Noa</v>
          </cell>
          <cell r="F442" t="str">
            <v>BOBST 104</v>
          </cell>
          <cell r="G442">
            <v>4</v>
          </cell>
          <cell r="H442" t="str">
            <v>Si</v>
          </cell>
          <cell r="I442" t="str">
            <v>No</v>
          </cell>
          <cell r="J442" t="str">
            <v>No</v>
          </cell>
          <cell r="K442">
            <v>0</v>
          </cell>
          <cell r="L442" t="str">
            <v>No</v>
          </cell>
          <cell r="M442">
            <v>0</v>
          </cell>
          <cell r="N442">
            <v>0</v>
          </cell>
        </row>
        <row r="443">
          <cell r="A443" t="str">
            <v>FU0441</v>
          </cell>
          <cell r="B443" t="str">
            <v>Fusteltecnica</v>
          </cell>
          <cell r="C443" t="str">
            <v>M04214</v>
          </cell>
          <cell r="D443" t="str">
            <v>Quaranta</v>
          </cell>
          <cell r="E443" t="str">
            <v>Expo jolly croccante 18 pz</v>
          </cell>
          <cell r="F443" t="str">
            <v>BOBST 1260</v>
          </cell>
          <cell r="G443">
            <v>1</v>
          </cell>
          <cell r="H443" t="str">
            <v>Si</v>
          </cell>
          <cell r="I443" t="str">
            <v>Si</v>
          </cell>
          <cell r="J443" t="str">
            <v>No</v>
          </cell>
          <cell r="K443">
            <v>0</v>
          </cell>
          <cell r="L443" t="str">
            <v>No</v>
          </cell>
          <cell r="M443">
            <v>0</v>
          </cell>
          <cell r="N443">
            <v>0</v>
          </cell>
        </row>
        <row r="444">
          <cell r="A444" t="str">
            <v>FU0442</v>
          </cell>
          <cell r="B444" t="str">
            <v>Lasercom</v>
          </cell>
          <cell r="C444" t="str">
            <v>Lomb317</v>
          </cell>
          <cell r="D444" t="str">
            <v>Vegas</v>
          </cell>
          <cell r="E444" t="str">
            <v>Appendini h27</v>
          </cell>
          <cell r="F444" t="str">
            <v>BOBST 1260</v>
          </cell>
          <cell r="G444">
            <v>6</v>
          </cell>
          <cell r="H444" t="str">
            <v>Si</v>
          </cell>
          <cell r="I444" t="str">
            <v>Si</v>
          </cell>
          <cell r="J444" t="str">
            <v>No</v>
          </cell>
          <cell r="K444">
            <v>0</v>
          </cell>
          <cell r="L444" t="str">
            <v>No</v>
          </cell>
          <cell r="M444">
            <v>0</v>
          </cell>
          <cell r="N444">
            <v>0</v>
          </cell>
        </row>
        <row r="445">
          <cell r="A445" t="str">
            <v>FU0443</v>
          </cell>
          <cell r="B445" t="str">
            <v>Fusteltecnica</v>
          </cell>
          <cell r="C445" t="str">
            <v>R10572</v>
          </cell>
          <cell r="D445" t="str">
            <v>Nero Nobile</v>
          </cell>
          <cell r="E445" t="str">
            <v>Astucci FS0383</v>
          </cell>
          <cell r="F445" t="str">
            <v>BOBST 1260</v>
          </cell>
          <cell r="G445">
            <v>6</v>
          </cell>
          <cell r="H445" t="str">
            <v>Si</v>
          </cell>
          <cell r="I445" t="str">
            <v>Si</v>
          </cell>
          <cell r="J445" t="str">
            <v>No</v>
          </cell>
          <cell r="K445">
            <v>0</v>
          </cell>
          <cell r="L445" t="str">
            <v>Si</v>
          </cell>
          <cell r="M445" t="str">
            <v>DIana X80</v>
          </cell>
          <cell r="N445" t="str">
            <v>Lineare</v>
          </cell>
        </row>
        <row r="446">
          <cell r="A446" t="str">
            <v>FU0444</v>
          </cell>
          <cell r="B446" t="str">
            <v>Lasercom</v>
          </cell>
          <cell r="C446" t="str">
            <v>Lomba357</v>
          </cell>
          <cell r="D446" t="str">
            <v>Dolci</v>
          </cell>
          <cell r="E446" t="str">
            <v>Appendini dolci calze rossi</v>
          </cell>
          <cell r="F446" t="str">
            <v>BOBST 1260</v>
          </cell>
          <cell r="G446">
            <v>4</v>
          </cell>
          <cell r="H446" t="str">
            <v>Si</v>
          </cell>
          <cell r="I446" t="str">
            <v>Si</v>
          </cell>
          <cell r="J446" t="str">
            <v>No</v>
          </cell>
          <cell r="K446">
            <v>0</v>
          </cell>
          <cell r="L446" t="str">
            <v>No</v>
          </cell>
          <cell r="M446">
            <v>0</v>
          </cell>
          <cell r="N446">
            <v>0</v>
          </cell>
        </row>
        <row r="447">
          <cell r="A447" t="str">
            <v>FU0445</v>
          </cell>
          <cell r="B447" t="str">
            <v>Fusteltecnica</v>
          </cell>
          <cell r="C447" t="str">
            <v>G20803</v>
          </cell>
          <cell r="D447" t="str">
            <v>Cinturificio Bresciano</v>
          </cell>
          <cell r="E447" t="str">
            <v>Scatole CNVY + cartellini</v>
          </cell>
          <cell r="F447" t="str">
            <v>BOBST 1260</v>
          </cell>
          <cell r="G447">
            <v>16</v>
          </cell>
          <cell r="H447" t="str">
            <v>Si</v>
          </cell>
          <cell r="I447" t="str">
            <v>Si</v>
          </cell>
          <cell r="J447" t="str">
            <v>No</v>
          </cell>
          <cell r="K447">
            <v>0</v>
          </cell>
          <cell r="L447" t="str">
            <v>Si</v>
          </cell>
          <cell r="M447" t="str">
            <v>Diana Pro 114</v>
          </cell>
          <cell r="N447" t="str">
            <v>Americana</v>
          </cell>
        </row>
        <row r="448">
          <cell r="A448" t="str">
            <v>FU0446</v>
          </cell>
          <cell r="B448" t="str">
            <v>Fusteltecnica</v>
          </cell>
          <cell r="C448" t="str">
            <v>M04225</v>
          </cell>
          <cell r="D448" t="str">
            <v>Vegas</v>
          </cell>
          <cell r="E448" t="str">
            <v>Scatole compressions</v>
          </cell>
          <cell r="F448" t="str">
            <v>BOBST 1260</v>
          </cell>
          <cell r="G448">
            <v>1</v>
          </cell>
          <cell r="H448" t="str">
            <v>No</v>
          </cell>
          <cell r="I448" t="str">
            <v>Si</v>
          </cell>
          <cell r="J448" t="str">
            <v>No</v>
          </cell>
          <cell r="K448">
            <v>0</v>
          </cell>
          <cell r="L448" t="str">
            <v>Si</v>
          </cell>
          <cell r="M448" t="str">
            <v>DIana X80</v>
          </cell>
          <cell r="N448" t="str">
            <v>Lineare</v>
          </cell>
        </row>
        <row r="449">
          <cell r="A449" t="str">
            <v>FU0447</v>
          </cell>
          <cell r="B449" t="str">
            <v>Fusteltecnica</v>
          </cell>
          <cell r="C449" t="str">
            <v>R03594</v>
          </cell>
          <cell r="D449" t="str">
            <v>Tracy</v>
          </cell>
          <cell r="E449" t="str">
            <v>Appendini doppi punta</v>
          </cell>
          <cell r="F449" t="str">
            <v>BOBST 104</v>
          </cell>
          <cell r="G449">
            <v>4</v>
          </cell>
          <cell r="H449" t="str">
            <v>No</v>
          </cell>
          <cell r="I449" t="str">
            <v>No</v>
          </cell>
          <cell r="J449" t="str">
            <v>No</v>
          </cell>
          <cell r="K449">
            <v>0</v>
          </cell>
          <cell r="L449" t="str">
            <v>No</v>
          </cell>
          <cell r="M449">
            <v>0</v>
          </cell>
          <cell r="N449">
            <v>0</v>
          </cell>
        </row>
        <row r="450">
          <cell r="A450" t="str">
            <v>FU0448</v>
          </cell>
          <cell r="B450" t="str">
            <v>Lasercom</v>
          </cell>
          <cell r="C450" t="str">
            <v>Lomba545</v>
          </cell>
          <cell r="D450" t="str">
            <v>Battaglio</v>
          </cell>
          <cell r="E450" t="str">
            <v>Cavallotti 3 orsi</v>
          </cell>
          <cell r="F450" t="str">
            <v>BOBST 104</v>
          </cell>
          <cell r="G450">
            <v>15</v>
          </cell>
          <cell r="H450" t="str">
            <v>No</v>
          </cell>
          <cell r="I450" t="str">
            <v>No</v>
          </cell>
          <cell r="J450" t="str">
            <v>No</v>
          </cell>
          <cell r="K450">
            <v>0</v>
          </cell>
          <cell r="L450" t="str">
            <v>No</v>
          </cell>
          <cell r="M450">
            <v>0</v>
          </cell>
          <cell r="N450">
            <v>0</v>
          </cell>
        </row>
        <row r="451">
          <cell r="A451" t="str">
            <v>FU0449</v>
          </cell>
          <cell r="B451" t="str">
            <v>Lasercom</v>
          </cell>
          <cell r="C451" t="str">
            <v>Lomb702Z</v>
          </cell>
          <cell r="D451" t="str">
            <v>Pantytex</v>
          </cell>
          <cell r="E451" t="str">
            <v>Appendini HKM</v>
          </cell>
          <cell r="F451" t="str">
            <v>BOBST 1260</v>
          </cell>
          <cell r="G451">
            <v>3</v>
          </cell>
          <cell r="H451" t="str">
            <v>No</v>
          </cell>
          <cell r="I451" t="str">
            <v>Si</v>
          </cell>
          <cell r="J451" t="str">
            <v>No</v>
          </cell>
          <cell r="K451">
            <v>0</v>
          </cell>
          <cell r="L451" t="str">
            <v>No</v>
          </cell>
          <cell r="M451">
            <v>0</v>
          </cell>
          <cell r="N451">
            <v>0</v>
          </cell>
        </row>
        <row r="452">
          <cell r="A452" t="str">
            <v>FU0450</v>
          </cell>
          <cell r="B452" t="str">
            <v>Lasercom</v>
          </cell>
          <cell r="C452" t="str">
            <v>Lomba536</v>
          </cell>
          <cell r="D452" t="str">
            <v>Love and Bra</v>
          </cell>
          <cell r="E452" t="str">
            <v>Vassoio Love &amp; Bra nuova versione</v>
          </cell>
          <cell r="F452" t="str">
            <v>BOBST 1260</v>
          </cell>
          <cell r="G452">
            <v>2</v>
          </cell>
          <cell r="H452" t="str">
            <v>Si</v>
          </cell>
          <cell r="I452" t="str">
            <v>Si</v>
          </cell>
          <cell r="J452" t="str">
            <v>No</v>
          </cell>
          <cell r="K452">
            <v>0</v>
          </cell>
          <cell r="L452" t="str">
            <v>Si</v>
          </cell>
          <cell r="M452" t="str">
            <v>Diana Pro 114</v>
          </cell>
          <cell r="N452" t="str">
            <v>Quattro angoli</v>
          </cell>
        </row>
        <row r="453">
          <cell r="A453" t="str">
            <v>FU0451</v>
          </cell>
          <cell r="B453" t="str">
            <v>Fusteltecnica</v>
          </cell>
          <cell r="C453" t="str">
            <v>A03964</v>
          </cell>
          <cell r="D453" t="str">
            <v>Pantytex</v>
          </cell>
          <cell r="E453" t="str">
            <v>Appendini hema h25</v>
          </cell>
          <cell r="F453" t="str">
            <v>BOBST 1260</v>
          </cell>
          <cell r="G453">
            <v>8</v>
          </cell>
          <cell r="H453" t="str">
            <v>Si</v>
          </cell>
          <cell r="I453" t="str">
            <v>Si</v>
          </cell>
          <cell r="J453" t="str">
            <v>No</v>
          </cell>
          <cell r="K453">
            <v>0</v>
          </cell>
          <cell r="L453" t="str">
            <v>No</v>
          </cell>
          <cell r="M453">
            <v>0</v>
          </cell>
          <cell r="N453">
            <v>0</v>
          </cell>
        </row>
        <row r="454">
          <cell r="A454" t="str">
            <v>FU0452</v>
          </cell>
          <cell r="B454" t="str">
            <v>Fusteltecnica</v>
          </cell>
          <cell r="C454" t="str">
            <v>A03965</v>
          </cell>
          <cell r="D454" t="str">
            <v>Pantytex</v>
          </cell>
          <cell r="E454" t="str">
            <v>Appendini hema fantasie</v>
          </cell>
          <cell r="F454" t="str">
            <v>BOBST 104</v>
          </cell>
          <cell r="G454">
            <v>8</v>
          </cell>
          <cell r="H454" t="str">
            <v>Si</v>
          </cell>
          <cell r="I454" t="str">
            <v>No</v>
          </cell>
          <cell r="J454" t="str">
            <v>No</v>
          </cell>
          <cell r="K454">
            <v>0</v>
          </cell>
          <cell r="L454" t="str">
            <v>No</v>
          </cell>
          <cell r="M454">
            <v>0</v>
          </cell>
          <cell r="N454">
            <v>0</v>
          </cell>
        </row>
        <row r="455">
          <cell r="A455" t="str">
            <v>FU0453</v>
          </cell>
          <cell r="B455" t="str">
            <v>Fusteltecnica</v>
          </cell>
          <cell r="C455" t="str">
            <v>M05218</v>
          </cell>
          <cell r="D455" t="str">
            <v>Prontofoods</v>
          </cell>
          <cell r="E455" t="str">
            <v>Griglie ristora</v>
          </cell>
          <cell r="F455" t="str">
            <v>BOBST 104</v>
          </cell>
          <cell r="G455">
            <v>4</v>
          </cell>
          <cell r="H455" t="str">
            <v>Si</v>
          </cell>
          <cell r="I455" t="str">
            <v>No</v>
          </cell>
          <cell r="J455" t="str">
            <v>No</v>
          </cell>
          <cell r="K455">
            <v>0</v>
          </cell>
          <cell r="L455" t="str">
            <v>No</v>
          </cell>
          <cell r="M455">
            <v>0</v>
          </cell>
          <cell r="N455">
            <v>0</v>
          </cell>
        </row>
        <row r="456">
          <cell r="A456" t="str">
            <v>FU0454</v>
          </cell>
          <cell r="B456" t="str">
            <v>Lasercom</v>
          </cell>
          <cell r="C456" t="str">
            <v>Lomba543</v>
          </cell>
          <cell r="D456" t="str">
            <v>Pantytex</v>
          </cell>
          <cell r="E456" t="str">
            <v>Expo divine</v>
          </cell>
          <cell r="F456" t="str">
            <v>BOBST 104</v>
          </cell>
          <cell r="G456">
            <v>3</v>
          </cell>
          <cell r="H456" t="str">
            <v>Si</v>
          </cell>
          <cell r="I456" t="str">
            <v>No</v>
          </cell>
          <cell r="J456" t="str">
            <v>No</v>
          </cell>
          <cell r="K456">
            <v>0</v>
          </cell>
          <cell r="L456" t="str">
            <v>No</v>
          </cell>
          <cell r="M456">
            <v>0</v>
          </cell>
          <cell r="N456">
            <v>0</v>
          </cell>
        </row>
        <row r="457">
          <cell r="A457" t="str">
            <v>FU0455</v>
          </cell>
          <cell r="B457" t="str">
            <v>Fusteltecnica</v>
          </cell>
          <cell r="C457" t="str">
            <v>E04416</v>
          </cell>
          <cell r="D457" t="str">
            <v>Pantytex</v>
          </cell>
          <cell r="E457" t="str">
            <v>Appendini Divine abbinati</v>
          </cell>
          <cell r="F457" t="str">
            <v>BOBST 104</v>
          </cell>
          <cell r="G457">
            <v>6</v>
          </cell>
          <cell r="H457" t="str">
            <v>Si</v>
          </cell>
          <cell r="I457" t="str">
            <v>No</v>
          </cell>
          <cell r="J457" t="str">
            <v>No</v>
          </cell>
          <cell r="K457">
            <v>0</v>
          </cell>
          <cell r="L457" t="str">
            <v>No</v>
          </cell>
          <cell r="M457">
            <v>0</v>
          </cell>
          <cell r="N457">
            <v>0</v>
          </cell>
        </row>
        <row r="458">
          <cell r="A458" t="str">
            <v>FU0456</v>
          </cell>
          <cell r="B458" t="str">
            <v>Fusteltecnica</v>
          </cell>
          <cell r="C458" t="str">
            <v>M04303</v>
          </cell>
          <cell r="D458" t="str">
            <v>Pasta Lensi</v>
          </cell>
          <cell r="E458" t="str">
            <v>Astucci muller Elbows</v>
          </cell>
          <cell r="F458" t="str">
            <v>BOBST 104</v>
          </cell>
          <cell r="G458">
            <v>6</v>
          </cell>
          <cell r="H458" t="str">
            <v>Si</v>
          </cell>
          <cell r="I458" t="str">
            <v>No</v>
          </cell>
          <cell r="J458" t="str">
            <v>No</v>
          </cell>
          <cell r="K458">
            <v>0</v>
          </cell>
          <cell r="L458" t="str">
            <v>Si</v>
          </cell>
          <cell r="M458" t="str">
            <v>Diana Pro 114</v>
          </cell>
          <cell r="N458" t="str">
            <v>Fondo Automatico</v>
          </cell>
        </row>
        <row r="459">
          <cell r="A459" t="str">
            <v>FU0457</v>
          </cell>
          <cell r="B459" t="str">
            <v>Fusteltecnica</v>
          </cell>
          <cell r="C459" t="str">
            <v>A03960</v>
          </cell>
          <cell r="D459" t="str">
            <v>Elettroplastica</v>
          </cell>
          <cell r="E459" t="str">
            <v>Scatole E-med 430</v>
          </cell>
          <cell r="F459" t="str">
            <v>BOBST 1260</v>
          </cell>
          <cell r="G459">
            <v>1</v>
          </cell>
          <cell r="H459" t="str">
            <v>No</v>
          </cell>
          <cell r="I459" t="str">
            <v>Si</v>
          </cell>
          <cell r="J459" t="str">
            <v>No</v>
          </cell>
          <cell r="K459">
            <v>0</v>
          </cell>
          <cell r="L459" t="str">
            <v>No</v>
          </cell>
          <cell r="M459">
            <v>0</v>
          </cell>
          <cell r="N459">
            <v>0</v>
          </cell>
        </row>
        <row r="460">
          <cell r="A460" t="str">
            <v>FU0458</v>
          </cell>
          <cell r="B460" t="str">
            <v>Fusteltecnica</v>
          </cell>
          <cell r="C460" t="str">
            <v>R05429</v>
          </cell>
          <cell r="D460" t="str">
            <v>Pantytex</v>
          </cell>
          <cell r="E460" t="str">
            <v>Appendini La Halle collant</v>
          </cell>
          <cell r="F460" t="str">
            <v>BOBST 104</v>
          </cell>
          <cell r="G460">
            <v>4</v>
          </cell>
          <cell r="H460" t="str">
            <v>No</v>
          </cell>
          <cell r="I460" t="str">
            <v>No</v>
          </cell>
          <cell r="J460" t="str">
            <v>No</v>
          </cell>
          <cell r="K460">
            <v>0</v>
          </cell>
          <cell r="L460" t="str">
            <v>No</v>
          </cell>
          <cell r="M460">
            <v>0</v>
          </cell>
          <cell r="N460">
            <v>0</v>
          </cell>
        </row>
        <row r="461">
          <cell r="A461" t="str">
            <v>FU0459</v>
          </cell>
          <cell r="B461" t="str">
            <v>Fusteltecnica</v>
          </cell>
          <cell r="C461" t="str">
            <v>R05437</v>
          </cell>
          <cell r="D461" t="str">
            <v>Rcm</v>
          </cell>
          <cell r="E461" t="str">
            <v>Astucci sim spa</v>
          </cell>
          <cell r="F461" t="str">
            <v>BOBST 104</v>
          </cell>
          <cell r="G461">
            <v>5</v>
          </cell>
          <cell r="H461" t="str">
            <v>No</v>
          </cell>
          <cell r="I461" t="str">
            <v>No</v>
          </cell>
          <cell r="J461" t="str">
            <v>No</v>
          </cell>
          <cell r="K461">
            <v>0</v>
          </cell>
          <cell r="L461" t="str">
            <v>Si</v>
          </cell>
          <cell r="M461" t="str">
            <v>DIana X80</v>
          </cell>
          <cell r="N461" t="str">
            <v>Lineare</v>
          </cell>
        </row>
        <row r="462">
          <cell r="A462" t="str">
            <v>FU0460</v>
          </cell>
          <cell r="B462" t="str">
            <v>Fusteltecnica</v>
          </cell>
          <cell r="C462" t="str">
            <v>A03967</v>
          </cell>
          <cell r="D462" t="str">
            <v>Cinturificio Bresciano</v>
          </cell>
          <cell r="E462" t="str">
            <v>Fasciette LIDL</v>
          </cell>
          <cell r="F462" t="str">
            <v>BOBST 1260</v>
          </cell>
          <cell r="G462">
            <v>9</v>
          </cell>
          <cell r="H462" t="str">
            <v>No</v>
          </cell>
          <cell r="I462" t="str">
            <v>Si</v>
          </cell>
          <cell r="J462" t="str">
            <v>No</v>
          </cell>
          <cell r="K462">
            <v>0</v>
          </cell>
          <cell r="L462" t="str">
            <v>Si</v>
          </cell>
          <cell r="M462" t="str">
            <v>DIana X80</v>
          </cell>
          <cell r="N462" t="str">
            <v>Lineare</v>
          </cell>
        </row>
        <row r="463">
          <cell r="A463" t="str">
            <v>FU0461</v>
          </cell>
          <cell r="B463" t="str">
            <v>Fusteltecnica</v>
          </cell>
          <cell r="C463" t="str">
            <v>G18619</v>
          </cell>
          <cell r="D463" t="str">
            <v>Prontofoods</v>
          </cell>
          <cell r="E463" t="str">
            <v>Edulcoranti 150 buste</v>
          </cell>
          <cell r="F463" t="str">
            <v>BOBST 1260</v>
          </cell>
          <cell r="G463">
            <v>3</v>
          </cell>
          <cell r="H463" t="str">
            <v>Si</v>
          </cell>
          <cell r="I463" t="str">
            <v>Si</v>
          </cell>
          <cell r="J463" t="str">
            <v>No</v>
          </cell>
          <cell r="K463">
            <v>0</v>
          </cell>
          <cell r="L463" t="str">
            <v>No</v>
          </cell>
          <cell r="M463">
            <v>0</v>
          </cell>
          <cell r="N463">
            <v>0</v>
          </cell>
        </row>
        <row r="464">
          <cell r="A464" t="str">
            <v>FU0462</v>
          </cell>
          <cell r="B464" t="str">
            <v>Fusteltecnica</v>
          </cell>
          <cell r="C464" t="str">
            <v>A03966</v>
          </cell>
          <cell r="D464" t="str">
            <v>JBS</v>
          </cell>
          <cell r="E464" t="str">
            <v>Appendini symfoni</v>
          </cell>
          <cell r="F464" t="str">
            <v>BOBST 1260</v>
          </cell>
          <cell r="G464">
            <v>4</v>
          </cell>
          <cell r="H464" t="str">
            <v>Si</v>
          </cell>
          <cell r="I464" t="str">
            <v>Si</v>
          </cell>
          <cell r="J464" t="str">
            <v>No</v>
          </cell>
          <cell r="K464">
            <v>0</v>
          </cell>
          <cell r="L464" t="str">
            <v>No</v>
          </cell>
          <cell r="M464">
            <v>0</v>
          </cell>
          <cell r="N464">
            <v>0</v>
          </cell>
        </row>
        <row r="465">
          <cell r="A465" t="str">
            <v>FU0463</v>
          </cell>
          <cell r="B465" t="str">
            <v>Fusteltecnica</v>
          </cell>
          <cell r="C465" t="str">
            <v>E04481</v>
          </cell>
          <cell r="D465" t="str">
            <v>Tradigo</v>
          </cell>
          <cell r="E465" t="str">
            <v>Abbinato movi stringart</v>
          </cell>
          <cell r="F465" t="str">
            <v>BOBST 104</v>
          </cell>
          <cell r="G465">
            <v>7</v>
          </cell>
          <cell r="H465" t="str">
            <v>Si</v>
          </cell>
          <cell r="I465" t="str">
            <v>No</v>
          </cell>
          <cell r="J465" t="str">
            <v>No</v>
          </cell>
          <cell r="K465">
            <v>0</v>
          </cell>
          <cell r="L465" t="str">
            <v>No</v>
          </cell>
          <cell r="M465">
            <v>0</v>
          </cell>
          <cell r="N465">
            <v>0</v>
          </cell>
        </row>
        <row r="466">
          <cell r="A466" t="str">
            <v>FU0464</v>
          </cell>
          <cell r="B466" t="str">
            <v>Fusteltecnica</v>
          </cell>
          <cell r="C466" t="str">
            <v>E14112</v>
          </cell>
          <cell r="D466" t="str">
            <v>JBS</v>
          </cell>
          <cell r="E466" t="str">
            <v>Buste  symfoni gambaletto</v>
          </cell>
          <cell r="F466" t="str">
            <v>BOBST 104</v>
          </cell>
          <cell r="G466">
            <v>6</v>
          </cell>
          <cell r="H466" t="str">
            <v>Si</v>
          </cell>
          <cell r="I466" t="str">
            <v>No</v>
          </cell>
          <cell r="J466" t="str">
            <v>No</v>
          </cell>
          <cell r="K466">
            <v>0</v>
          </cell>
          <cell r="L466" t="str">
            <v>Si</v>
          </cell>
          <cell r="M466" t="str">
            <v>Diana Pro 114</v>
          </cell>
          <cell r="N466" t="str">
            <v>Soffietto</v>
          </cell>
        </row>
        <row r="467">
          <cell r="A467" t="str">
            <v>FU0465</v>
          </cell>
          <cell r="B467" t="str">
            <v>Fusteltecnica</v>
          </cell>
          <cell r="C467" t="str">
            <v>R02853</v>
          </cell>
          <cell r="D467" t="str">
            <v>JBS</v>
          </cell>
          <cell r="E467" t="str">
            <v>Buste matas gambaletto</v>
          </cell>
          <cell r="F467" t="str">
            <v>BOBST 1260</v>
          </cell>
          <cell r="G467">
            <v>6</v>
          </cell>
          <cell r="H467" t="str">
            <v>Si</v>
          </cell>
          <cell r="I467" t="str">
            <v>Si</v>
          </cell>
          <cell r="J467" t="str">
            <v>No</v>
          </cell>
          <cell r="K467">
            <v>0</v>
          </cell>
          <cell r="L467" t="str">
            <v>Si</v>
          </cell>
          <cell r="M467" t="str">
            <v>Diana Pro 114</v>
          </cell>
          <cell r="N467" t="str">
            <v>Soffietto</v>
          </cell>
        </row>
        <row r="468">
          <cell r="A468" t="str">
            <v>FU0466</v>
          </cell>
          <cell r="B468" t="str">
            <v>Fusteltecnica</v>
          </cell>
          <cell r="C468" t="str">
            <v>R05403</v>
          </cell>
          <cell r="D468" t="str">
            <v>JBS</v>
          </cell>
          <cell r="E468" t="str">
            <v>Appendini matas abbinati</v>
          </cell>
          <cell r="F468" t="str">
            <v>BOBST 104</v>
          </cell>
          <cell r="G468">
            <v>6</v>
          </cell>
          <cell r="H468" t="str">
            <v>Si</v>
          </cell>
          <cell r="I468" t="str">
            <v>No</v>
          </cell>
          <cell r="J468" t="str">
            <v>No</v>
          </cell>
          <cell r="K468">
            <v>0</v>
          </cell>
          <cell r="L468" t="str">
            <v>No</v>
          </cell>
          <cell r="M468">
            <v>0</v>
          </cell>
          <cell r="N468">
            <v>0</v>
          </cell>
        </row>
        <row r="469">
          <cell r="A469" t="str">
            <v>FU0467</v>
          </cell>
          <cell r="B469" t="str">
            <v>Fusteltecnica</v>
          </cell>
          <cell r="C469" t="str">
            <v>R05430</v>
          </cell>
          <cell r="D469" t="str">
            <v>Tracy</v>
          </cell>
          <cell r="E469" t="str">
            <v>Astucci/appendini polaire</v>
          </cell>
          <cell r="F469" t="str">
            <v>BOBST 104</v>
          </cell>
          <cell r="G469">
            <v>3</v>
          </cell>
          <cell r="H469" t="str">
            <v>Si</v>
          </cell>
          <cell r="I469" t="str">
            <v>No</v>
          </cell>
          <cell r="J469" t="str">
            <v>No</v>
          </cell>
          <cell r="K469">
            <v>0</v>
          </cell>
          <cell r="L469" t="str">
            <v>No</v>
          </cell>
          <cell r="M469">
            <v>0</v>
          </cell>
          <cell r="N469">
            <v>0</v>
          </cell>
        </row>
        <row r="470">
          <cell r="A470" t="str">
            <v>FU0468</v>
          </cell>
          <cell r="B470" t="str">
            <v>Fusteltecnica</v>
          </cell>
          <cell r="C470" t="str">
            <v>A03963</v>
          </cell>
          <cell r="D470" t="str">
            <v>Cinturificio Bresciano</v>
          </cell>
          <cell r="E470" t="str">
            <v>Scatole cinture LIDL</v>
          </cell>
          <cell r="F470" t="str">
            <v>BOBST 104</v>
          </cell>
          <cell r="G470">
            <v>6</v>
          </cell>
          <cell r="H470" t="str">
            <v>Si</v>
          </cell>
          <cell r="I470" t="str">
            <v>No</v>
          </cell>
          <cell r="J470" t="str">
            <v>No</v>
          </cell>
          <cell r="K470">
            <v>0</v>
          </cell>
          <cell r="L470" t="str">
            <v>Si</v>
          </cell>
          <cell r="M470" t="str">
            <v>Diana Pro 114</v>
          </cell>
          <cell r="N470" t="str">
            <v>Americana</v>
          </cell>
        </row>
        <row r="471">
          <cell r="A471" t="str">
            <v>FU0469</v>
          </cell>
          <cell r="B471" t="str">
            <v>Fusteltecnica</v>
          </cell>
          <cell r="C471" t="str">
            <v>M154</v>
          </cell>
          <cell r="D471" t="str">
            <v>Pasta Lensi</v>
          </cell>
          <cell r="E471" t="str">
            <v>Cavallotti henji spaghetti</v>
          </cell>
          <cell r="F471" t="str">
            <v>BOBST 104</v>
          </cell>
          <cell r="G471">
            <v>10</v>
          </cell>
          <cell r="H471" t="str">
            <v>Si</v>
          </cell>
          <cell r="I471" t="str">
            <v>No</v>
          </cell>
          <cell r="J471" t="str">
            <v>No</v>
          </cell>
          <cell r="K471">
            <v>0</v>
          </cell>
          <cell r="L471" t="str">
            <v>No</v>
          </cell>
          <cell r="M471">
            <v>0</v>
          </cell>
          <cell r="N471">
            <v>0</v>
          </cell>
        </row>
        <row r="472">
          <cell r="A472" t="str">
            <v>FU0470</v>
          </cell>
          <cell r="B472" t="str">
            <v>Lasercom</v>
          </cell>
          <cell r="C472" t="str">
            <v>Lomba351</v>
          </cell>
          <cell r="D472" t="str">
            <v>Tracy</v>
          </cell>
          <cell r="E472" t="str">
            <v>Appendini evabella + bollini</v>
          </cell>
          <cell r="F472" t="str">
            <v>BOBST 104</v>
          </cell>
          <cell r="G472">
            <v>8</v>
          </cell>
          <cell r="H472" t="str">
            <v>Si</v>
          </cell>
          <cell r="I472" t="str">
            <v>No</v>
          </cell>
          <cell r="J472" t="str">
            <v>No</v>
          </cell>
          <cell r="K472">
            <v>0</v>
          </cell>
          <cell r="L472" t="str">
            <v>No</v>
          </cell>
          <cell r="M472">
            <v>0</v>
          </cell>
          <cell r="N472">
            <v>0</v>
          </cell>
        </row>
        <row r="473">
          <cell r="A473" t="str">
            <v>FU0471</v>
          </cell>
          <cell r="B473" t="str">
            <v>Fusteltecnica</v>
          </cell>
          <cell r="C473" t="str">
            <v>G18614</v>
          </cell>
          <cell r="D473" t="str">
            <v>Cipriani</v>
          </cell>
          <cell r="E473" t="str">
            <v>Astucci bambina cipry</v>
          </cell>
          <cell r="F473" t="str">
            <v>BOBST 1260</v>
          </cell>
          <cell r="G473">
            <v>4</v>
          </cell>
          <cell r="H473" t="str">
            <v>Si</v>
          </cell>
          <cell r="I473" t="str">
            <v>Si</v>
          </cell>
          <cell r="J473" t="str">
            <v>No</v>
          </cell>
          <cell r="K473">
            <v>0</v>
          </cell>
          <cell r="L473" t="str">
            <v>Si</v>
          </cell>
          <cell r="M473" t="str">
            <v>DIana X80</v>
          </cell>
          <cell r="N473" t="str">
            <v>Lineare</v>
          </cell>
        </row>
        <row r="474">
          <cell r="A474" t="str">
            <v>FU0472</v>
          </cell>
          <cell r="B474" t="str">
            <v>Fusteltecnica</v>
          </cell>
          <cell r="C474" t="str">
            <v>E03613</v>
          </cell>
          <cell r="D474" t="str">
            <v>Palazzani</v>
          </cell>
          <cell r="E474" t="str">
            <v>Scatola grande 2MSCP00920000</v>
          </cell>
          <cell r="F474" t="str">
            <v>BOBST 1260</v>
          </cell>
          <cell r="G474">
            <v>1</v>
          </cell>
          <cell r="H474" t="str">
            <v>No</v>
          </cell>
          <cell r="I474" t="str">
            <v>Si</v>
          </cell>
          <cell r="J474" t="str">
            <v>No</v>
          </cell>
          <cell r="K474">
            <v>0</v>
          </cell>
          <cell r="L474" t="str">
            <v>No</v>
          </cell>
          <cell r="M474">
            <v>0</v>
          </cell>
          <cell r="N474">
            <v>0</v>
          </cell>
        </row>
        <row r="475">
          <cell r="A475" t="str">
            <v>FU0473</v>
          </cell>
          <cell r="B475" t="str">
            <v>Fusteltecnica</v>
          </cell>
          <cell r="C475" t="str">
            <v>A03959</v>
          </cell>
          <cell r="D475" t="str">
            <v>Elettroplastica</v>
          </cell>
          <cell r="E475" t="str">
            <v>Scatole E-med A-440</v>
          </cell>
          <cell r="F475" t="str">
            <v>BOBST 104</v>
          </cell>
          <cell r="G475">
            <v>1</v>
          </cell>
          <cell r="H475" t="str">
            <v>No</v>
          </cell>
          <cell r="I475" t="str">
            <v>No</v>
          </cell>
          <cell r="J475" t="str">
            <v>No</v>
          </cell>
          <cell r="K475">
            <v>0</v>
          </cell>
          <cell r="L475" t="str">
            <v>Si</v>
          </cell>
          <cell r="M475" t="str">
            <v>DIana X80</v>
          </cell>
          <cell r="N475" t="str">
            <v>Lineare</v>
          </cell>
        </row>
        <row r="476">
          <cell r="A476" t="str">
            <v>FU0474</v>
          </cell>
          <cell r="B476" t="str">
            <v>Fusteltecnica</v>
          </cell>
          <cell r="C476" t="str">
            <v>A03958</v>
          </cell>
          <cell r="D476" t="str">
            <v>Elettroplastica</v>
          </cell>
          <cell r="E476" t="str">
            <v>Scatole E-med A-610</v>
          </cell>
          <cell r="F476" t="str">
            <v>BOBST 1260</v>
          </cell>
          <cell r="G476">
            <v>1</v>
          </cell>
          <cell r="H476" t="str">
            <v>No</v>
          </cell>
          <cell r="I476" t="str">
            <v>Si</v>
          </cell>
          <cell r="J476" t="str">
            <v>No</v>
          </cell>
          <cell r="K476">
            <v>0</v>
          </cell>
          <cell r="L476" t="str">
            <v>Si</v>
          </cell>
          <cell r="M476" t="str">
            <v>DIana X80</v>
          </cell>
          <cell r="N476" t="str">
            <v>Lineare</v>
          </cell>
        </row>
        <row r="477">
          <cell r="A477" t="str">
            <v>FU0475</v>
          </cell>
          <cell r="B477" t="str">
            <v>Lasercom</v>
          </cell>
          <cell r="C477" t="str">
            <v>Lomba442</v>
          </cell>
          <cell r="D477" t="str">
            <v>Mercurio</v>
          </cell>
          <cell r="E477" t="str">
            <v>Astucci portasigarette globo</v>
          </cell>
          <cell r="F477" t="str">
            <v>BOBST 104</v>
          </cell>
          <cell r="G477">
            <v>4</v>
          </cell>
          <cell r="H477" t="str">
            <v>No</v>
          </cell>
          <cell r="I477" t="str">
            <v>No</v>
          </cell>
          <cell r="J477" t="str">
            <v>No</v>
          </cell>
          <cell r="K477">
            <v>0</v>
          </cell>
          <cell r="L477" t="str">
            <v>Si</v>
          </cell>
          <cell r="M477" t="str">
            <v>DIana X80</v>
          </cell>
          <cell r="N477" t="str">
            <v>Lineare</v>
          </cell>
        </row>
        <row r="478">
          <cell r="A478" t="str">
            <v>FU0476</v>
          </cell>
          <cell r="B478" t="str">
            <v>Fusteltecnica</v>
          </cell>
          <cell r="C478" t="str">
            <v>A03962</v>
          </cell>
          <cell r="D478" t="str">
            <v>Elettroplastica</v>
          </cell>
          <cell r="E478" t="str">
            <v>Scatola Mr. Hyppo</v>
          </cell>
          <cell r="F478" t="str">
            <v>BOBST 1260</v>
          </cell>
          <cell r="G478">
            <v>1</v>
          </cell>
          <cell r="H478" t="str">
            <v>Si</v>
          </cell>
          <cell r="I478" t="str">
            <v>Si</v>
          </cell>
          <cell r="J478" t="str">
            <v>No</v>
          </cell>
          <cell r="K478">
            <v>0</v>
          </cell>
          <cell r="L478" t="str">
            <v>Si</v>
          </cell>
          <cell r="M478" t="str">
            <v>DIana X80</v>
          </cell>
          <cell r="N478" t="str">
            <v>Lineare</v>
          </cell>
        </row>
        <row r="479">
          <cell r="A479" t="str">
            <v>FU0477</v>
          </cell>
          <cell r="B479" t="str">
            <v>Fusteltecnica</v>
          </cell>
          <cell r="C479" t="str">
            <v>A03961</v>
          </cell>
          <cell r="D479" t="str">
            <v>Elettroplastica</v>
          </cell>
          <cell r="E479" t="str">
            <v>Scatola A1700</v>
          </cell>
          <cell r="F479" t="str">
            <v>BOBST 1260</v>
          </cell>
          <cell r="G479">
            <v>1</v>
          </cell>
          <cell r="H479" t="str">
            <v>Si</v>
          </cell>
          <cell r="I479" t="str">
            <v>Si</v>
          </cell>
          <cell r="J479" t="str">
            <v>No</v>
          </cell>
          <cell r="K479">
            <v>0</v>
          </cell>
          <cell r="L479" t="str">
            <v>Si</v>
          </cell>
          <cell r="M479" t="str">
            <v>DIana X80</v>
          </cell>
          <cell r="N479" t="str">
            <v>Lineare</v>
          </cell>
        </row>
        <row r="480">
          <cell r="A480" t="str">
            <v>FU0478</v>
          </cell>
          <cell r="B480" t="str">
            <v>Fusteltecnica</v>
          </cell>
          <cell r="C480" t="str">
            <v>M03731</v>
          </cell>
          <cell r="D480" t="str">
            <v>Rcm</v>
          </cell>
          <cell r="E480" t="str">
            <v>Astucci 10 fiale + alveare</v>
          </cell>
          <cell r="F480" t="str">
            <v>BOBST 1260</v>
          </cell>
          <cell r="G480">
            <v>2</v>
          </cell>
          <cell r="H480" t="str">
            <v>Si</v>
          </cell>
          <cell r="I480" t="str">
            <v>Si</v>
          </cell>
          <cell r="J480" t="str">
            <v>No</v>
          </cell>
          <cell r="K480">
            <v>0</v>
          </cell>
          <cell r="L480" t="str">
            <v>Si</v>
          </cell>
          <cell r="M480" t="str">
            <v>DIana X80</v>
          </cell>
          <cell r="N480" t="str">
            <v>Lineare</v>
          </cell>
        </row>
        <row r="481">
          <cell r="A481" t="str">
            <v>FU0479</v>
          </cell>
          <cell r="B481" t="str">
            <v>Fusteltecnica</v>
          </cell>
          <cell r="C481" t="str">
            <v>A03992</v>
          </cell>
          <cell r="D481" t="str">
            <v>Adpress</v>
          </cell>
          <cell r="E481" t="str">
            <v>Astucci abbinati tres ami</v>
          </cell>
          <cell r="F481" t="str">
            <v>BOBST 1260</v>
          </cell>
          <cell r="G481">
            <v>6</v>
          </cell>
          <cell r="H481" t="str">
            <v>Si</v>
          </cell>
          <cell r="I481" t="str">
            <v>Si</v>
          </cell>
          <cell r="J481" t="str">
            <v>No</v>
          </cell>
          <cell r="K481">
            <v>0</v>
          </cell>
          <cell r="L481" t="str">
            <v>Si</v>
          </cell>
          <cell r="M481" t="str">
            <v>Diana Pro 114</v>
          </cell>
          <cell r="N481" t="str">
            <v>Fondo Automatico</v>
          </cell>
        </row>
        <row r="482">
          <cell r="A482" t="str">
            <v>FU0480</v>
          </cell>
          <cell r="B482" t="str">
            <v>Lasercom</v>
          </cell>
          <cell r="C482" t="str">
            <v>Lomba210</v>
          </cell>
          <cell r="D482" t="str">
            <v>Offel</v>
          </cell>
          <cell r="E482" t="str">
            <v>Astucci 1E</v>
          </cell>
          <cell r="F482" t="str">
            <v>BOBST 104</v>
          </cell>
          <cell r="G482">
            <v>4</v>
          </cell>
          <cell r="H482" t="str">
            <v>Si</v>
          </cell>
          <cell r="I482" t="str">
            <v>No</v>
          </cell>
          <cell r="J482" t="str">
            <v>No</v>
          </cell>
          <cell r="K482">
            <v>0</v>
          </cell>
          <cell r="L482" t="str">
            <v>Si</v>
          </cell>
          <cell r="M482" t="str">
            <v>DIana X80</v>
          </cell>
          <cell r="N482" t="str">
            <v>Lineare</v>
          </cell>
        </row>
        <row r="483">
          <cell r="A483" t="str">
            <v>FU0481</v>
          </cell>
          <cell r="B483" t="str">
            <v>Fusteltecnica</v>
          </cell>
          <cell r="C483" t="str">
            <v>G19051</v>
          </cell>
          <cell r="D483" t="str">
            <v>Nuova Virgiliana</v>
          </cell>
          <cell r="E483" t="str">
            <v>Astucci lei</v>
          </cell>
          <cell r="F483" t="str">
            <v>BOBST 1260</v>
          </cell>
          <cell r="G483">
            <v>12</v>
          </cell>
          <cell r="H483" t="str">
            <v>Si</v>
          </cell>
          <cell r="I483" t="str">
            <v>Si</v>
          </cell>
          <cell r="J483" t="str">
            <v>No</v>
          </cell>
          <cell r="K483">
            <v>0</v>
          </cell>
          <cell r="L483" t="str">
            <v>Si</v>
          </cell>
          <cell r="M483" t="str">
            <v>DIana X80</v>
          </cell>
          <cell r="N483" t="str">
            <v>Lineare</v>
          </cell>
        </row>
        <row r="484">
          <cell r="A484" t="str">
            <v>FU0482</v>
          </cell>
          <cell r="B484" t="str">
            <v>Lasercom</v>
          </cell>
          <cell r="C484" t="str">
            <v>Lomba480</v>
          </cell>
          <cell r="D484" t="str">
            <v>Offel</v>
          </cell>
          <cell r="E484" t="str">
            <v>Astucci 33E</v>
          </cell>
          <cell r="F484" t="str">
            <v>BOBST 1260</v>
          </cell>
          <cell r="G484">
            <v>4</v>
          </cell>
          <cell r="H484" t="str">
            <v>Si</v>
          </cell>
          <cell r="I484" t="str">
            <v>Si</v>
          </cell>
          <cell r="J484" t="str">
            <v>No</v>
          </cell>
          <cell r="K484">
            <v>0</v>
          </cell>
          <cell r="L484" t="str">
            <v>Si</v>
          </cell>
          <cell r="M484" t="str">
            <v>DIana X80</v>
          </cell>
          <cell r="N484" t="str">
            <v>Lineare</v>
          </cell>
        </row>
        <row r="485">
          <cell r="A485" t="str">
            <v>FU0483</v>
          </cell>
          <cell r="B485" t="str">
            <v>Fusteltecnica</v>
          </cell>
          <cell r="C485" t="str">
            <v>M04361</v>
          </cell>
          <cell r="D485" t="str">
            <v>JBS</v>
          </cell>
          <cell r="E485" t="str">
            <v>Inserti + appendini decoy</v>
          </cell>
          <cell r="F485" t="str">
            <v>BOBST 1260</v>
          </cell>
          <cell r="G485">
            <v>6</v>
          </cell>
          <cell r="H485" t="str">
            <v>No</v>
          </cell>
          <cell r="I485" t="str">
            <v>Si</v>
          </cell>
          <cell r="J485" t="str">
            <v>No</v>
          </cell>
          <cell r="K485">
            <v>0</v>
          </cell>
          <cell r="L485" t="str">
            <v>No</v>
          </cell>
          <cell r="M485">
            <v>0</v>
          </cell>
          <cell r="N485">
            <v>0</v>
          </cell>
        </row>
        <row r="486">
          <cell r="A486" t="str">
            <v>FU0484</v>
          </cell>
          <cell r="B486" t="str">
            <v>Fusteltecnica</v>
          </cell>
          <cell r="C486" t="str">
            <v>M03514</v>
          </cell>
          <cell r="D486" t="str">
            <v>Tradigo</v>
          </cell>
          <cell r="E486" t="str">
            <v>Astucci bagatt/stark</v>
          </cell>
          <cell r="F486" t="str">
            <v>BOBST 1260</v>
          </cell>
          <cell r="G486">
            <v>4</v>
          </cell>
          <cell r="H486" t="str">
            <v>No</v>
          </cell>
          <cell r="I486" t="str">
            <v>Si</v>
          </cell>
          <cell r="J486" t="str">
            <v>No</v>
          </cell>
          <cell r="K486">
            <v>0</v>
          </cell>
          <cell r="L486" t="str">
            <v>Si</v>
          </cell>
          <cell r="M486" t="str">
            <v>DIana X80</v>
          </cell>
          <cell r="N486" t="str">
            <v>Lineare</v>
          </cell>
        </row>
        <row r="487">
          <cell r="A487" t="str">
            <v>FU0485</v>
          </cell>
          <cell r="B487" t="str">
            <v>Fusteltecnica</v>
          </cell>
          <cell r="C487" t="str">
            <v>M04371</v>
          </cell>
          <cell r="D487" t="str">
            <v>Rcm</v>
          </cell>
          <cell r="E487" t="str">
            <v>Astucci + fasciette natale</v>
          </cell>
          <cell r="F487" t="str">
            <v>BOBST 104</v>
          </cell>
          <cell r="G487">
            <v>4</v>
          </cell>
          <cell r="H487" t="str">
            <v>No</v>
          </cell>
          <cell r="I487" t="str">
            <v>No</v>
          </cell>
          <cell r="J487" t="str">
            <v>No</v>
          </cell>
          <cell r="K487">
            <v>0</v>
          </cell>
          <cell r="L487" t="str">
            <v>Si</v>
          </cell>
          <cell r="M487" t="str">
            <v>DIana X80</v>
          </cell>
          <cell r="N487" t="str">
            <v>Lineare</v>
          </cell>
        </row>
        <row r="488">
          <cell r="A488" t="str">
            <v>FU0486</v>
          </cell>
          <cell r="B488" t="str">
            <v>Fusteltecnica</v>
          </cell>
          <cell r="C488" t="str">
            <v>M05822</v>
          </cell>
          <cell r="D488" t="str">
            <v>Pantytex</v>
          </cell>
          <cell r="E488" t="str">
            <v>Fascette Hunkemoller</v>
          </cell>
          <cell r="F488" t="str">
            <v>BOBST 104</v>
          </cell>
          <cell r="G488">
            <v>5</v>
          </cell>
          <cell r="H488" t="str">
            <v>No</v>
          </cell>
          <cell r="I488" t="str">
            <v>No</v>
          </cell>
          <cell r="J488" t="str">
            <v>No</v>
          </cell>
          <cell r="K488">
            <v>0</v>
          </cell>
          <cell r="L488" t="str">
            <v>No</v>
          </cell>
          <cell r="M488">
            <v>0</v>
          </cell>
          <cell r="N488">
            <v>0</v>
          </cell>
        </row>
        <row r="489">
          <cell r="A489" t="str">
            <v>FU0487</v>
          </cell>
          <cell r="B489" t="str">
            <v>Fusteltecnica</v>
          </cell>
          <cell r="C489" t="str">
            <v>A04026</v>
          </cell>
          <cell r="D489" t="str">
            <v>Pantytex</v>
          </cell>
          <cell r="E489" t="str">
            <v>Inserti fascino</v>
          </cell>
          <cell r="F489" t="str">
            <v>BOBST 104</v>
          </cell>
          <cell r="G489">
            <v>6</v>
          </cell>
          <cell r="H489" t="str">
            <v>Si</v>
          </cell>
          <cell r="I489" t="str">
            <v>No</v>
          </cell>
          <cell r="J489" t="str">
            <v>No</v>
          </cell>
          <cell r="K489">
            <v>0</v>
          </cell>
          <cell r="L489" t="str">
            <v>No</v>
          </cell>
          <cell r="M489">
            <v>0</v>
          </cell>
          <cell r="N489">
            <v>0</v>
          </cell>
        </row>
        <row r="490">
          <cell r="A490" t="str">
            <v>FU0488</v>
          </cell>
          <cell r="B490" t="str">
            <v>Lasercom</v>
          </cell>
          <cell r="C490" t="str">
            <v>Lomba547</v>
          </cell>
          <cell r="D490" t="str">
            <v>JBS</v>
          </cell>
          <cell r="E490" t="str">
            <v>Appendini VRS</v>
          </cell>
          <cell r="F490" t="str">
            <v>BOBST 1260</v>
          </cell>
          <cell r="G490">
            <v>4</v>
          </cell>
          <cell r="H490" t="str">
            <v>No</v>
          </cell>
          <cell r="I490" t="str">
            <v>Si</v>
          </cell>
          <cell r="J490" t="str">
            <v>No</v>
          </cell>
          <cell r="K490">
            <v>0</v>
          </cell>
          <cell r="L490" t="str">
            <v>No</v>
          </cell>
          <cell r="M490">
            <v>0</v>
          </cell>
          <cell r="N490">
            <v>0</v>
          </cell>
        </row>
        <row r="491">
          <cell r="A491" t="str">
            <v>FU0489</v>
          </cell>
          <cell r="B491" t="str">
            <v>Lasercom</v>
          </cell>
          <cell r="C491" t="str">
            <v>Lomba546</v>
          </cell>
          <cell r="D491" t="str">
            <v>JBS</v>
          </cell>
          <cell r="E491" t="str">
            <v>Tirelle adesive matas</v>
          </cell>
          <cell r="F491" t="str">
            <v>BOBST 1260</v>
          </cell>
          <cell r="G491">
            <v>6</v>
          </cell>
          <cell r="H491" t="str">
            <v>No</v>
          </cell>
          <cell r="I491" t="str">
            <v>Si</v>
          </cell>
          <cell r="J491" t="str">
            <v>No</v>
          </cell>
          <cell r="K491">
            <v>0</v>
          </cell>
          <cell r="L491" t="str">
            <v>No</v>
          </cell>
          <cell r="M491">
            <v>0</v>
          </cell>
          <cell r="N491">
            <v>0</v>
          </cell>
        </row>
        <row r="492">
          <cell r="A492" t="str">
            <v>FU0490</v>
          </cell>
          <cell r="B492" t="str">
            <v>Lasercom</v>
          </cell>
          <cell r="C492" t="str">
            <v>Lomba339</v>
          </cell>
          <cell r="D492" t="str">
            <v>Euroten</v>
          </cell>
          <cell r="E492" t="str">
            <v>Cavallotti svig minit prima</v>
          </cell>
          <cell r="F492" t="str">
            <v>BOBST 1260</v>
          </cell>
          <cell r="G492">
            <v>12</v>
          </cell>
          <cell r="H492" t="str">
            <v>No</v>
          </cell>
          <cell r="I492" t="str">
            <v>Si</v>
          </cell>
          <cell r="J492" t="str">
            <v>No</v>
          </cell>
          <cell r="K492">
            <v>0</v>
          </cell>
          <cell r="L492" t="str">
            <v>No</v>
          </cell>
          <cell r="M492">
            <v>0</v>
          </cell>
          <cell r="N492">
            <v>0</v>
          </cell>
        </row>
        <row r="493">
          <cell r="A493" t="str">
            <v>FU0491</v>
          </cell>
          <cell r="B493" t="str">
            <v>Lasercom</v>
          </cell>
          <cell r="C493" t="str">
            <v>Lomba550</v>
          </cell>
          <cell r="D493" t="str">
            <v>Dolci</v>
          </cell>
          <cell r="E493" t="str">
            <v>Fasciette more more</v>
          </cell>
          <cell r="F493" t="str">
            <v>BOBST 104</v>
          </cell>
          <cell r="G493">
            <v>10</v>
          </cell>
          <cell r="H493" t="str">
            <v>No</v>
          </cell>
          <cell r="I493" t="str">
            <v>No</v>
          </cell>
          <cell r="J493" t="str">
            <v>No</v>
          </cell>
          <cell r="K493">
            <v>0</v>
          </cell>
          <cell r="L493" t="str">
            <v>No</v>
          </cell>
          <cell r="M493">
            <v>0</v>
          </cell>
          <cell r="N493">
            <v>0</v>
          </cell>
        </row>
        <row r="494">
          <cell r="A494" t="str">
            <v>FU0492</v>
          </cell>
          <cell r="B494" t="str">
            <v>Lasercom</v>
          </cell>
          <cell r="C494" t="str">
            <v>Lomba549</v>
          </cell>
          <cell r="D494" t="str">
            <v>O.Erre</v>
          </cell>
          <cell r="E494" t="str">
            <v>Scatole 10/4 o.erre</v>
          </cell>
          <cell r="F494" t="str">
            <v>BOBST 1260</v>
          </cell>
          <cell r="G494">
            <v>4</v>
          </cell>
          <cell r="H494" t="str">
            <v>Si</v>
          </cell>
          <cell r="I494" t="str">
            <v>Si</v>
          </cell>
          <cell r="J494" t="str">
            <v>No</v>
          </cell>
          <cell r="K494">
            <v>0</v>
          </cell>
          <cell r="L494" t="str">
            <v>Si</v>
          </cell>
          <cell r="M494" t="str">
            <v>Diana Pro 114</v>
          </cell>
          <cell r="N494" t="str">
            <v>Fondo Automatico</v>
          </cell>
        </row>
        <row r="495">
          <cell r="A495" t="str">
            <v>FU0493</v>
          </cell>
          <cell r="B495" t="str">
            <v>Lasercom</v>
          </cell>
          <cell r="C495" t="str">
            <v>Lomba410</v>
          </cell>
          <cell r="D495" t="str">
            <v>Gallo</v>
          </cell>
          <cell r="E495" t="str">
            <v>Inserti gallo</v>
          </cell>
          <cell r="F495" t="str">
            <v>BOBST 1260</v>
          </cell>
          <cell r="G495">
            <v>4</v>
          </cell>
          <cell r="H495" t="str">
            <v>Si</v>
          </cell>
          <cell r="I495" t="str">
            <v>Si</v>
          </cell>
          <cell r="J495" t="str">
            <v>No</v>
          </cell>
          <cell r="K495">
            <v>0</v>
          </cell>
          <cell r="L495" t="str">
            <v>No</v>
          </cell>
          <cell r="M495">
            <v>0</v>
          </cell>
          <cell r="N495">
            <v>0</v>
          </cell>
        </row>
        <row r="496">
          <cell r="A496" t="str">
            <v>FU0494</v>
          </cell>
          <cell r="B496" t="str">
            <v>Fusteltecnica</v>
          </cell>
          <cell r="C496" t="str">
            <v>M01037</v>
          </cell>
          <cell r="D496" t="str">
            <v>D&amp;G</v>
          </cell>
          <cell r="E496" t="str">
            <v>Scatole 25 x25</v>
          </cell>
          <cell r="F496" t="str">
            <v>BOBST 1260</v>
          </cell>
          <cell r="G496">
            <v>2</v>
          </cell>
          <cell r="H496" t="str">
            <v>No</v>
          </cell>
          <cell r="I496" t="str">
            <v>Si</v>
          </cell>
          <cell r="J496" t="str">
            <v>No</v>
          </cell>
          <cell r="K496">
            <v>0</v>
          </cell>
          <cell r="L496" t="str">
            <v>No</v>
          </cell>
          <cell r="M496">
            <v>0</v>
          </cell>
          <cell r="N496">
            <v>0</v>
          </cell>
        </row>
        <row r="497">
          <cell r="A497" t="str">
            <v>FU0495</v>
          </cell>
          <cell r="B497" t="str">
            <v>Fusteltecnica</v>
          </cell>
          <cell r="C497" t="str">
            <v>R05530</v>
          </cell>
          <cell r="D497" t="str">
            <v>Dolci</v>
          </cell>
          <cell r="E497" t="str">
            <v>Appendini Twilfit Abbinati</v>
          </cell>
          <cell r="F497" t="str">
            <v>BOBST 1260</v>
          </cell>
          <cell r="G497">
            <v>3</v>
          </cell>
          <cell r="H497" t="str">
            <v>No</v>
          </cell>
          <cell r="I497" t="str">
            <v>Si</v>
          </cell>
          <cell r="J497" t="str">
            <v>No</v>
          </cell>
          <cell r="K497">
            <v>0</v>
          </cell>
          <cell r="L497" t="str">
            <v>No</v>
          </cell>
          <cell r="M497">
            <v>0</v>
          </cell>
          <cell r="N497">
            <v>0</v>
          </cell>
        </row>
        <row r="498">
          <cell r="A498" t="str">
            <v>FU0496</v>
          </cell>
          <cell r="B498" t="str">
            <v>Lasercom</v>
          </cell>
          <cell r="C498" t="str">
            <v>Lomba240</v>
          </cell>
          <cell r="D498" t="str">
            <v>Pelletteria 2L</v>
          </cell>
          <cell r="E498" t="str">
            <v>Fondi new belt</v>
          </cell>
          <cell r="F498" t="str">
            <v>BOBST 1260</v>
          </cell>
          <cell r="G498">
            <v>1</v>
          </cell>
          <cell r="H498" t="str">
            <v>No</v>
          </cell>
          <cell r="I498" t="str">
            <v>Si</v>
          </cell>
          <cell r="J498" t="str">
            <v>No</v>
          </cell>
          <cell r="K498">
            <v>0</v>
          </cell>
          <cell r="L498" t="str">
            <v>Si</v>
          </cell>
          <cell r="M498" t="str">
            <v>Diana Pro 114</v>
          </cell>
          <cell r="N498" t="str">
            <v>Americana</v>
          </cell>
        </row>
        <row r="499">
          <cell r="A499" t="str">
            <v>FU0497</v>
          </cell>
          <cell r="B499" t="str">
            <v>Lasercom</v>
          </cell>
          <cell r="C499" t="str">
            <v>Lomba241</v>
          </cell>
          <cell r="D499" t="str">
            <v>Pelletteria 2L</v>
          </cell>
          <cell r="E499" t="str">
            <v>Coperchi new belt</v>
          </cell>
          <cell r="F499" t="str">
            <v>BOBST 1260</v>
          </cell>
          <cell r="G499">
            <v>1</v>
          </cell>
          <cell r="H499" t="str">
            <v>No</v>
          </cell>
          <cell r="I499" t="str">
            <v>Si</v>
          </cell>
          <cell r="J499" t="str">
            <v>No</v>
          </cell>
          <cell r="K499">
            <v>0</v>
          </cell>
          <cell r="L499" t="str">
            <v>Si</v>
          </cell>
          <cell r="M499" t="str">
            <v>Diana Pro 114</v>
          </cell>
          <cell r="N499" t="str">
            <v>Americana</v>
          </cell>
        </row>
        <row r="500">
          <cell r="A500" t="str">
            <v>FU0498</v>
          </cell>
          <cell r="B500" t="str">
            <v>Fusteltecnica</v>
          </cell>
          <cell r="C500" t="str">
            <v>E04244</v>
          </cell>
          <cell r="D500" t="str">
            <v>Pasta lensi</v>
          </cell>
          <cell r="E500" t="str">
            <v>Astucci muller spaghetti</v>
          </cell>
          <cell r="F500" t="str">
            <v>BOBST 104</v>
          </cell>
          <cell r="G500">
            <v>8</v>
          </cell>
          <cell r="H500" t="str">
            <v>Si</v>
          </cell>
          <cell r="I500" t="str">
            <v>No</v>
          </cell>
          <cell r="J500" t="str">
            <v>No</v>
          </cell>
          <cell r="K500">
            <v>0</v>
          </cell>
          <cell r="L500" t="str">
            <v>Si</v>
          </cell>
          <cell r="M500" t="str">
            <v>DIana X80</v>
          </cell>
          <cell r="N500" t="str">
            <v>Lineare</v>
          </cell>
        </row>
        <row r="501">
          <cell r="A501" t="str">
            <v>FU0499</v>
          </cell>
          <cell r="B501" t="str">
            <v>Fusteltecnica</v>
          </cell>
          <cell r="C501" t="str">
            <v>R04934</v>
          </cell>
          <cell r="D501" t="str">
            <v>Pasta lensi</v>
          </cell>
          <cell r="E501" t="str">
            <v>Astucci muller penne/fusilli</v>
          </cell>
          <cell r="F501" t="str">
            <v>BOBST 104</v>
          </cell>
          <cell r="G501">
            <v>4</v>
          </cell>
          <cell r="H501" t="str">
            <v>Si</v>
          </cell>
          <cell r="I501" t="str">
            <v>No</v>
          </cell>
          <cell r="J501" t="str">
            <v>No</v>
          </cell>
          <cell r="K501">
            <v>0</v>
          </cell>
          <cell r="L501" t="str">
            <v>Si</v>
          </cell>
          <cell r="M501" t="str">
            <v>DIana X80</v>
          </cell>
          <cell r="N501" t="str">
            <v>Lineare</v>
          </cell>
        </row>
        <row r="502">
          <cell r="A502" t="str">
            <v>FU0500</v>
          </cell>
          <cell r="B502" t="str">
            <v>Lasercom</v>
          </cell>
          <cell r="C502" t="str">
            <v>Lomba500</v>
          </cell>
          <cell r="D502" t="str">
            <v>Eire</v>
          </cell>
          <cell r="E502" t="str">
            <v>Inserti aldi</v>
          </cell>
          <cell r="F502" t="str">
            <v>BOBST 1260</v>
          </cell>
          <cell r="G502">
            <v>4</v>
          </cell>
          <cell r="H502" t="str">
            <v>No</v>
          </cell>
          <cell r="I502" t="str">
            <v>Si</v>
          </cell>
          <cell r="J502" t="str">
            <v>No</v>
          </cell>
          <cell r="K502">
            <v>0</v>
          </cell>
          <cell r="L502" t="str">
            <v>No</v>
          </cell>
          <cell r="M502">
            <v>0</v>
          </cell>
          <cell r="N502">
            <v>0</v>
          </cell>
        </row>
        <row r="503">
          <cell r="A503" t="str">
            <v>FU0501</v>
          </cell>
          <cell r="B503" t="str">
            <v>Lasercom</v>
          </cell>
          <cell r="C503" t="str">
            <v>Lomba373</v>
          </cell>
          <cell r="D503" t="str">
            <v>Tracy</v>
          </cell>
          <cell r="E503" t="str">
            <v>Fasciette Estex / provaches</v>
          </cell>
          <cell r="F503" t="str">
            <v>BOBST 1260</v>
          </cell>
          <cell r="G503">
            <v>5</v>
          </cell>
          <cell r="H503" t="str">
            <v>No</v>
          </cell>
          <cell r="I503" t="str">
            <v>Si</v>
          </cell>
          <cell r="J503" t="str">
            <v>No</v>
          </cell>
          <cell r="K503">
            <v>0</v>
          </cell>
          <cell r="L503" t="str">
            <v>No</v>
          </cell>
          <cell r="M503">
            <v>0</v>
          </cell>
          <cell r="N503">
            <v>0</v>
          </cell>
        </row>
        <row r="504">
          <cell r="A504" t="str">
            <v>FU0502</v>
          </cell>
          <cell r="B504" t="str">
            <v>Lasercom</v>
          </cell>
          <cell r="C504" t="str">
            <v>Lomba548</v>
          </cell>
          <cell r="D504" t="str">
            <v>CRM</v>
          </cell>
          <cell r="E504" t="str">
            <v>Appendini coop</v>
          </cell>
          <cell r="F504" t="str">
            <v>BOBST 1260</v>
          </cell>
          <cell r="G504">
            <v>4</v>
          </cell>
          <cell r="H504" t="str">
            <v>No</v>
          </cell>
          <cell r="I504" t="str">
            <v>Si</v>
          </cell>
          <cell r="J504" t="str">
            <v>No</v>
          </cell>
          <cell r="K504">
            <v>0</v>
          </cell>
          <cell r="L504" t="str">
            <v>No</v>
          </cell>
          <cell r="M504">
            <v>0</v>
          </cell>
          <cell r="N504">
            <v>0</v>
          </cell>
        </row>
        <row r="505">
          <cell r="A505" t="str">
            <v>FU0503</v>
          </cell>
          <cell r="B505" t="str">
            <v>Lasercom</v>
          </cell>
          <cell r="C505" t="str">
            <v>Lomba707</v>
          </cell>
          <cell r="D505" t="str">
            <v>Rcm</v>
          </cell>
          <cell r="E505" t="str">
            <v>Astucci Nee</v>
          </cell>
          <cell r="F505" t="str">
            <v>BOBST 104</v>
          </cell>
          <cell r="G505">
            <v>11</v>
          </cell>
          <cell r="H505" t="str">
            <v>No</v>
          </cell>
          <cell r="I505" t="str">
            <v>No</v>
          </cell>
          <cell r="J505" t="str">
            <v>No</v>
          </cell>
          <cell r="K505">
            <v>0</v>
          </cell>
          <cell r="L505" t="str">
            <v>Si</v>
          </cell>
          <cell r="M505" t="str">
            <v>DIana X80</v>
          </cell>
          <cell r="N505" t="str">
            <v>Lineare</v>
          </cell>
        </row>
        <row r="506">
          <cell r="A506" t="str">
            <v>FU0504</v>
          </cell>
          <cell r="B506" t="str">
            <v>Fusteltecnica</v>
          </cell>
          <cell r="C506" t="str">
            <v>M04396</v>
          </cell>
          <cell r="D506" t="str">
            <v>Magazzini del Caffè</v>
          </cell>
          <cell r="E506" t="str">
            <v>Astucci espresso time</v>
          </cell>
          <cell r="F506" t="str">
            <v>BOBST 1260</v>
          </cell>
          <cell r="G506">
            <v>10</v>
          </cell>
          <cell r="H506" t="str">
            <v>Si</v>
          </cell>
          <cell r="I506" t="str">
            <v>Si</v>
          </cell>
          <cell r="J506" t="str">
            <v>No</v>
          </cell>
          <cell r="K506">
            <v>0</v>
          </cell>
          <cell r="L506" t="str">
            <v>Si</v>
          </cell>
          <cell r="M506" t="str">
            <v>Diana Pro 114</v>
          </cell>
          <cell r="N506" t="str">
            <v>Fondo Automatico</v>
          </cell>
        </row>
        <row r="507">
          <cell r="A507" t="str">
            <v>FU0505</v>
          </cell>
          <cell r="B507" t="str">
            <v>Fusteltecnica</v>
          </cell>
          <cell r="C507" t="str">
            <v>A04036</v>
          </cell>
          <cell r="D507" t="str">
            <v>Magazzini del Caffè</v>
          </cell>
          <cell r="E507" t="str">
            <v>Astucci barista / volg</v>
          </cell>
          <cell r="F507" t="str">
            <v>BOBST 104</v>
          </cell>
          <cell r="G507">
            <v>4</v>
          </cell>
          <cell r="H507" t="str">
            <v>Si</v>
          </cell>
          <cell r="I507" t="str">
            <v>No</v>
          </cell>
          <cell r="J507" t="str">
            <v>No</v>
          </cell>
          <cell r="K507">
            <v>0</v>
          </cell>
          <cell r="L507" t="str">
            <v>Si</v>
          </cell>
          <cell r="M507" t="str">
            <v>Diana Pro 114</v>
          </cell>
          <cell r="N507" t="str">
            <v>Fondo Automatico</v>
          </cell>
        </row>
        <row r="508">
          <cell r="A508" t="str">
            <v>FU0506</v>
          </cell>
          <cell r="B508" t="str">
            <v>Fusteltecnica</v>
          </cell>
          <cell r="C508" t="str">
            <v>M03730</v>
          </cell>
          <cell r="D508" t="str">
            <v>Antico Eremo</v>
          </cell>
          <cell r="E508" t="str">
            <v>Astucci chocolat 10 buste</v>
          </cell>
          <cell r="F508" t="str">
            <v>BOBST 104</v>
          </cell>
          <cell r="G508">
            <v>2</v>
          </cell>
          <cell r="H508" t="str">
            <v>No</v>
          </cell>
          <cell r="I508" t="str">
            <v>No</v>
          </cell>
          <cell r="J508" t="str">
            <v>No</v>
          </cell>
          <cell r="K508">
            <v>0</v>
          </cell>
          <cell r="L508" t="str">
            <v>Si</v>
          </cell>
          <cell r="M508" t="str">
            <v>Diana Pro 114</v>
          </cell>
          <cell r="N508" t="str">
            <v>Fondo Automatico</v>
          </cell>
        </row>
        <row r="509">
          <cell r="A509" t="str">
            <v>FU0507</v>
          </cell>
          <cell r="B509" t="str">
            <v>Fusteltecnica</v>
          </cell>
          <cell r="C509" t="str">
            <v>M05999</v>
          </cell>
          <cell r="D509" t="str">
            <v>Mood</v>
          </cell>
          <cell r="E509" t="str">
            <v xml:space="preserve">Astucci Neutri </v>
          </cell>
          <cell r="F509" t="str">
            <v>BOBST 1260</v>
          </cell>
          <cell r="G509">
            <v>4</v>
          </cell>
          <cell r="H509" t="str">
            <v>No</v>
          </cell>
          <cell r="I509" t="str">
            <v>Si</v>
          </cell>
          <cell r="J509" t="str">
            <v>No</v>
          </cell>
          <cell r="K509">
            <v>0</v>
          </cell>
          <cell r="L509" t="str">
            <v>Si</v>
          </cell>
          <cell r="M509" t="str">
            <v>DIana X80</v>
          </cell>
          <cell r="N509" t="str">
            <v>Lineare</v>
          </cell>
        </row>
        <row r="510">
          <cell r="A510" t="str">
            <v>FU0508</v>
          </cell>
          <cell r="B510" t="str">
            <v>Lasercom</v>
          </cell>
          <cell r="C510" t="str">
            <v>Lomba552</v>
          </cell>
          <cell r="D510" t="str">
            <v>Palazzani</v>
          </cell>
          <cell r="E510" t="str">
            <v>Scatola F21003</v>
          </cell>
          <cell r="F510" t="str">
            <v>BOBST 1260</v>
          </cell>
          <cell r="G510">
            <v>1</v>
          </cell>
          <cell r="H510" t="str">
            <v>No</v>
          </cell>
          <cell r="I510" t="str">
            <v>Si</v>
          </cell>
          <cell r="J510" t="str">
            <v>No</v>
          </cell>
          <cell r="K510">
            <v>0</v>
          </cell>
          <cell r="L510" t="str">
            <v>No</v>
          </cell>
          <cell r="M510">
            <v>0</v>
          </cell>
          <cell r="N510">
            <v>0</v>
          </cell>
        </row>
        <row r="511">
          <cell r="A511" t="str">
            <v>FU0509</v>
          </cell>
          <cell r="B511" t="str">
            <v>Fusteltecnica</v>
          </cell>
          <cell r="C511" t="str">
            <v>E04590</v>
          </cell>
          <cell r="D511" t="str">
            <v>JBS</v>
          </cell>
          <cell r="E511" t="str">
            <v>Inserti decoy dorso 15</v>
          </cell>
          <cell r="F511" t="str">
            <v>BOBST 1260</v>
          </cell>
          <cell r="G511">
            <v>4</v>
          </cell>
          <cell r="H511" t="str">
            <v>No</v>
          </cell>
          <cell r="I511" t="str">
            <v>Si</v>
          </cell>
          <cell r="J511" t="str">
            <v>No</v>
          </cell>
          <cell r="K511">
            <v>0</v>
          </cell>
          <cell r="L511" t="str">
            <v>No</v>
          </cell>
          <cell r="M511">
            <v>0</v>
          </cell>
          <cell r="N511">
            <v>0</v>
          </cell>
        </row>
        <row r="512">
          <cell r="A512" t="str">
            <v>FU0510</v>
          </cell>
          <cell r="B512" t="str">
            <v>Fusteltecnica</v>
          </cell>
          <cell r="C512" t="str">
            <v>A04014</v>
          </cell>
          <cell r="D512" t="str">
            <v>Rcm</v>
          </cell>
          <cell r="E512" t="str">
            <v>Astucci nee abbinati</v>
          </cell>
          <cell r="F512" t="str">
            <v>BOBST 104</v>
          </cell>
          <cell r="G512">
            <v>10</v>
          </cell>
          <cell r="H512" t="str">
            <v>Si</v>
          </cell>
          <cell r="I512" t="str">
            <v>No</v>
          </cell>
          <cell r="J512" t="str">
            <v>No</v>
          </cell>
          <cell r="K512">
            <v>0</v>
          </cell>
          <cell r="L512" t="str">
            <v>Si</v>
          </cell>
          <cell r="M512" t="str">
            <v>DIana X80</v>
          </cell>
          <cell r="N512" t="str">
            <v>Lineare</v>
          </cell>
        </row>
        <row r="513">
          <cell r="A513" t="str">
            <v>FU0511</v>
          </cell>
          <cell r="B513" t="str">
            <v>Fusteltecnica</v>
          </cell>
          <cell r="C513" t="str">
            <v>E00265</v>
          </cell>
          <cell r="D513" t="str">
            <v>Gianferrari</v>
          </cell>
          <cell r="E513" t="str">
            <v>Tunnel calze</v>
          </cell>
          <cell r="F513" t="str">
            <v>BOBST 104</v>
          </cell>
          <cell r="G513">
            <v>1</v>
          </cell>
          <cell r="H513" t="str">
            <v>No</v>
          </cell>
          <cell r="I513" t="str">
            <v>No</v>
          </cell>
          <cell r="J513" t="str">
            <v>No</v>
          </cell>
          <cell r="K513">
            <v>0</v>
          </cell>
          <cell r="L513" t="str">
            <v>Si</v>
          </cell>
          <cell r="M513" t="str">
            <v>DIana X80</v>
          </cell>
          <cell r="N513" t="str">
            <v>Lineare</v>
          </cell>
        </row>
        <row r="514">
          <cell r="A514" t="str">
            <v>FU0512</v>
          </cell>
          <cell r="B514" t="str">
            <v>Lasercom</v>
          </cell>
          <cell r="C514" t="str">
            <v>Lomba733</v>
          </cell>
          <cell r="D514" t="str">
            <v>Gallo</v>
          </cell>
          <cell r="E514" t="str">
            <v>Solette Gallo Medie</v>
          </cell>
          <cell r="F514" t="str">
            <v>BOBST 1260</v>
          </cell>
          <cell r="G514">
            <v>8</v>
          </cell>
          <cell r="H514" t="str">
            <v>No</v>
          </cell>
          <cell r="I514" t="str">
            <v>Si</v>
          </cell>
          <cell r="J514" t="str">
            <v>No</v>
          </cell>
          <cell r="K514">
            <v>0</v>
          </cell>
          <cell r="L514" t="str">
            <v>No</v>
          </cell>
          <cell r="M514">
            <v>0</v>
          </cell>
          <cell r="N514">
            <v>0</v>
          </cell>
        </row>
        <row r="515">
          <cell r="A515" t="str">
            <v>FU0513</v>
          </cell>
          <cell r="B515" t="str">
            <v>Lasercom</v>
          </cell>
          <cell r="C515" t="str">
            <v>Lomba362</v>
          </cell>
          <cell r="D515" t="str">
            <v>Ercos</v>
          </cell>
          <cell r="E515" t="str">
            <v>Scatole QualIT sifoni</v>
          </cell>
          <cell r="F515" t="str">
            <v>BOBST 1260</v>
          </cell>
          <cell r="G515">
            <v>2</v>
          </cell>
          <cell r="H515" t="str">
            <v>No</v>
          </cell>
          <cell r="I515" t="str">
            <v>Si</v>
          </cell>
          <cell r="J515" t="str">
            <v>No</v>
          </cell>
          <cell r="K515">
            <v>0</v>
          </cell>
          <cell r="L515" t="str">
            <v>No</v>
          </cell>
          <cell r="M515">
            <v>0</v>
          </cell>
          <cell r="N515">
            <v>0</v>
          </cell>
        </row>
        <row r="516">
          <cell r="A516" t="str">
            <v>FU0514</v>
          </cell>
          <cell r="B516" t="str">
            <v>Lasercom</v>
          </cell>
          <cell r="C516" t="str">
            <v>Lomba557</v>
          </cell>
          <cell r="D516" t="str">
            <v>Gallo</v>
          </cell>
          <cell r="E516" t="str">
            <v>Scatola bop002g</v>
          </cell>
          <cell r="F516" t="str">
            <v>BOBST 104</v>
          </cell>
          <cell r="G516">
            <v>2</v>
          </cell>
          <cell r="H516" t="str">
            <v>No</v>
          </cell>
          <cell r="I516" t="str">
            <v>No</v>
          </cell>
          <cell r="J516" t="str">
            <v>No</v>
          </cell>
          <cell r="K516">
            <v>0</v>
          </cell>
          <cell r="L516" t="str">
            <v>No</v>
          </cell>
          <cell r="M516">
            <v>0</v>
          </cell>
          <cell r="N516">
            <v>0</v>
          </cell>
        </row>
        <row r="517">
          <cell r="A517" t="str">
            <v>FU0515</v>
          </cell>
          <cell r="B517" t="str">
            <v>Lasercom</v>
          </cell>
          <cell r="C517" t="str">
            <v>Lomba556</v>
          </cell>
          <cell r="D517" t="str">
            <v>Pantytex</v>
          </cell>
          <cell r="E517" t="str">
            <v>Appendini hema dorso 20</v>
          </cell>
          <cell r="F517" t="str">
            <v>BOBST 104</v>
          </cell>
          <cell r="G517">
            <v>6</v>
          </cell>
          <cell r="H517" t="str">
            <v>Si</v>
          </cell>
          <cell r="I517" t="str">
            <v>No</v>
          </cell>
          <cell r="J517" t="str">
            <v>No</v>
          </cell>
          <cell r="K517">
            <v>0</v>
          </cell>
          <cell r="L517" t="str">
            <v>No</v>
          </cell>
          <cell r="M517">
            <v>0</v>
          </cell>
          <cell r="N517">
            <v>0</v>
          </cell>
        </row>
        <row r="518">
          <cell r="A518" t="str">
            <v>FU0516</v>
          </cell>
          <cell r="B518" t="str">
            <v>Lasercom</v>
          </cell>
          <cell r="C518" t="str">
            <v>Lomba555</v>
          </cell>
          <cell r="D518" t="str">
            <v>Pantytex</v>
          </cell>
          <cell r="E518" t="str">
            <v>Appendini hema dorso 25</v>
          </cell>
          <cell r="F518" t="str">
            <v>BOBST 1260</v>
          </cell>
          <cell r="G518">
            <v>6</v>
          </cell>
          <cell r="H518" t="str">
            <v>Si</v>
          </cell>
          <cell r="I518" t="str">
            <v>Si</v>
          </cell>
          <cell r="J518" t="str">
            <v>No</v>
          </cell>
          <cell r="K518">
            <v>0</v>
          </cell>
          <cell r="L518" t="str">
            <v>No</v>
          </cell>
          <cell r="M518">
            <v>0</v>
          </cell>
          <cell r="N518">
            <v>0</v>
          </cell>
        </row>
        <row r="519">
          <cell r="A519" t="str">
            <v>FU0517</v>
          </cell>
          <cell r="B519" t="str">
            <v>Fusteltecnica</v>
          </cell>
          <cell r="C519" t="str">
            <v>R05584</v>
          </cell>
          <cell r="D519" t="str">
            <v>JBS</v>
          </cell>
          <cell r="E519" t="str">
            <v>Buste gambaletto symfoni</v>
          </cell>
          <cell r="F519" t="str">
            <v>BOBST 104</v>
          </cell>
          <cell r="G519">
            <v>4</v>
          </cell>
          <cell r="H519" t="str">
            <v>Si</v>
          </cell>
          <cell r="I519" t="str">
            <v>No</v>
          </cell>
          <cell r="J519" t="str">
            <v>No</v>
          </cell>
          <cell r="K519">
            <v>0</v>
          </cell>
          <cell r="L519" t="str">
            <v>Si</v>
          </cell>
          <cell r="M519" t="str">
            <v>Diana Pro 114</v>
          </cell>
          <cell r="N519" t="str">
            <v>Soffietto</v>
          </cell>
        </row>
        <row r="520">
          <cell r="A520" t="str">
            <v>FU0518</v>
          </cell>
          <cell r="B520" t="str">
            <v>Fusteltecnica</v>
          </cell>
          <cell r="C520" t="str">
            <v>B13735</v>
          </cell>
          <cell r="D520" t="str">
            <v>Tradigo</v>
          </cell>
          <cell r="E520" t="str">
            <v>Scatole calzante</v>
          </cell>
          <cell r="F520" t="str">
            <v>BOBST 104</v>
          </cell>
          <cell r="G520">
            <v>2</v>
          </cell>
          <cell r="H520" t="str">
            <v>Si</v>
          </cell>
          <cell r="I520" t="str">
            <v>No</v>
          </cell>
          <cell r="J520" t="str">
            <v>No</v>
          </cell>
          <cell r="K520">
            <v>0</v>
          </cell>
          <cell r="L520" t="str">
            <v>Si</v>
          </cell>
          <cell r="M520" t="str">
            <v>DIana X80</v>
          </cell>
          <cell r="N520" t="str">
            <v>Lineare</v>
          </cell>
        </row>
        <row r="521">
          <cell r="A521" t="str">
            <v>FU0519</v>
          </cell>
          <cell r="B521" t="str">
            <v>Fusteltecnica</v>
          </cell>
          <cell r="C521" t="str">
            <v>M04463</v>
          </cell>
          <cell r="D521" t="str">
            <v>CRM</v>
          </cell>
          <cell r="E521" t="str">
            <v>Astucci X-Tra  630 h38</v>
          </cell>
          <cell r="F521" t="str">
            <v>BOBST 104</v>
          </cell>
          <cell r="G521">
            <v>6</v>
          </cell>
          <cell r="H521" t="str">
            <v>Si</v>
          </cell>
          <cell r="I521" t="str">
            <v>No</v>
          </cell>
          <cell r="J521" t="str">
            <v>No</v>
          </cell>
          <cell r="K521">
            <v>0</v>
          </cell>
          <cell r="L521" t="str">
            <v>Si</v>
          </cell>
          <cell r="M521" t="str">
            <v>Diana Pro 114</v>
          </cell>
          <cell r="N521" t="str">
            <v>Lineare con Gancio</v>
          </cell>
        </row>
        <row r="522">
          <cell r="A522" t="str">
            <v>FU0520</v>
          </cell>
          <cell r="B522" t="str">
            <v>Fusteltecnica</v>
          </cell>
          <cell r="C522" t="str">
            <v>E04587</v>
          </cell>
          <cell r="D522" t="str">
            <v>Pantytex</v>
          </cell>
          <cell r="E522" t="str">
            <v>Appendini Tchibo d25</v>
          </cell>
          <cell r="F522" t="str">
            <v>BOBST 104</v>
          </cell>
          <cell r="G522">
            <v>6</v>
          </cell>
          <cell r="H522" t="str">
            <v>Si</v>
          </cell>
          <cell r="I522" t="str">
            <v>No</v>
          </cell>
          <cell r="J522" t="str">
            <v>No</v>
          </cell>
          <cell r="K522">
            <v>0</v>
          </cell>
          <cell r="L522" t="str">
            <v>No</v>
          </cell>
          <cell r="M522">
            <v>0</v>
          </cell>
          <cell r="N522">
            <v>0</v>
          </cell>
        </row>
        <row r="523">
          <cell r="A523" t="str">
            <v>FU0521</v>
          </cell>
          <cell r="B523" t="str">
            <v>Fusteltecnica</v>
          </cell>
          <cell r="C523" t="str">
            <v>M04464</v>
          </cell>
          <cell r="D523" t="str">
            <v>Gallo</v>
          </cell>
          <cell r="E523" t="str">
            <v>Abbinati vari gallo</v>
          </cell>
          <cell r="F523" t="str">
            <v>BOBST 104</v>
          </cell>
          <cell r="G523">
            <v>9</v>
          </cell>
          <cell r="H523" t="str">
            <v>Si</v>
          </cell>
          <cell r="I523" t="str">
            <v>No</v>
          </cell>
          <cell r="J523" t="str">
            <v>No</v>
          </cell>
          <cell r="K523">
            <v>0</v>
          </cell>
          <cell r="L523" t="str">
            <v>No</v>
          </cell>
          <cell r="M523">
            <v>0</v>
          </cell>
          <cell r="N523">
            <v>0</v>
          </cell>
        </row>
        <row r="524">
          <cell r="A524" t="str">
            <v>FU0522</v>
          </cell>
          <cell r="B524" t="str">
            <v>Fusteltecnica</v>
          </cell>
          <cell r="C524" t="str">
            <v>M05793</v>
          </cell>
          <cell r="D524" t="str">
            <v>D&amp;G</v>
          </cell>
          <cell r="E524" t="str">
            <v>Scatole Biscotti</v>
          </cell>
          <cell r="F524" t="str">
            <v>BOBST 1260</v>
          </cell>
          <cell r="G524">
            <v>2</v>
          </cell>
          <cell r="H524" t="str">
            <v>No</v>
          </cell>
          <cell r="I524" t="str">
            <v>Si</v>
          </cell>
          <cell r="J524" t="str">
            <v>No</v>
          </cell>
          <cell r="K524">
            <v>0</v>
          </cell>
          <cell r="L524" t="str">
            <v>Si</v>
          </cell>
          <cell r="M524" t="str">
            <v>Diana Pro 114</v>
          </cell>
          <cell r="N524" t="str">
            <v>Fondo Automatico</v>
          </cell>
        </row>
        <row r="525">
          <cell r="A525" t="str">
            <v>FU0523</v>
          </cell>
          <cell r="B525" t="str">
            <v>Fusteltecnica</v>
          </cell>
          <cell r="C525" t="str">
            <v>E06074</v>
          </cell>
          <cell r="D525" t="str">
            <v>Girardi</v>
          </cell>
          <cell r="E525" t="str">
            <v>Astucci Laminati</v>
          </cell>
          <cell r="F525" t="str">
            <v>BOBST 104</v>
          </cell>
          <cell r="G525">
            <v>2</v>
          </cell>
          <cell r="H525" t="str">
            <v>No</v>
          </cell>
          <cell r="I525" t="str">
            <v>No</v>
          </cell>
          <cell r="J525" t="str">
            <v>No</v>
          </cell>
          <cell r="K525">
            <v>0</v>
          </cell>
          <cell r="L525" t="str">
            <v>Si</v>
          </cell>
          <cell r="M525" t="str">
            <v>DIana X80</v>
          </cell>
          <cell r="N525" t="str">
            <v>Lineare</v>
          </cell>
        </row>
        <row r="526">
          <cell r="A526" t="str">
            <v>FU0524</v>
          </cell>
          <cell r="B526" t="str">
            <v>Fusteltecnica</v>
          </cell>
          <cell r="C526" t="str">
            <v>M04497</v>
          </cell>
          <cell r="D526" t="str">
            <v>Tradigo</v>
          </cell>
          <cell r="E526" t="str">
            <v>Espositore tendistivale</v>
          </cell>
          <cell r="F526" t="str">
            <v>BOBST 1260</v>
          </cell>
          <cell r="G526">
            <v>1</v>
          </cell>
          <cell r="H526" t="str">
            <v>No</v>
          </cell>
          <cell r="I526" t="str">
            <v>Si</v>
          </cell>
          <cell r="J526" t="str">
            <v>No</v>
          </cell>
          <cell r="K526">
            <v>0</v>
          </cell>
          <cell r="L526" t="str">
            <v>No</v>
          </cell>
          <cell r="M526">
            <v>0</v>
          </cell>
          <cell r="N526">
            <v>0</v>
          </cell>
        </row>
        <row r="527">
          <cell r="A527" t="str">
            <v>FU0525</v>
          </cell>
          <cell r="B527" t="str">
            <v>Lasercom</v>
          </cell>
          <cell r="C527" t="str">
            <v>Lomba811</v>
          </cell>
          <cell r="D527" t="str">
            <v>Offel</v>
          </cell>
          <cell r="E527" t="str">
            <v>Bauletti abbinati</v>
          </cell>
          <cell r="F527" t="str">
            <v>BOBST 1260</v>
          </cell>
          <cell r="G527">
            <v>3</v>
          </cell>
          <cell r="H527" t="str">
            <v>No</v>
          </cell>
          <cell r="I527" t="str">
            <v>Si</v>
          </cell>
          <cell r="J527" t="str">
            <v>No</v>
          </cell>
          <cell r="K527">
            <v>0</v>
          </cell>
          <cell r="L527" t="str">
            <v>No</v>
          </cell>
          <cell r="M527">
            <v>0</v>
          </cell>
          <cell r="N527">
            <v>0</v>
          </cell>
        </row>
        <row r="528">
          <cell r="A528" t="str">
            <v>FU0526</v>
          </cell>
          <cell r="B528" t="str">
            <v>Lasercom</v>
          </cell>
          <cell r="C528" t="str">
            <v>Lomba355</v>
          </cell>
          <cell r="D528" t="str">
            <v>Pantytex</v>
          </cell>
          <cell r="E528" t="str">
            <v>Inserti collant maddison</v>
          </cell>
          <cell r="F528" t="str">
            <v>BOBST 1260</v>
          </cell>
          <cell r="G528">
            <v>5</v>
          </cell>
          <cell r="H528" t="str">
            <v>Si</v>
          </cell>
          <cell r="I528" t="str">
            <v>Si</v>
          </cell>
          <cell r="J528" t="str">
            <v>No</v>
          </cell>
          <cell r="K528">
            <v>0</v>
          </cell>
          <cell r="L528" t="str">
            <v>No</v>
          </cell>
          <cell r="M528">
            <v>0</v>
          </cell>
          <cell r="N528">
            <v>0</v>
          </cell>
        </row>
        <row r="529">
          <cell r="A529" t="str">
            <v>FU0527</v>
          </cell>
          <cell r="B529" t="str">
            <v>Lasercom</v>
          </cell>
          <cell r="C529" t="str">
            <v>Lomba354</v>
          </cell>
          <cell r="D529" t="str">
            <v>Pantytex</v>
          </cell>
          <cell r="E529" t="str">
            <v>Inserti gambaletto maddison</v>
          </cell>
          <cell r="F529" t="str">
            <v>BOBST 104</v>
          </cell>
          <cell r="G529">
            <v>8</v>
          </cell>
          <cell r="H529" t="str">
            <v>Si</v>
          </cell>
          <cell r="I529" t="str">
            <v>No</v>
          </cell>
          <cell r="J529" t="str">
            <v>No</v>
          </cell>
          <cell r="K529">
            <v>0</v>
          </cell>
          <cell r="L529" t="str">
            <v>No</v>
          </cell>
          <cell r="M529">
            <v>0</v>
          </cell>
          <cell r="N529">
            <v>0</v>
          </cell>
        </row>
        <row r="530">
          <cell r="A530" t="str">
            <v>FU0528</v>
          </cell>
          <cell r="B530" t="str">
            <v>Fusteltecnica</v>
          </cell>
          <cell r="C530" t="str">
            <v>E9069</v>
          </cell>
          <cell r="D530" t="str">
            <v>Cinturificio Bresciano</v>
          </cell>
          <cell r="E530" t="str">
            <v>Astucci conveyor</v>
          </cell>
          <cell r="F530" t="str">
            <v>BOBST 1260</v>
          </cell>
          <cell r="G530">
            <v>4</v>
          </cell>
          <cell r="H530" t="str">
            <v>Si</v>
          </cell>
          <cell r="I530" t="str">
            <v>Si</v>
          </cell>
          <cell r="J530" t="str">
            <v>No</v>
          </cell>
          <cell r="K530">
            <v>0</v>
          </cell>
          <cell r="L530" t="str">
            <v>Si</v>
          </cell>
          <cell r="M530" t="str">
            <v>Diana Pro 114</v>
          </cell>
          <cell r="N530" t="str">
            <v>Fondo Automatico</v>
          </cell>
        </row>
        <row r="531">
          <cell r="A531" t="str">
            <v>FU0529</v>
          </cell>
          <cell r="B531" t="str">
            <v>Fusteltecnica</v>
          </cell>
          <cell r="C531" t="str">
            <v>M04470</v>
          </cell>
          <cell r="D531" t="str">
            <v>Pantytex</v>
          </cell>
          <cell r="E531" t="str">
            <v>Appendini La Halle Polya 6</v>
          </cell>
          <cell r="F531" t="str">
            <v>BOBST 1260</v>
          </cell>
          <cell r="G531">
            <v>6</v>
          </cell>
          <cell r="H531" t="str">
            <v>Si</v>
          </cell>
          <cell r="I531" t="str">
            <v>Si</v>
          </cell>
          <cell r="J531" t="str">
            <v>No</v>
          </cell>
          <cell r="K531">
            <v>0</v>
          </cell>
          <cell r="L531" t="str">
            <v>No</v>
          </cell>
          <cell r="M531">
            <v>0</v>
          </cell>
          <cell r="N531">
            <v>0</v>
          </cell>
        </row>
        <row r="532">
          <cell r="A532" t="str">
            <v>FU0530</v>
          </cell>
          <cell r="B532" t="str">
            <v>Fusteltecnica</v>
          </cell>
          <cell r="C532" t="str">
            <v>M04490</v>
          </cell>
          <cell r="D532" t="str">
            <v>Pantytex</v>
          </cell>
          <cell r="E532" t="str">
            <v>Appendini Divine dorso 15</v>
          </cell>
          <cell r="F532" t="str">
            <v>BOBST 104</v>
          </cell>
          <cell r="G532">
            <v>6</v>
          </cell>
          <cell r="H532" t="str">
            <v>Si</v>
          </cell>
          <cell r="I532" t="str">
            <v>No</v>
          </cell>
          <cell r="J532" t="str">
            <v>No</v>
          </cell>
          <cell r="K532">
            <v>0</v>
          </cell>
          <cell r="L532" t="str">
            <v>No</v>
          </cell>
          <cell r="M532">
            <v>0</v>
          </cell>
          <cell r="N532">
            <v>0</v>
          </cell>
        </row>
        <row r="533">
          <cell r="A533" t="str">
            <v>FU0531</v>
          </cell>
          <cell r="B533" t="str">
            <v>Fusteltecnica</v>
          </cell>
          <cell r="C533" t="str">
            <v>E15410</v>
          </cell>
          <cell r="D533" t="str">
            <v>CRM</v>
          </cell>
          <cell r="E533" t="str">
            <v>Astucci Irmas 41</v>
          </cell>
          <cell r="F533" t="str">
            <v>BOBST 104</v>
          </cell>
          <cell r="G533">
            <v>6</v>
          </cell>
          <cell r="H533" t="str">
            <v>Si</v>
          </cell>
          <cell r="I533" t="str">
            <v>No</v>
          </cell>
          <cell r="J533" t="str">
            <v>No</v>
          </cell>
          <cell r="K533">
            <v>0</v>
          </cell>
          <cell r="L533" t="str">
            <v>Si</v>
          </cell>
          <cell r="M533" t="str">
            <v>DIana X80</v>
          </cell>
          <cell r="N533" t="str">
            <v>Lineare</v>
          </cell>
        </row>
        <row r="534">
          <cell r="A534" t="str">
            <v>FU0532</v>
          </cell>
          <cell r="B534" t="str">
            <v>Lasercom</v>
          </cell>
          <cell r="C534" t="str">
            <v>Lomba195</v>
          </cell>
          <cell r="D534" t="str">
            <v>Fortis</v>
          </cell>
          <cell r="E534" t="str">
            <v>Astucci fortis art. 156</v>
          </cell>
          <cell r="F534" t="str">
            <v>BOBST 1260</v>
          </cell>
          <cell r="G534">
            <v>6</v>
          </cell>
          <cell r="H534" t="str">
            <v>Si</v>
          </cell>
          <cell r="I534" t="str">
            <v>Si</v>
          </cell>
          <cell r="J534" t="str">
            <v>No</v>
          </cell>
          <cell r="K534">
            <v>0</v>
          </cell>
          <cell r="L534" t="str">
            <v>Si</v>
          </cell>
          <cell r="M534" t="str">
            <v>Diana Pro 114</v>
          </cell>
          <cell r="N534" t="str">
            <v>Fondo Automatico</v>
          </cell>
        </row>
        <row r="535">
          <cell r="A535" t="str">
            <v>FU0533</v>
          </cell>
          <cell r="B535" t="str">
            <v>Lasercom</v>
          </cell>
          <cell r="C535" t="str">
            <v>Lomba327</v>
          </cell>
          <cell r="D535" t="str">
            <v>Fortis</v>
          </cell>
          <cell r="E535" t="str">
            <v>Bauletto degt n°151</v>
          </cell>
          <cell r="F535" t="str">
            <v>BOBST 1260</v>
          </cell>
          <cell r="G535">
            <v>2</v>
          </cell>
          <cell r="H535" t="str">
            <v>No</v>
          </cell>
          <cell r="I535" t="str">
            <v>Si</v>
          </cell>
          <cell r="J535" t="str">
            <v>No</v>
          </cell>
          <cell r="K535">
            <v>0</v>
          </cell>
          <cell r="L535" t="str">
            <v>No</v>
          </cell>
          <cell r="M535">
            <v>0</v>
          </cell>
          <cell r="N535">
            <v>0</v>
          </cell>
        </row>
        <row r="536">
          <cell r="A536" t="str">
            <v>FU0534</v>
          </cell>
          <cell r="B536" t="str">
            <v>Fusteltecnica</v>
          </cell>
          <cell r="C536" t="str">
            <v>R05675</v>
          </cell>
          <cell r="D536" t="str">
            <v>Gallo</v>
          </cell>
          <cell r="E536" t="str">
            <v>Cavallotti Abbinati Vari</v>
          </cell>
          <cell r="F536" t="str">
            <v>BOBST 104</v>
          </cell>
          <cell r="G536">
            <v>12</v>
          </cell>
          <cell r="H536" t="str">
            <v>No</v>
          </cell>
          <cell r="I536" t="str">
            <v>No</v>
          </cell>
          <cell r="J536" t="str">
            <v>No</v>
          </cell>
          <cell r="K536">
            <v>0</v>
          </cell>
          <cell r="L536" t="str">
            <v>No</v>
          </cell>
          <cell r="M536">
            <v>0</v>
          </cell>
          <cell r="N536">
            <v>0</v>
          </cell>
        </row>
        <row r="537">
          <cell r="A537" t="str">
            <v>FU0535</v>
          </cell>
          <cell r="B537" t="str">
            <v>Lasercom</v>
          </cell>
          <cell r="C537" t="str">
            <v>Lomba648</v>
          </cell>
          <cell r="D537" t="str">
            <v>Bergen</v>
          </cell>
          <cell r="E537" t="str">
            <v>Astucci simmons</v>
          </cell>
          <cell r="F537" t="str">
            <v>BOBST 1260</v>
          </cell>
          <cell r="G537">
            <v>8</v>
          </cell>
          <cell r="H537" t="str">
            <v>No</v>
          </cell>
          <cell r="I537" t="str">
            <v>Si</v>
          </cell>
          <cell r="J537" t="str">
            <v>No</v>
          </cell>
          <cell r="K537">
            <v>0</v>
          </cell>
          <cell r="L537" t="str">
            <v>Si</v>
          </cell>
          <cell r="M537" t="str">
            <v>DIana X80</v>
          </cell>
          <cell r="N537" t="str">
            <v>Lineare</v>
          </cell>
        </row>
        <row r="538">
          <cell r="A538" t="str">
            <v>FU0536</v>
          </cell>
          <cell r="B538" t="str">
            <v>Fusteltecnica</v>
          </cell>
          <cell r="C538" t="str">
            <v>E09148</v>
          </cell>
          <cell r="D538" t="str">
            <v>Quaranta</v>
          </cell>
          <cell r="E538" t="str">
            <v>Astucci ministecche 150 gr</v>
          </cell>
          <cell r="F538" t="str">
            <v>BOBST 1260</v>
          </cell>
          <cell r="G538">
            <v>4</v>
          </cell>
          <cell r="H538" t="str">
            <v>No</v>
          </cell>
          <cell r="I538" t="str">
            <v>Si</v>
          </cell>
          <cell r="J538" t="str">
            <v>No</v>
          </cell>
          <cell r="K538">
            <v>0</v>
          </cell>
          <cell r="L538" t="str">
            <v>Si</v>
          </cell>
          <cell r="M538" t="str">
            <v>Diana Pro 114</v>
          </cell>
          <cell r="N538" t="str">
            <v>Fondo Automatico</v>
          </cell>
        </row>
        <row r="539">
          <cell r="A539" t="str">
            <v>FU0537</v>
          </cell>
          <cell r="B539" t="str">
            <v>Fusteltecnica</v>
          </cell>
          <cell r="C539" t="str">
            <v>E14530</v>
          </cell>
          <cell r="D539" t="str">
            <v>Pantytex</v>
          </cell>
          <cell r="E539" t="str">
            <v>Salvapiede C&amp;A / Ellen Amber</v>
          </cell>
          <cell r="F539" t="str">
            <v>BOBST 1260</v>
          </cell>
          <cell r="G539">
            <v>9</v>
          </cell>
          <cell r="H539" t="str">
            <v>Si</v>
          </cell>
          <cell r="I539" t="str">
            <v>Si</v>
          </cell>
          <cell r="J539" t="str">
            <v>No</v>
          </cell>
          <cell r="K539">
            <v>0</v>
          </cell>
          <cell r="L539" t="str">
            <v>No</v>
          </cell>
          <cell r="M539">
            <v>0</v>
          </cell>
          <cell r="N539">
            <v>0</v>
          </cell>
        </row>
        <row r="540">
          <cell r="A540" t="str">
            <v>FU0538</v>
          </cell>
          <cell r="B540" t="str">
            <v>Fusteltecnica</v>
          </cell>
          <cell r="C540" t="str">
            <v>R03856</v>
          </cell>
          <cell r="D540" t="str">
            <v>Rcm</v>
          </cell>
          <cell r="E540" t="str">
            <v>Astucci the color</v>
          </cell>
          <cell r="F540" t="str">
            <v>BOBST 104</v>
          </cell>
          <cell r="G540">
            <v>10</v>
          </cell>
          <cell r="H540" t="str">
            <v>Si</v>
          </cell>
          <cell r="I540" t="str">
            <v>No</v>
          </cell>
          <cell r="J540" t="str">
            <v>No</v>
          </cell>
          <cell r="K540">
            <v>0</v>
          </cell>
          <cell r="L540" t="str">
            <v>Si</v>
          </cell>
          <cell r="M540" t="str">
            <v>DIana X80</v>
          </cell>
          <cell r="N540" t="str">
            <v>Lineare</v>
          </cell>
        </row>
        <row r="541">
          <cell r="A541" t="str">
            <v>FU0539</v>
          </cell>
          <cell r="B541" t="str">
            <v>Fusteltecnica</v>
          </cell>
          <cell r="C541" t="str">
            <v>R12536</v>
          </cell>
          <cell r="D541" t="str">
            <v>Vegas</v>
          </cell>
          <cell r="E541" t="str">
            <v>Bauletti Sonno avana</v>
          </cell>
          <cell r="F541" t="str">
            <v>BOBST 1260</v>
          </cell>
          <cell r="G541">
            <v>2</v>
          </cell>
          <cell r="H541" t="str">
            <v>No</v>
          </cell>
          <cell r="I541" t="str">
            <v>Si</v>
          </cell>
          <cell r="J541" t="str">
            <v>No</v>
          </cell>
          <cell r="K541">
            <v>0</v>
          </cell>
          <cell r="L541" t="str">
            <v>No</v>
          </cell>
          <cell r="M541">
            <v>0</v>
          </cell>
          <cell r="N541">
            <v>0</v>
          </cell>
        </row>
        <row r="542">
          <cell r="A542" t="str">
            <v>FU0540</v>
          </cell>
          <cell r="B542">
            <v>0</v>
          </cell>
          <cell r="C542" t="str">
            <v>-</v>
          </cell>
          <cell r="D542">
            <v>0</v>
          </cell>
          <cell r="E542">
            <v>0</v>
          </cell>
          <cell r="F542" t="str">
            <v>BOBST 104</v>
          </cell>
          <cell r="G542">
            <v>0</v>
          </cell>
          <cell r="H542" t="str">
            <v>No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</row>
        <row r="543">
          <cell r="A543" t="str">
            <v>FU0541</v>
          </cell>
          <cell r="B543" t="str">
            <v>Fusteltecnica</v>
          </cell>
          <cell r="C543" t="str">
            <v>M06058</v>
          </cell>
          <cell r="D543" t="str">
            <v>JBS</v>
          </cell>
          <cell r="E543" t="str">
            <v>Buste decoy 2017</v>
          </cell>
          <cell r="F543" t="str">
            <v>BOBST 1260</v>
          </cell>
          <cell r="G543">
            <v>4</v>
          </cell>
          <cell r="H543" t="str">
            <v>No</v>
          </cell>
          <cell r="I543" t="str">
            <v>Si</v>
          </cell>
          <cell r="J543" t="str">
            <v>No</v>
          </cell>
          <cell r="K543">
            <v>0</v>
          </cell>
          <cell r="L543" t="str">
            <v>Si</v>
          </cell>
          <cell r="M543" t="str">
            <v>Diana Pro 114</v>
          </cell>
          <cell r="N543" t="str">
            <v>Soffietto</v>
          </cell>
        </row>
        <row r="544">
          <cell r="A544" t="str">
            <v>FU0542</v>
          </cell>
          <cell r="B544" t="str">
            <v>Fusteltecnica</v>
          </cell>
          <cell r="C544" t="str">
            <v>M01163</v>
          </cell>
          <cell r="D544" t="str">
            <v>D&amp;G</v>
          </cell>
          <cell r="E544" t="str">
            <v>Scatole 20 x 20 pasticceria</v>
          </cell>
          <cell r="F544" t="str">
            <v>BOBST 1260</v>
          </cell>
          <cell r="G544">
            <v>1</v>
          </cell>
          <cell r="H544" t="str">
            <v>No</v>
          </cell>
          <cell r="I544" t="str">
            <v>Si</v>
          </cell>
          <cell r="J544" t="str">
            <v>No</v>
          </cell>
          <cell r="K544">
            <v>0</v>
          </cell>
          <cell r="L544" t="str">
            <v>No</v>
          </cell>
          <cell r="M544">
            <v>0</v>
          </cell>
          <cell r="N544">
            <v>0</v>
          </cell>
        </row>
        <row r="545">
          <cell r="A545" t="str">
            <v>FU0543</v>
          </cell>
          <cell r="B545" t="str">
            <v>Fusteltecnica</v>
          </cell>
          <cell r="C545" t="str">
            <v>M04459</v>
          </cell>
          <cell r="D545" t="str">
            <v>Magazzini del Caffè</v>
          </cell>
          <cell r="E545" t="str">
            <v>Astucci pittissima con griglie</v>
          </cell>
          <cell r="F545" t="str">
            <v>BOBST 104</v>
          </cell>
          <cell r="G545">
            <v>5</v>
          </cell>
          <cell r="H545" t="str">
            <v>Si</v>
          </cell>
          <cell r="I545" t="str">
            <v>No</v>
          </cell>
          <cell r="J545" t="str">
            <v>No</v>
          </cell>
          <cell r="K545">
            <v>0</v>
          </cell>
          <cell r="L545" t="str">
            <v>No</v>
          </cell>
          <cell r="M545">
            <v>0</v>
          </cell>
          <cell r="N545">
            <v>0</v>
          </cell>
        </row>
        <row r="546">
          <cell r="A546" t="str">
            <v>FU0544</v>
          </cell>
          <cell r="B546" t="str">
            <v>Fusteltecnica</v>
          </cell>
          <cell r="C546" t="str">
            <v>E09654</v>
          </cell>
          <cell r="D546" t="str">
            <v>Pantytex</v>
          </cell>
          <cell r="E546" t="str">
            <v>Buste Blubella disco</v>
          </cell>
          <cell r="F546" t="str">
            <v>BOBST 104</v>
          </cell>
          <cell r="G546">
            <v>5</v>
          </cell>
          <cell r="H546" t="str">
            <v>Si</v>
          </cell>
          <cell r="I546" t="str">
            <v>No</v>
          </cell>
          <cell r="J546" t="str">
            <v>No</v>
          </cell>
          <cell r="K546">
            <v>0</v>
          </cell>
          <cell r="L546" t="str">
            <v>Si</v>
          </cell>
          <cell r="M546" t="str">
            <v>Diana Pro 114</v>
          </cell>
          <cell r="N546" t="str">
            <v>Disco</v>
          </cell>
        </row>
        <row r="547">
          <cell r="A547" t="str">
            <v>FU0545</v>
          </cell>
          <cell r="B547" t="str">
            <v>Lasercom</v>
          </cell>
          <cell r="C547" t="str">
            <v>Lomba383</v>
          </cell>
          <cell r="D547" t="str">
            <v>Love and Bra</v>
          </cell>
          <cell r="E547" t="str">
            <v>Scatola h75</v>
          </cell>
          <cell r="F547" t="str">
            <v>BOBST 104</v>
          </cell>
          <cell r="G547">
            <v>2</v>
          </cell>
          <cell r="H547" t="str">
            <v>Si</v>
          </cell>
          <cell r="I547" t="str">
            <v>No</v>
          </cell>
          <cell r="J547" t="str">
            <v>No</v>
          </cell>
          <cell r="K547">
            <v>0</v>
          </cell>
          <cell r="L547" t="str">
            <v>Si</v>
          </cell>
          <cell r="M547" t="str">
            <v>DIana X80</v>
          </cell>
          <cell r="N547" t="str">
            <v>Lineare</v>
          </cell>
        </row>
        <row r="548">
          <cell r="A548" t="str">
            <v>FU0546</v>
          </cell>
          <cell r="B548" t="str">
            <v>Fusteltecnica</v>
          </cell>
          <cell r="C548" t="str">
            <v>R06667</v>
          </cell>
          <cell r="D548" t="str">
            <v>Pasta lensi</v>
          </cell>
          <cell r="E548" t="str">
            <v>Astucci Ica formato grande</v>
          </cell>
          <cell r="F548" t="str">
            <v>BOBST 104</v>
          </cell>
          <cell r="G548">
            <v>4</v>
          </cell>
          <cell r="H548" t="str">
            <v>Si</v>
          </cell>
          <cell r="I548" t="str">
            <v>No</v>
          </cell>
          <cell r="J548" t="str">
            <v>No</v>
          </cell>
          <cell r="K548">
            <v>0</v>
          </cell>
          <cell r="L548" t="str">
            <v>Si</v>
          </cell>
          <cell r="M548" t="str">
            <v>DIana X80</v>
          </cell>
          <cell r="N548" t="str">
            <v>Lineare</v>
          </cell>
        </row>
        <row r="549">
          <cell r="A549" t="str">
            <v>FU0547</v>
          </cell>
          <cell r="B549" t="str">
            <v>Fusteltecnica</v>
          </cell>
          <cell r="C549" t="str">
            <v>A02965</v>
          </cell>
          <cell r="D549" t="str">
            <v>Eire</v>
          </cell>
          <cell r="E549" t="str">
            <v>Inserti LIDL bambina</v>
          </cell>
          <cell r="F549" t="str">
            <v>BOBST 104</v>
          </cell>
          <cell r="G549">
            <v>8</v>
          </cell>
          <cell r="H549" t="str">
            <v>Si</v>
          </cell>
          <cell r="I549" t="str">
            <v>No</v>
          </cell>
          <cell r="J549" t="str">
            <v>No</v>
          </cell>
          <cell r="K549">
            <v>0</v>
          </cell>
          <cell r="L549" t="str">
            <v>No</v>
          </cell>
          <cell r="M549">
            <v>0</v>
          </cell>
          <cell r="N549">
            <v>0</v>
          </cell>
        </row>
        <row r="550">
          <cell r="A550" t="str">
            <v>FU0548</v>
          </cell>
          <cell r="B550" t="str">
            <v>Fusteltecnica</v>
          </cell>
          <cell r="C550" t="str">
            <v>E04708</v>
          </cell>
          <cell r="D550" t="str">
            <v>Pantytex</v>
          </cell>
          <cell r="E550" t="str">
            <v>Solette ellen amber doppie</v>
          </cell>
          <cell r="F550" t="str">
            <v>BOBST 1260</v>
          </cell>
          <cell r="G550">
            <v>5</v>
          </cell>
          <cell r="H550" t="str">
            <v>No</v>
          </cell>
          <cell r="I550" t="str">
            <v>Si</v>
          </cell>
          <cell r="J550" t="str">
            <v>No</v>
          </cell>
          <cell r="K550">
            <v>0</v>
          </cell>
          <cell r="L550" t="str">
            <v>No</v>
          </cell>
          <cell r="M550">
            <v>0</v>
          </cell>
          <cell r="N550">
            <v>0</v>
          </cell>
        </row>
        <row r="551">
          <cell r="A551" t="str">
            <v>FU0549</v>
          </cell>
          <cell r="B551" t="str">
            <v>Fusteltecnica</v>
          </cell>
          <cell r="C551" t="str">
            <v>E04709</v>
          </cell>
          <cell r="D551" t="str">
            <v>Pantytex</v>
          </cell>
          <cell r="E551" t="str">
            <v>Appendini slippers ellen amber</v>
          </cell>
          <cell r="F551" t="str">
            <v>BOBST 1260</v>
          </cell>
          <cell r="G551">
            <v>8</v>
          </cell>
          <cell r="H551" t="str">
            <v>No</v>
          </cell>
          <cell r="I551" t="str">
            <v>Si</v>
          </cell>
          <cell r="J551" t="str">
            <v>No</v>
          </cell>
          <cell r="K551">
            <v>0</v>
          </cell>
          <cell r="L551" t="str">
            <v>No</v>
          </cell>
          <cell r="M551">
            <v>0</v>
          </cell>
          <cell r="N551">
            <v>0</v>
          </cell>
        </row>
        <row r="552">
          <cell r="A552" t="str">
            <v>FU0550</v>
          </cell>
          <cell r="B552" t="str">
            <v>Lasercom</v>
          </cell>
          <cell r="C552" t="str">
            <v>Lomb278N</v>
          </cell>
          <cell r="D552" t="str">
            <v>Tradigo</v>
          </cell>
          <cell r="E552" t="str">
            <v>Inserti Fauno piedesan taglio netto</v>
          </cell>
          <cell r="F552" t="str">
            <v>BOBST 104</v>
          </cell>
          <cell r="G552">
            <v>12</v>
          </cell>
          <cell r="H552" t="str">
            <v>No</v>
          </cell>
          <cell r="I552" t="str">
            <v>No</v>
          </cell>
          <cell r="J552" t="str">
            <v>No</v>
          </cell>
          <cell r="K552">
            <v>0</v>
          </cell>
          <cell r="L552" t="str">
            <v>No</v>
          </cell>
          <cell r="M552">
            <v>0</v>
          </cell>
          <cell r="N552">
            <v>0</v>
          </cell>
        </row>
        <row r="553">
          <cell r="A553" t="str">
            <v>FU0551</v>
          </cell>
          <cell r="B553" t="str">
            <v>Lasercom</v>
          </cell>
          <cell r="C553" t="str">
            <v>Lomb560N</v>
          </cell>
          <cell r="D553" t="str">
            <v>O.Erre</v>
          </cell>
          <cell r="E553" t="str">
            <v>Scatole 12/5</v>
          </cell>
          <cell r="F553" t="str">
            <v>BOBST 1260</v>
          </cell>
          <cell r="G553">
            <v>3</v>
          </cell>
          <cell r="H553" t="str">
            <v>No</v>
          </cell>
          <cell r="I553" t="str">
            <v>Si</v>
          </cell>
          <cell r="J553" t="str">
            <v>No</v>
          </cell>
          <cell r="K553">
            <v>0</v>
          </cell>
          <cell r="L553" t="str">
            <v>Si</v>
          </cell>
          <cell r="M553" t="str">
            <v>DIana X80</v>
          </cell>
          <cell r="N553" t="str">
            <v>Lineare</v>
          </cell>
        </row>
        <row r="554">
          <cell r="A554" t="str">
            <v>FU0552</v>
          </cell>
          <cell r="B554" t="str">
            <v>Lasercom</v>
          </cell>
          <cell r="C554" t="str">
            <v>Lomba565</v>
          </cell>
          <cell r="D554" t="str">
            <v>Eire</v>
          </cell>
          <cell r="E554" t="str">
            <v>Inserti LIDL donna</v>
          </cell>
          <cell r="F554" t="str">
            <v>BOBST 104</v>
          </cell>
          <cell r="G554">
            <v>8</v>
          </cell>
          <cell r="H554" t="str">
            <v>Si</v>
          </cell>
          <cell r="I554" t="str">
            <v>No</v>
          </cell>
          <cell r="J554" t="str">
            <v>No</v>
          </cell>
          <cell r="K554">
            <v>0</v>
          </cell>
          <cell r="L554" t="str">
            <v>No</v>
          </cell>
          <cell r="M554">
            <v>0</v>
          </cell>
          <cell r="N554">
            <v>0</v>
          </cell>
        </row>
        <row r="555">
          <cell r="A555" t="str">
            <v>FU0553</v>
          </cell>
          <cell r="B555" t="str">
            <v>Lasercom</v>
          </cell>
          <cell r="C555" t="str">
            <v>Lomba566</v>
          </cell>
          <cell r="D555" t="str">
            <v>Girardi</v>
          </cell>
          <cell r="E555" t="str">
            <v>Innserti argentati  ino18</v>
          </cell>
          <cell r="F555" t="str">
            <v>BOBST 104</v>
          </cell>
          <cell r="G555">
            <v>6</v>
          </cell>
          <cell r="H555" t="str">
            <v>Si</v>
          </cell>
          <cell r="I555" t="str">
            <v>No</v>
          </cell>
          <cell r="J555" t="str">
            <v>No</v>
          </cell>
          <cell r="K555">
            <v>0</v>
          </cell>
          <cell r="L555" t="str">
            <v>No</v>
          </cell>
          <cell r="M555">
            <v>0</v>
          </cell>
          <cell r="N555">
            <v>0</v>
          </cell>
        </row>
        <row r="556">
          <cell r="A556" t="str">
            <v>FU0554</v>
          </cell>
          <cell r="B556" t="str">
            <v>Lasercom</v>
          </cell>
          <cell r="C556" t="str">
            <v>Lomba562</v>
          </cell>
          <cell r="D556" t="str">
            <v>Girziline</v>
          </cell>
          <cell r="E556" t="str">
            <v>Fascie girzi</v>
          </cell>
          <cell r="F556" t="str">
            <v>BOBST 1260</v>
          </cell>
          <cell r="G556">
            <v>7</v>
          </cell>
          <cell r="H556" t="str">
            <v>No</v>
          </cell>
          <cell r="I556" t="str">
            <v>Si</v>
          </cell>
          <cell r="J556" t="str">
            <v>No</v>
          </cell>
          <cell r="K556">
            <v>0</v>
          </cell>
          <cell r="L556" t="str">
            <v>No</v>
          </cell>
          <cell r="M556">
            <v>0</v>
          </cell>
          <cell r="N556">
            <v>0</v>
          </cell>
        </row>
        <row r="557">
          <cell r="A557" t="str">
            <v>FU0555</v>
          </cell>
          <cell r="B557" t="str">
            <v>Fusteltecnica</v>
          </cell>
          <cell r="C557" t="str">
            <v>M04586</v>
          </cell>
          <cell r="D557" t="str">
            <v>D&amp;G</v>
          </cell>
          <cell r="E557" t="str">
            <v>Blister + fasciette</v>
          </cell>
          <cell r="F557" t="str">
            <v>BOBST 104</v>
          </cell>
          <cell r="G557">
            <v>7</v>
          </cell>
          <cell r="H557" t="str">
            <v>No</v>
          </cell>
          <cell r="I557" t="str">
            <v>No</v>
          </cell>
          <cell r="J557" t="str">
            <v>No</v>
          </cell>
          <cell r="K557">
            <v>0</v>
          </cell>
          <cell r="L557" t="str">
            <v>No</v>
          </cell>
          <cell r="M557">
            <v>0</v>
          </cell>
          <cell r="N557">
            <v>0</v>
          </cell>
        </row>
        <row r="558">
          <cell r="A558" t="str">
            <v>FU0556</v>
          </cell>
          <cell r="B558" t="str">
            <v>Lasercom</v>
          </cell>
          <cell r="C558" t="str">
            <v>Lomba564</v>
          </cell>
          <cell r="D558" t="str">
            <v>Tracy</v>
          </cell>
          <cell r="E558" t="str">
            <v>Appendini coop bambino</v>
          </cell>
          <cell r="F558" t="str">
            <v>BOBST 1260</v>
          </cell>
          <cell r="G558">
            <v>4</v>
          </cell>
          <cell r="H558" t="str">
            <v>No</v>
          </cell>
          <cell r="I558" t="str">
            <v>Si</v>
          </cell>
          <cell r="J558" t="str">
            <v>No</v>
          </cell>
          <cell r="K558">
            <v>0</v>
          </cell>
          <cell r="L558" t="str">
            <v>No</v>
          </cell>
          <cell r="M558">
            <v>0</v>
          </cell>
          <cell r="N558">
            <v>0</v>
          </cell>
        </row>
        <row r="559">
          <cell r="A559" t="str">
            <v>FU0557</v>
          </cell>
          <cell r="B559" t="str">
            <v>Lasercom</v>
          </cell>
          <cell r="C559" t="str">
            <v>Lomba568</v>
          </cell>
          <cell r="D559" t="str">
            <v>Pantytex</v>
          </cell>
          <cell r="E559" t="str">
            <v>Appendini Desiree socken</v>
          </cell>
          <cell r="F559" t="str">
            <v>BOBST 104</v>
          </cell>
          <cell r="G559">
            <v>4</v>
          </cell>
          <cell r="H559" t="str">
            <v>No</v>
          </cell>
          <cell r="I559" t="str">
            <v>No</v>
          </cell>
          <cell r="J559" t="str">
            <v>No</v>
          </cell>
          <cell r="K559">
            <v>0</v>
          </cell>
          <cell r="L559" t="str">
            <v>No</v>
          </cell>
          <cell r="M559">
            <v>0</v>
          </cell>
          <cell r="N559">
            <v>0</v>
          </cell>
        </row>
        <row r="560">
          <cell r="A560" t="str">
            <v>FU0558</v>
          </cell>
          <cell r="B560" t="str">
            <v>Fusteltecnica</v>
          </cell>
          <cell r="C560" t="str">
            <v>E09406</v>
          </cell>
          <cell r="D560" t="str">
            <v>MPS</v>
          </cell>
          <cell r="E560" t="str">
            <v>INSERTI LA INTIMA</v>
          </cell>
          <cell r="F560" t="str">
            <v>BOBST 1260</v>
          </cell>
          <cell r="G560">
            <v>4</v>
          </cell>
          <cell r="H560" t="str">
            <v>No</v>
          </cell>
          <cell r="I560" t="str">
            <v>Si</v>
          </cell>
          <cell r="J560" t="str">
            <v>No</v>
          </cell>
          <cell r="K560">
            <v>0</v>
          </cell>
          <cell r="L560" t="str">
            <v>No</v>
          </cell>
          <cell r="M560">
            <v>0</v>
          </cell>
          <cell r="N560">
            <v>0</v>
          </cell>
        </row>
        <row r="561">
          <cell r="A561" t="str">
            <v>FU0559</v>
          </cell>
          <cell r="B561" t="str">
            <v>Lasercom</v>
          </cell>
          <cell r="C561" t="str">
            <v>Lomba559</v>
          </cell>
          <cell r="D561" t="str">
            <v>Battaglio</v>
          </cell>
          <cell r="E561" t="str">
            <v>Cavallotti 3 orsi ideafissa</v>
          </cell>
          <cell r="F561" t="str">
            <v>BOBST 104</v>
          </cell>
          <cell r="G561">
            <v>22</v>
          </cell>
          <cell r="H561" t="str">
            <v>No</v>
          </cell>
          <cell r="I561" t="str">
            <v>No</v>
          </cell>
          <cell r="J561" t="str">
            <v>No</v>
          </cell>
          <cell r="K561">
            <v>0</v>
          </cell>
          <cell r="L561" t="str">
            <v>No</v>
          </cell>
          <cell r="M561">
            <v>0</v>
          </cell>
          <cell r="N561">
            <v>0</v>
          </cell>
        </row>
        <row r="562">
          <cell r="A562" t="str">
            <v>FU0560</v>
          </cell>
          <cell r="B562" t="str">
            <v>Fusteltecnica</v>
          </cell>
          <cell r="C562" t="str">
            <v>R01883</v>
          </cell>
          <cell r="D562" t="str">
            <v>CRM</v>
          </cell>
          <cell r="E562" t="str">
            <v>Astucci soxies</v>
          </cell>
          <cell r="F562" t="str">
            <v>BOBST 1260</v>
          </cell>
          <cell r="G562">
            <v>3</v>
          </cell>
          <cell r="H562" t="str">
            <v>No</v>
          </cell>
          <cell r="I562" t="str">
            <v>Si</v>
          </cell>
          <cell r="J562" t="str">
            <v>No</v>
          </cell>
          <cell r="K562">
            <v>0</v>
          </cell>
          <cell r="L562" t="str">
            <v>Si</v>
          </cell>
          <cell r="M562" t="str">
            <v>Diana Pro 114</v>
          </cell>
          <cell r="N562" t="str">
            <v>Fondo Automatico</v>
          </cell>
        </row>
        <row r="563">
          <cell r="A563" t="str">
            <v>FU0561</v>
          </cell>
          <cell r="B563" t="str">
            <v>Lasercom</v>
          </cell>
          <cell r="C563" t="str">
            <v>Lomba194</v>
          </cell>
          <cell r="D563" t="str">
            <v>Pelletteria 2L</v>
          </cell>
          <cell r="E563" t="str">
            <v>Fondo nero absolute</v>
          </cell>
          <cell r="F563" t="str">
            <v>BOBST 1260</v>
          </cell>
          <cell r="G563">
            <v>1</v>
          </cell>
          <cell r="H563" t="str">
            <v>No</v>
          </cell>
          <cell r="I563" t="str">
            <v>Si</v>
          </cell>
          <cell r="J563" t="str">
            <v>No</v>
          </cell>
          <cell r="K563">
            <v>0</v>
          </cell>
          <cell r="L563" t="str">
            <v>Si</v>
          </cell>
          <cell r="M563" t="str">
            <v>Diana Pro 114</v>
          </cell>
          <cell r="N563" t="str">
            <v>Americana</v>
          </cell>
        </row>
        <row r="564">
          <cell r="A564" t="str">
            <v>FU0562</v>
          </cell>
          <cell r="B564" t="str">
            <v>Lasercom</v>
          </cell>
          <cell r="C564" t="str">
            <v>Lomba212</v>
          </cell>
          <cell r="D564" t="str">
            <v>Pelletteria 2L</v>
          </cell>
          <cell r="E564" t="str">
            <v>Coperchio nero absolute</v>
          </cell>
          <cell r="F564" t="str">
            <v>BOBST 1260</v>
          </cell>
          <cell r="G564">
            <v>1</v>
          </cell>
          <cell r="H564" t="str">
            <v>No</v>
          </cell>
          <cell r="I564" t="str">
            <v>Si</v>
          </cell>
          <cell r="J564" t="str">
            <v>No</v>
          </cell>
          <cell r="K564">
            <v>0</v>
          </cell>
          <cell r="L564" t="str">
            <v>Si</v>
          </cell>
          <cell r="M564" t="str">
            <v>Diana Pro 114</v>
          </cell>
          <cell r="N564" t="str">
            <v>Americana</v>
          </cell>
        </row>
        <row r="565">
          <cell r="A565" t="str">
            <v>FU0563</v>
          </cell>
          <cell r="B565" t="str">
            <v>Fusteltecnica</v>
          </cell>
          <cell r="C565" t="str">
            <v>R03797</v>
          </cell>
          <cell r="D565" t="str">
            <v>Tradigo</v>
          </cell>
          <cell r="E565" t="str">
            <v>Astucci calzine igienica</v>
          </cell>
          <cell r="F565" t="str">
            <v>BOBST 1260</v>
          </cell>
          <cell r="G565">
            <v>4</v>
          </cell>
          <cell r="H565" t="str">
            <v>Si</v>
          </cell>
          <cell r="I565" t="str">
            <v>Si</v>
          </cell>
          <cell r="J565" t="str">
            <v>No</v>
          </cell>
          <cell r="K565">
            <v>0</v>
          </cell>
          <cell r="L565" t="str">
            <v>Si</v>
          </cell>
          <cell r="M565" t="str">
            <v>DIana X80</v>
          </cell>
          <cell r="N565" t="str">
            <v>Lineare</v>
          </cell>
        </row>
        <row r="566">
          <cell r="A566" t="str">
            <v>FU0564</v>
          </cell>
          <cell r="B566" t="str">
            <v>Lasercom</v>
          </cell>
          <cell r="C566" t="str">
            <v>Lomba152</v>
          </cell>
          <cell r="D566" t="str">
            <v>JBS</v>
          </cell>
          <cell r="E566" t="str">
            <v>Appendini fakta dorso 15</v>
          </cell>
          <cell r="F566" t="str">
            <v>BOBST 1260</v>
          </cell>
          <cell r="G566">
            <v>4</v>
          </cell>
          <cell r="H566" t="str">
            <v>Si</v>
          </cell>
          <cell r="I566" t="str">
            <v>Si</v>
          </cell>
          <cell r="J566" t="str">
            <v>No</v>
          </cell>
          <cell r="K566">
            <v>0</v>
          </cell>
          <cell r="L566" t="str">
            <v>No</v>
          </cell>
          <cell r="M566">
            <v>0</v>
          </cell>
          <cell r="N566">
            <v>0</v>
          </cell>
        </row>
        <row r="567">
          <cell r="A567" t="str">
            <v>FU0565</v>
          </cell>
          <cell r="B567" t="str">
            <v>Fusteltecnica</v>
          </cell>
          <cell r="C567" t="str">
            <v>R06668</v>
          </cell>
          <cell r="D567" t="str">
            <v>Pasta lensi</v>
          </cell>
          <cell r="E567" t="str">
            <v>Astucci Ica formato piccolo</v>
          </cell>
          <cell r="F567" t="str">
            <v>BOBST 104</v>
          </cell>
          <cell r="G567">
            <v>4</v>
          </cell>
          <cell r="H567" t="str">
            <v>Si</v>
          </cell>
          <cell r="I567" t="str">
            <v>No</v>
          </cell>
          <cell r="J567" t="str">
            <v>No</v>
          </cell>
          <cell r="K567">
            <v>0</v>
          </cell>
          <cell r="L567" t="str">
            <v>Si</v>
          </cell>
          <cell r="M567" t="str">
            <v>DIana X80</v>
          </cell>
          <cell r="N567" t="str">
            <v>Lineare</v>
          </cell>
        </row>
        <row r="568">
          <cell r="A568" t="str">
            <v>FU0566</v>
          </cell>
          <cell r="B568" t="str">
            <v>Fusteltecnica</v>
          </cell>
          <cell r="C568" t="str">
            <v>M04633</v>
          </cell>
          <cell r="D568" t="str">
            <v>JBS</v>
          </cell>
          <cell r="E568" t="str">
            <v>Buste VRS stinna</v>
          </cell>
          <cell r="F568" t="str">
            <v>BOBST 104</v>
          </cell>
          <cell r="G568">
            <v>4</v>
          </cell>
          <cell r="H568" t="str">
            <v>Si</v>
          </cell>
          <cell r="I568" t="str">
            <v>No</v>
          </cell>
          <cell r="J568" t="str">
            <v>No</v>
          </cell>
          <cell r="K568">
            <v>0</v>
          </cell>
          <cell r="L568" t="str">
            <v>Si</v>
          </cell>
          <cell r="M568" t="str">
            <v>Diana Pro 114</v>
          </cell>
          <cell r="N568" t="str">
            <v>Soffietto</v>
          </cell>
        </row>
        <row r="569">
          <cell r="A569" t="str">
            <v>FU0567</v>
          </cell>
          <cell r="B569" t="str">
            <v>Fusteltecnica</v>
          </cell>
          <cell r="C569" t="str">
            <v>E03401</v>
          </cell>
          <cell r="D569" t="str">
            <v>Dolci</v>
          </cell>
          <cell r="E569" t="str">
            <v>Appendini Twilfit Abbinati</v>
          </cell>
          <cell r="F569" t="str">
            <v>BOBST 1260</v>
          </cell>
          <cell r="G569">
            <v>4</v>
          </cell>
          <cell r="H569" t="str">
            <v>Si</v>
          </cell>
          <cell r="I569" t="str">
            <v>Si</v>
          </cell>
          <cell r="J569" t="str">
            <v>No</v>
          </cell>
          <cell r="K569">
            <v>0</v>
          </cell>
          <cell r="L569" t="str">
            <v>No</v>
          </cell>
          <cell r="M569">
            <v>0</v>
          </cell>
          <cell r="N569">
            <v>0</v>
          </cell>
        </row>
        <row r="570">
          <cell r="A570" t="str">
            <v>FU0568</v>
          </cell>
          <cell r="B570" t="str">
            <v>Lasercom</v>
          </cell>
          <cell r="C570" t="str">
            <v>Lomba220</v>
          </cell>
          <cell r="D570" t="str">
            <v>Fortis</v>
          </cell>
          <cell r="E570" t="str">
            <v>Astucci 142</v>
          </cell>
          <cell r="F570" t="str">
            <v>BOBST 1260</v>
          </cell>
          <cell r="G570">
            <v>8</v>
          </cell>
          <cell r="H570" t="str">
            <v>Si</v>
          </cell>
          <cell r="I570" t="str">
            <v>Si</v>
          </cell>
          <cell r="J570" t="str">
            <v>No</v>
          </cell>
          <cell r="K570">
            <v>0</v>
          </cell>
          <cell r="L570" t="str">
            <v>Si</v>
          </cell>
          <cell r="M570" t="str">
            <v>DIana X80</v>
          </cell>
          <cell r="N570" t="str">
            <v>Lineare</v>
          </cell>
        </row>
        <row r="571">
          <cell r="A571" t="str">
            <v>FU0569</v>
          </cell>
          <cell r="B571" t="str">
            <v>Fusteltecnica</v>
          </cell>
          <cell r="C571" t="str">
            <v>M02491</v>
          </cell>
          <cell r="D571" t="str">
            <v>Bonadei</v>
          </cell>
          <cell r="E571" t="str">
            <v>Appendini woolrich 3 paia</v>
          </cell>
          <cell r="F571" t="str">
            <v>BOBST 1260</v>
          </cell>
          <cell r="G571">
            <v>4</v>
          </cell>
          <cell r="H571" t="str">
            <v>Si</v>
          </cell>
          <cell r="I571" t="str">
            <v>Si</v>
          </cell>
          <cell r="J571" t="str">
            <v>No</v>
          </cell>
          <cell r="K571">
            <v>0</v>
          </cell>
          <cell r="L571" t="str">
            <v>No</v>
          </cell>
          <cell r="M571">
            <v>0</v>
          </cell>
          <cell r="N571">
            <v>0</v>
          </cell>
        </row>
        <row r="572">
          <cell r="A572" t="str">
            <v>FU0570</v>
          </cell>
          <cell r="B572" t="str">
            <v>Fusteltecnica</v>
          </cell>
          <cell r="C572" t="str">
            <v>M04688</v>
          </cell>
          <cell r="D572" t="str">
            <v>Pantytex</v>
          </cell>
          <cell r="E572" t="str">
            <v>Astucci divine + cartellini</v>
          </cell>
          <cell r="F572" t="str">
            <v>BOBST 104</v>
          </cell>
          <cell r="G572">
            <v>10</v>
          </cell>
          <cell r="H572" t="str">
            <v>Si</v>
          </cell>
          <cell r="I572" t="str">
            <v>No</v>
          </cell>
          <cell r="J572" t="str">
            <v>No</v>
          </cell>
          <cell r="K572">
            <v>0</v>
          </cell>
          <cell r="L572" t="str">
            <v>Si</v>
          </cell>
          <cell r="M572" t="str">
            <v>DIana X80</v>
          </cell>
          <cell r="N572" t="str">
            <v>Lineare</v>
          </cell>
        </row>
        <row r="573">
          <cell r="A573" t="str">
            <v>FU0571</v>
          </cell>
          <cell r="B573">
            <v>0</v>
          </cell>
          <cell r="C573" t="str">
            <v>-</v>
          </cell>
          <cell r="D573">
            <v>0</v>
          </cell>
          <cell r="E573">
            <v>0</v>
          </cell>
          <cell r="F573" t="str">
            <v>BOBST 104</v>
          </cell>
          <cell r="G573">
            <v>0</v>
          </cell>
          <cell r="H573" t="str">
            <v>Si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</row>
        <row r="574">
          <cell r="A574" t="str">
            <v>FU0572</v>
          </cell>
          <cell r="B574">
            <v>0</v>
          </cell>
          <cell r="C574" t="str">
            <v>-</v>
          </cell>
          <cell r="D574">
            <v>0</v>
          </cell>
          <cell r="E574">
            <v>0</v>
          </cell>
          <cell r="F574" t="str">
            <v>BOBST 104</v>
          </cell>
          <cell r="G574">
            <v>0</v>
          </cell>
          <cell r="H574" t="str">
            <v>Si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</row>
        <row r="575">
          <cell r="A575" t="str">
            <v>FU0573</v>
          </cell>
          <cell r="B575" t="str">
            <v>Lasercom</v>
          </cell>
          <cell r="C575" t="str">
            <v>Lomb573C</v>
          </cell>
          <cell r="D575" t="str">
            <v>Cravattificio conti</v>
          </cell>
          <cell r="E575" t="str">
            <v>Astucci papillon</v>
          </cell>
          <cell r="F575" t="str">
            <v>BOBST 104</v>
          </cell>
          <cell r="G575">
            <v>4</v>
          </cell>
          <cell r="H575" t="str">
            <v>Si</v>
          </cell>
          <cell r="I575" t="str">
            <v>No</v>
          </cell>
          <cell r="J575" t="str">
            <v>No</v>
          </cell>
          <cell r="K575">
            <v>0</v>
          </cell>
          <cell r="L575" t="str">
            <v>No</v>
          </cell>
          <cell r="M575">
            <v>0</v>
          </cell>
          <cell r="N575">
            <v>0</v>
          </cell>
        </row>
        <row r="576">
          <cell r="A576" t="str">
            <v>FU0574</v>
          </cell>
          <cell r="B576" t="str">
            <v>Fusteltecnica</v>
          </cell>
          <cell r="C576" t="str">
            <v>E15099</v>
          </cell>
          <cell r="D576" t="str">
            <v>Moretto</v>
          </cell>
          <cell r="E576" t="str">
            <v>Astucci frappe 12 buste</v>
          </cell>
          <cell r="F576" t="str">
            <v>BOBST 104</v>
          </cell>
          <cell r="G576">
            <v>4</v>
          </cell>
          <cell r="H576" t="str">
            <v>Si</v>
          </cell>
          <cell r="I576" t="str">
            <v>No</v>
          </cell>
          <cell r="J576" t="str">
            <v>No</v>
          </cell>
          <cell r="K576">
            <v>0</v>
          </cell>
          <cell r="L576" t="str">
            <v>Si</v>
          </cell>
          <cell r="M576" t="str">
            <v>Diana Pro 114</v>
          </cell>
          <cell r="N576" t="str">
            <v>Fondo Automatico</v>
          </cell>
        </row>
        <row r="577">
          <cell r="A577" t="str">
            <v>FU0575</v>
          </cell>
          <cell r="B577" t="str">
            <v>Fusteltecnica</v>
          </cell>
          <cell r="C577" t="str">
            <v>M04724</v>
          </cell>
          <cell r="D577" t="str">
            <v>Prontofoods</v>
          </cell>
          <cell r="E577" t="str">
            <v>Astucci zucchero di canna 1/2 kg</v>
          </cell>
          <cell r="F577" t="str">
            <v>BOBST 1260</v>
          </cell>
          <cell r="G577">
            <v>6</v>
          </cell>
          <cell r="H577" t="str">
            <v>Si</v>
          </cell>
          <cell r="I577" t="str">
            <v>Si</v>
          </cell>
          <cell r="J577" t="str">
            <v>No</v>
          </cell>
          <cell r="K577">
            <v>0</v>
          </cell>
          <cell r="L577" t="str">
            <v>Si</v>
          </cell>
          <cell r="M577" t="str">
            <v>DIana X80</v>
          </cell>
          <cell r="N577" t="str">
            <v>Lineare</v>
          </cell>
        </row>
        <row r="578">
          <cell r="A578" t="str">
            <v>FU0576</v>
          </cell>
          <cell r="B578" t="str">
            <v>Fusteltecnica</v>
          </cell>
          <cell r="C578" t="str">
            <v>M04717</v>
          </cell>
          <cell r="D578" t="str">
            <v>Pantytex</v>
          </cell>
          <cell r="E578" t="str">
            <v>Astucci divine dorso 3</v>
          </cell>
          <cell r="F578" t="str">
            <v>BOBST 1260</v>
          </cell>
          <cell r="G578">
            <v>5</v>
          </cell>
          <cell r="H578" t="str">
            <v>Si</v>
          </cell>
          <cell r="I578" t="str">
            <v>Si</v>
          </cell>
          <cell r="J578" t="str">
            <v>No</v>
          </cell>
          <cell r="K578">
            <v>0</v>
          </cell>
          <cell r="L578" t="str">
            <v>Si</v>
          </cell>
          <cell r="M578" t="str">
            <v>DIana X80</v>
          </cell>
          <cell r="N578" t="str">
            <v>Lineare</v>
          </cell>
        </row>
        <row r="579">
          <cell r="A579" t="str">
            <v>FU0577</v>
          </cell>
          <cell r="B579" t="str">
            <v>Fusteltecnica</v>
          </cell>
          <cell r="C579" t="str">
            <v>E04829</v>
          </cell>
          <cell r="D579" t="str">
            <v>Gandola</v>
          </cell>
          <cell r="E579" t="str">
            <v>Astucci pocy</v>
          </cell>
          <cell r="F579" t="str">
            <v>BOBST 1260</v>
          </cell>
          <cell r="G579">
            <v>6</v>
          </cell>
          <cell r="H579" t="str">
            <v>Si</v>
          </cell>
          <cell r="I579" t="str">
            <v>Si</v>
          </cell>
          <cell r="J579" t="str">
            <v>No</v>
          </cell>
          <cell r="K579">
            <v>0</v>
          </cell>
          <cell r="L579" t="str">
            <v>Si</v>
          </cell>
          <cell r="M579" t="str">
            <v>DIana X80</v>
          </cell>
          <cell r="N579" t="str">
            <v>Lineare</v>
          </cell>
        </row>
        <row r="580">
          <cell r="A580" t="str">
            <v>FU0578</v>
          </cell>
          <cell r="B580" t="str">
            <v>Fusteltecnica</v>
          </cell>
          <cell r="C580" t="str">
            <v>M01465</v>
          </cell>
          <cell r="D580" t="str">
            <v>Miva</v>
          </cell>
          <cell r="E580" t="str">
            <v xml:space="preserve">Astucci zip jet </v>
          </cell>
          <cell r="F580" t="str">
            <v>BOBST 1260</v>
          </cell>
          <cell r="G580">
            <v>6</v>
          </cell>
          <cell r="H580" t="str">
            <v>Si</v>
          </cell>
          <cell r="I580" t="str">
            <v>Si</v>
          </cell>
          <cell r="J580" t="str">
            <v>No</v>
          </cell>
          <cell r="K580">
            <v>0</v>
          </cell>
          <cell r="L580" t="str">
            <v>Si</v>
          </cell>
          <cell r="M580" t="str">
            <v>DIana X80</v>
          </cell>
          <cell r="N580" t="str">
            <v>Lineare</v>
          </cell>
        </row>
        <row r="581">
          <cell r="A581" t="str">
            <v>FU0579</v>
          </cell>
          <cell r="B581" t="str">
            <v>Lasercom</v>
          </cell>
          <cell r="C581" t="str">
            <v>Lomba253</v>
          </cell>
          <cell r="D581" t="str">
            <v>Love and Bra</v>
          </cell>
          <cell r="E581" t="str">
            <v>Scatole americane h 37</v>
          </cell>
          <cell r="F581" t="str">
            <v>BOBST 104</v>
          </cell>
          <cell r="G581">
            <v>6</v>
          </cell>
          <cell r="H581" t="str">
            <v>Si</v>
          </cell>
          <cell r="I581" t="str">
            <v>No</v>
          </cell>
          <cell r="J581" t="str">
            <v>No</v>
          </cell>
          <cell r="K581">
            <v>0</v>
          </cell>
          <cell r="L581" t="str">
            <v>Si</v>
          </cell>
          <cell r="M581" t="str">
            <v>Diana Pro 114</v>
          </cell>
          <cell r="N581" t="str">
            <v>Americana</v>
          </cell>
        </row>
        <row r="582">
          <cell r="A582" t="str">
            <v>FU0580</v>
          </cell>
          <cell r="B582" t="str">
            <v>Fusteltecnica</v>
          </cell>
          <cell r="C582" t="str">
            <v>E04921</v>
          </cell>
          <cell r="D582" t="str">
            <v>Isa</v>
          </cell>
          <cell r="E582" t="str">
            <v xml:space="preserve">Astucci disquared </v>
          </cell>
          <cell r="F582" t="str">
            <v>BOBST 104</v>
          </cell>
          <cell r="G582">
            <v>4</v>
          </cell>
          <cell r="H582" t="str">
            <v>Si</v>
          </cell>
          <cell r="I582" t="str">
            <v>No</v>
          </cell>
          <cell r="J582" t="str">
            <v>No</v>
          </cell>
          <cell r="K582">
            <v>0</v>
          </cell>
          <cell r="L582" t="str">
            <v>Si</v>
          </cell>
          <cell r="M582" t="str">
            <v>DIana X80</v>
          </cell>
          <cell r="N582" t="str">
            <v>Lineare</v>
          </cell>
        </row>
        <row r="583">
          <cell r="A583" t="str">
            <v>FU0581</v>
          </cell>
          <cell r="B583" t="str">
            <v>Fusteltecnica</v>
          </cell>
          <cell r="C583" t="str">
            <v>R05877</v>
          </cell>
          <cell r="D583" t="str">
            <v>Calzificio Italiano</v>
          </cell>
          <cell r="E583" t="str">
            <v xml:space="preserve">4 Angoli automatico Marcoliani </v>
          </cell>
          <cell r="F583" t="str">
            <v>BOBST 104</v>
          </cell>
          <cell r="G583">
            <v>4</v>
          </cell>
          <cell r="H583" t="str">
            <v>Si</v>
          </cell>
          <cell r="I583" t="str">
            <v>No</v>
          </cell>
          <cell r="J583" t="str">
            <v>No</v>
          </cell>
          <cell r="K583">
            <v>0</v>
          </cell>
          <cell r="L583" t="str">
            <v>Si</v>
          </cell>
          <cell r="M583" t="str">
            <v>Diana Pro 114</v>
          </cell>
          <cell r="N583" t="str">
            <v>Quattro angoli</v>
          </cell>
        </row>
        <row r="584">
          <cell r="A584" t="str">
            <v>FU0582</v>
          </cell>
          <cell r="B584" t="str">
            <v>Fusteltecnica</v>
          </cell>
          <cell r="C584" t="str">
            <v>M04762</v>
          </cell>
          <cell r="D584" t="str">
            <v>Magazzini del Caffè</v>
          </cell>
          <cell r="E584" t="str">
            <v>Astucci con griglie caffè mauro</v>
          </cell>
          <cell r="F584" t="str">
            <v>BOBST 104</v>
          </cell>
          <cell r="G584">
            <v>8</v>
          </cell>
          <cell r="H584" t="str">
            <v>Si</v>
          </cell>
          <cell r="I584" t="str">
            <v>No</v>
          </cell>
          <cell r="J584" t="str">
            <v>No</v>
          </cell>
          <cell r="K584">
            <v>0</v>
          </cell>
          <cell r="L584" t="str">
            <v>No</v>
          </cell>
          <cell r="M584">
            <v>0</v>
          </cell>
          <cell r="N584">
            <v>0</v>
          </cell>
        </row>
        <row r="585">
          <cell r="A585" t="str">
            <v>FU0583</v>
          </cell>
          <cell r="B585" t="str">
            <v>Fusteltecnica</v>
          </cell>
          <cell r="C585" t="str">
            <v>G12989</v>
          </cell>
          <cell r="D585" t="str">
            <v xml:space="preserve">Tradigo </v>
          </cell>
          <cell r="E585" t="str">
            <v xml:space="preserve">Astucci alzatacco </v>
          </cell>
          <cell r="F585" t="str">
            <v>BOBST 104</v>
          </cell>
          <cell r="G585">
            <v>6</v>
          </cell>
          <cell r="H585" t="str">
            <v>Si</v>
          </cell>
          <cell r="I585" t="str">
            <v>No</v>
          </cell>
          <cell r="J585" t="str">
            <v>No</v>
          </cell>
          <cell r="K585">
            <v>0</v>
          </cell>
          <cell r="L585" t="str">
            <v>Si</v>
          </cell>
          <cell r="M585" t="str">
            <v>DIana X80</v>
          </cell>
          <cell r="N585" t="str">
            <v>Lineare</v>
          </cell>
        </row>
        <row r="586">
          <cell r="A586" t="str">
            <v>FU0584</v>
          </cell>
          <cell r="B586" t="str">
            <v>Fusteltecnica</v>
          </cell>
          <cell r="C586" t="str">
            <v>E03428</v>
          </cell>
          <cell r="D586" t="str">
            <v>Isa</v>
          </cell>
          <cell r="E586" t="str">
            <v>Fondo DSQ h100</v>
          </cell>
          <cell r="F586" t="str">
            <v>BOBST 1260</v>
          </cell>
          <cell r="G586">
            <v>1</v>
          </cell>
          <cell r="H586" t="str">
            <v>Si</v>
          </cell>
          <cell r="I586" t="str">
            <v>Si</v>
          </cell>
          <cell r="J586" t="str">
            <v>No</v>
          </cell>
          <cell r="K586">
            <v>0</v>
          </cell>
          <cell r="L586" t="str">
            <v>Si</v>
          </cell>
          <cell r="M586" t="str">
            <v>Diana Pro 114</v>
          </cell>
          <cell r="N586" t="str">
            <v>Americana</v>
          </cell>
        </row>
        <row r="587">
          <cell r="A587" t="str">
            <v>FU0585</v>
          </cell>
          <cell r="B587" t="str">
            <v>Fusteltecnica</v>
          </cell>
          <cell r="C587" t="str">
            <v>A04286</v>
          </cell>
          <cell r="D587" t="str">
            <v>Gallo</v>
          </cell>
          <cell r="E587" t="str">
            <v>Inserti gallo foto</v>
          </cell>
          <cell r="F587" t="str">
            <v>BOBST 1260</v>
          </cell>
          <cell r="G587">
            <v>5</v>
          </cell>
          <cell r="H587" t="str">
            <v>Si</v>
          </cell>
          <cell r="I587" t="str">
            <v>Si</v>
          </cell>
          <cell r="J587" t="str">
            <v>No</v>
          </cell>
          <cell r="K587">
            <v>0</v>
          </cell>
          <cell r="L587" t="str">
            <v>No</v>
          </cell>
          <cell r="M587">
            <v>0</v>
          </cell>
          <cell r="N587">
            <v>0</v>
          </cell>
        </row>
        <row r="588">
          <cell r="A588" t="str">
            <v>FU0586</v>
          </cell>
          <cell r="B588" t="str">
            <v>Fusteltecnica</v>
          </cell>
          <cell r="C588" t="str">
            <v>M05252</v>
          </cell>
          <cell r="D588" t="str">
            <v>Pantytex</v>
          </cell>
          <cell r="E588" t="str">
            <v>Astucci divine d45</v>
          </cell>
          <cell r="F588" t="str">
            <v>BOBST 1260</v>
          </cell>
          <cell r="G588">
            <v>2</v>
          </cell>
          <cell r="H588" t="str">
            <v>Si</v>
          </cell>
          <cell r="I588" t="str">
            <v>Si</v>
          </cell>
          <cell r="J588" t="str">
            <v>No</v>
          </cell>
          <cell r="K588">
            <v>0</v>
          </cell>
          <cell r="L588" t="str">
            <v>Si</v>
          </cell>
          <cell r="M588" t="str">
            <v>DIana X80</v>
          </cell>
          <cell r="N588" t="str">
            <v>Lineare</v>
          </cell>
        </row>
        <row r="589">
          <cell r="A589" t="str">
            <v>FU0587</v>
          </cell>
          <cell r="B589" t="str">
            <v>Fusteltecnica</v>
          </cell>
          <cell r="C589" t="str">
            <v>R05890</v>
          </cell>
          <cell r="D589" t="str">
            <v>Pasta lensi</v>
          </cell>
          <cell r="E589" t="str">
            <v>Astucci kamut</v>
          </cell>
          <cell r="F589" t="str">
            <v>BOBST 1260</v>
          </cell>
          <cell r="G589">
            <v>4</v>
          </cell>
          <cell r="H589" t="str">
            <v>Si</v>
          </cell>
          <cell r="I589" t="str">
            <v>Si</v>
          </cell>
          <cell r="J589" t="str">
            <v>No</v>
          </cell>
          <cell r="K589">
            <v>0</v>
          </cell>
          <cell r="L589" t="str">
            <v>Si</v>
          </cell>
          <cell r="M589" t="str">
            <v>DIana X80</v>
          </cell>
          <cell r="N589" t="str">
            <v>Lineare</v>
          </cell>
        </row>
        <row r="590">
          <cell r="A590" t="str">
            <v>FU0588</v>
          </cell>
          <cell r="B590" t="str">
            <v>Fusteltecnica</v>
          </cell>
          <cell r="C590" t="str">
            <v>A04281</v>
          </cell>
          <cell r="D590" t="str">
            <v>Gelcream</v>
          </cell>
          <cell r="E590" t="str">
            <v>Astucci gelati</v>
          </cell>
          <cell r="F590" t="str">
            <v>BOBST 1260</v>
          </cell>
          <cell r="G590">
            <v>4</v>
          </cell>
          <cell r="H590" t="str">
            <v>Si</v>
          </cell>
          <cell r="I590" t="str">
            <v>Si</v>
          </cell>
          <cell r="J590" t="str">
            <v>No</v>
          </cell>
          <cell r="K590">
            <v>0</v>
          </cell>
          <cell r="L590" t="str">
            <v>No</v>
          </cell>
          <cell r="M590">
            <v>0</v>
          </cell>
          <cell r="N590">
            <v>0</v>
          </cell>
        </row>
        <row r="591">
          <cell r="A591" t="str">
            <v>FU0589</v>
          </cell>
          <cell r="B591" t="str">
            <v>Fusteltecnica</v>
          </cell>
          <cell r="C591" t="str">
            <v>E03790</v>
          </cell>
          <cell r="D591" t="str">
            <v>JBS</v>
          </cell>
          <cell r="E591" t="str">
            <v>Inserti laze</v>
          </cell>
          <cell r="F591" t="str">
            <v>BOBST 104</v>
          </cell>
          <cell r="G591">
            <v>6</v>
          </cell>
          <cell r="H591" t="str">
            <v>Si</v>
          </cell>
          <cell r="I591" t="str">
            <v>No</v>
          </cell>
          <cell r="J591" t="str">
            <v>No</v>
          </cell>
          <cell r="K591">
            <v>0</v>
          </cell>
          <cell r="L591" t="str">
            <v>No</v>
          </cell>
          <cell r="M591">
            <v>0</v>
          </cell>
          <cell r="N591">
            <v>0</v>
          </cell>
        </row>
        <row r="592">
          <cell r="A592" t="str">
            <v>FU0590</v>
          </cell>
          <cell r="B592" t="str">
            <v>Fusteltecnica</v>
          </cell>
          <cell r="C592" t="str">
            <v>R06030</v>
          </cell>
          <cell r="D592" t="str">
            <v>Love and Bra</v>
          </cell>
          <cell r="E592" t="str">
            <v>Astucci h100</v>
          </cell>
          <cell r="F592" t="str">
            <v>BOBST 1260</v>
          </cell>
          <cell r="G592">
            <v>4</v>
          </cell>
          <cell r="H592" t="str">
            <v>Si</v>
          </cell>
          <cell r="I592" t="str">
            <v>Si</v>
          </cell>
          <cell r="J592" t="str">
            <v>No</v>
          </cell>
          <cell r="K592">
            <v>0</v>
          </cell>
          <cell r="L592" t="str">
            <v>Si</v>
          </cell>
          <cell r="M592" t="str">
            <v>DIana X80</v>
          </cell>
          <cell r="N592" t="str">
            <v>Lineare</v>
          </cell>
        </row>
        <row r="593">
          <cell r="A593" t="str">
            <v>FU0591</v>
          </cell>
          <cell r="B593" t="str">
            <v>Fusteltecnica</v>
          </cell>
          <cell r="C593" t="str">
            <v>E01622</v>
          </cell>
          <cell r="D593" t="str">
            <v>Pantytex</v>
          </cell>
          <cell r="E593" t="str">
            <v>Astucci Amar</v>
          </cell>
          <cell r="F593" t="str">
            <v>BOBST 104</v>
          </cell>
          <cell r="G593">
            <v>5</v>
          </cell>
          <cell r="H593" t="str">
            <v>Si</v>
          </cell>
          <cell r="I593" t="str">
            <v>No</v>
          </cell>
          <cell r="J593" t="str">
            <v>No</v>
          </cell>
          <cell r="K593">
            <v>0</v>
          </cell>
          <cell r="L593" t="str">
            <v>Si</v>
          </cell>
          <cell r="M593" t="str">
            <v>DIana X80</v>
          </cell>
          <cell r="N593" t="str">
            <v>Lineare</v>
          </cell>
        </row>
        <row r="594">
          <cell r="A594" t="str">
            <v>FU0592</v>
          </cell>
          <cell r="B594" t="str">
            <v>Fusteltecnica</v>
          </cell>
          <cell r="C594" t="str">
            <v>M04791</v>
          </cell>
          <cell r="D594" t="str">
            <v>Tracy</v>
          </cell>
          <cell r="E594" t="str">
            <v>Appendini orchestra</v>
          </cell>
          <cell r="F594" t="str">
            <v>BOBST 1260</v>
          </cell>
          <cell r="G594">
            <v>8</v>
          </cell>
          <cell r="H594" t="str">
            <v>Si</v>
          </cell>
          <cell r="I594" t="str">
            <v>Si</v>
          </cell>
          <cell r="J594" t="str">
            <v>No</v>
          </cell>
          <cell r="K594">
            <v>0</v>
          </cell>
          <cell r="L594" t="str">
            <v>No</v>
          </cell>
          <cell r="M594">
            <v>0</v>
          </cell>
          <cell r="N594">
            <v>0</v>
          </cell>
        </row>
        <row r="595">
          <cell r="A595" t="str">
            <v>FU0593</v>
          </cell>
          <cell r="B595">
            <v>0</v>
          </cell>
          <cell r="C595" t="str">
            <v>-</v>
          </cell>
          <cell r="D595">
            <v>0</v>
          </cell>
          <cell r="E595">
            <v>0</v>
          </cell>
          <cell r="F595" t="str">
            <v>BOBST 104</v>
          </cell>
          <cell r="G595">
            <v>0</v>
          </cell>
          <cell r="H595" t="str">
            <v>Si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</row>
        <row r="596">
          <cell r="A596" t="str">
            <v>FU0594</v>
          </cell>
          <cell r="B596" t="str">
            <v>Lasercom</v>
          </cell>
          <cell r="C596" t="str">
            <v>Lomb204</v>
          </cell>
          <cell r="D596" t="str">
            <v>Pantytex</v>
          </cell>
          <cell r="E596" t="str">
            <v>Inserti gambaletto tchibo</v>
          </cell>
          <cell r="F596" t="str">
            <v>BOBST 1260</v>
          </cell>
          <cell r="G596">
            <v>12</v>
          </cell>
          <cell r="H596" t="str">
            <v>Si</v>
          </cell>
          <cell r="I596" t="str">
            <v>Si</v>
          </cell>
          <cell r="J596" t="str">
            <v>No</v>
          </cell>
          <cell r="K596">
            <v>0</v>
          </cell>
          <cell r="L596" t="str">
            <v>No</v>
          </cell>
          <cell r="M596">
            <v>0</v>
          </cell>
          <cell r="N596">
            <v>0</v>
          </cell>
        </row>
        <row r="597">
          <cell r="A597" t="str">
            <v>FU0595</v>
          </cell>
          <cell r="B597" t="str">
            <v>Fusteltecnica</v>
          </cell>
          <cell r="C597" t="str">
            <v>E05082</v>
          </cell>
          <cell r="D597" t="str">
            <v>Pantytex</v>
          </cell>
          <cell r="E597" t="str">
            <v>Appendini Divine D 25</v>
          </cell>
          <cell r="F597" t="str">
            <v>BOBST 104</v>
          </cell>
          <cell r="G597">
            <v>6</v>
          </cell>
          <cell r="H597" t="str">
            <v>Si</v>
          </cell>
          <cell r="I597" t="str">
            <v>No</v>
          </cell>
          <cell r="J597" t="str">
            <v>No</v>
          </cell>
          <cell r="K597">
            <v>0</v>
          </cell>
          <cell r="L597" t="str">
            <v>No</v>
          </cell>
          <cell r="M597">
            <v>0</v>
          </cell>
          <cell r="N597">
            <v>0</v>
          </cell>
        </row>
        <row r="598">
          <cell r="A598" t="str">
            <v>FU0596</v>
          </cell>
          <cell r="B598" t="str">
            <v>Fusteltecnica</v>
          </cell>
          <cell r="C598" t="str">
            <v>E05083</v>
          </cell>
          <cell r="D598" t="str">
            <v>Pantytex</v>
          </cell>
          <cell r="E598" t="str">
            <v>Appendini Divine D30</v>
          </cell>
          <cell r="F598" t="str">
            <v>BOBST 104</v>
          </cell>
          <cell r="G598">
            <v>6</v>
          </cell>
          <cell r="H598" t="str">
            <v>Si</v>
          </cell>
          <cell r="I598" t="str">
            <v>No</v>
          </cell>
          <cell r="J598" t="str">
            <v>No</v>
          </cell>
          <cell r="K598">
            <v>0</v>
          </cell>
          <cell r="L598" t="str">
            <v>No</v>
          </cell>
          <cell r="M598">
            <v>0</v>
          </cell>
          <cell r="N598">
            <v>0</v>
          </cell>
        </row>
        <row r="599">
          <cell r="A599" t="str">
            <v>FU0597</v>
          </cell>
          <cell r="B599" t="str">
            <v>Fusteltecnica</v>
          </cell>
          <cell r="C599" t="str">
            <v>E03427</v>
          </cell>
          <cell r="D599" t="str">
            <v>Isa</v>
          </cell>
          <cell r="E599" t="str">
            <v>Fondi DSQ h26</v>
          </cell>
          <cell r="F599" t="str">
            <v>BOBST 1260</v>
          </cell>
          <cell r="G599">
            <v>3</v>
          </cell>
          <cell r="H599" t="str">
            <v>Si</v>
          </cell>
          <cell r="I599" t="str">
            <v>Si</v>
          </cell>
          <cell r="J599" t="str">
            <v>No</v>
          </cell>
          <cell r="K599">
            <v>0</v>
          </cell>
          <cell r="L599" t="str">
            <v>Si</v>
          </cell>
          <cell r="M599" t="str">
            <v>Diana Pro 114</v>
          </cell>
          <cell r="N599" t="str">
            <v>Americana</v>
          </cell>
        </row>
        <row r="600">
          <cell r="A600" t="str">
            <v>FU0598</v>
          </cell>
          <cell r="B600" t="str">
            <v>Fusteltecnica</v>
          </cell>
          <cell r="C600" t="str">
            <v>A04356</v>
          </cell>
          <cell r="D600" t="str">
            <v>Pantytex</v>
          </cell>
          <cell r="E600" t="str">
            <v>Appendini La Halle Polya 5</v>
          </cell>
          <cell r="F600" t="str">
            <v>BOBST 104</v>
          </cell>
          <cell r="G600">
            <v>8</v>
          </cell>
          <cell r="H600" t="str">
            <v>Si</v>
          </cell>
          <cell r="I600" t="str">
            <v>No</v>
          </cell>
          <cell r="J600" t="str">
            <v>No</v>
          </cell>
          <cell r="K600">
            <v>0</v>
          </cell>
          <cell r="L600" t="str">
            <v>No</v>
          </cell>
          <cell r="M600">
            <v>0</v>
          </cell>
          <cell r="N600">
            <v>0</v>
          </cell>
        </row>
        <row r="601">
          <cell r="A601" t="str">
            <v>FU0599</v>
          </cell>
          <cell r="B601" t="str">
            <v>Fusteltecnica</v>
          </cell>
          <cell r="C601" t="str">
            <v>R06153</v>
          </cell>
          <cell r="D601" t="str">
            <v>Pantytex</v>
          </cell>
          <cell r="E601" t="str">
            <v>Buste divine</v>
          </cell>
          <cell r="F601" t="str">
            <v>BOBST 104</v>
          </cell>
          <cell r="G601">
            <v>4</v>
          </cell>
          <cell r="H601" t="str">
            <v>Si</v>
          </cell>
          <cell r="I601" t="str">
            <v>No</v>
          </cell>
          <cell r="J601" t="str">
            <v>No</v>
          </cell>
          <cell r="K601">
            <v>0</v>
          </cell>
          <cell r="L601" t="str">
            <v>Si</v>
          </cell>
          <cell r="M601" t="str">
            <v>Diana Pro 114</v>
          </cell>
          <cell r="N601" t="str">
            <v>Disco</v>
          </cell>
        </row>
        <row r="602">
          <cell r="A602" t="str">
            <v>FU0600</v>
          </cell>
          <cell r="B602" t="str">
            <v>Fusteltecnica</v>
          </cell>
          <cell r="C602" t="str">
            <v>R06157</v>
          </cell>
          <cell r="D602" t="str">
            <v>Pantytex</v>
          </cell>
          <cell r="E602" t="str">
            <v>Appendini fsc hema</v>
          </cell>
          <cell r="F602" t="str">
            <v>BOBST 104</v>
          </cell>
          <cell r="G602">
            <v>6</v>
          </cell>
          <cell r="H602" t="str">
            <v>Si</v>
          </cell>
          <cell r="I602" t="str">
            <v>No</v>
          </cell>
          <cell r="J602" t="str">
            <v>No</v>
          </cell>
          <cell r="K602">
            <v>0</v>
          </cell>
          <cell r="L602" t="str">
            <v>No</v>
          </cell>
          <cell r="M602">
            <v>0</v>
          </cell>
          <cell r="N602">
            <v>0</v>
          </cell>
        </row>
        <row r="603">
          <cell r="A603" t="str">
            <v>FU0601</v>
          </cell>
          <cell r="B603" t="str">
            <v>Fusteltecnica</v>
          </cell>
          <cell r="C603" t="str">
            <v>E05197</v>
          </cell>
          <cell r="D603" t="str">
            <v>Dolci</v>
          </cell>
          <cell r="E603" t="str">
            <v>Appendini noa noa / sneaky fox D30</v>
          </cell>
          <cell r="F603" t="str">
            <v>BOBST 104</v>
          </cell>
          <cell r="G603">
            <v>4</v>
          </cell>
          <cell r="H603" t="str">
            <v>Si</v>
          </cell>
          <cell r="I603" t="str">
            <v>No</v>
          </cell>
          <cell r="J603" t="str">
            <v>No</v>
          </cell>
          <cell r="K603">
            <v>0</v>
          </cell>
          <cell r="L603" t="str">
            <v>No</v>
          </cell>
          <cell r="M603">
            <v>0</v>
          </cell>
          <cell r="N603">
            <v>0</v>
          </cell>
        </row>
        <row r="604">
          <cell r="A604" t="str">
            <v>FU0602</v>
          </cell>
          <cell r="B604" t="str">
            <v>Fusteltecnica</v>
          </cell>
          <cell r="C604" t="str">
            <v>E05069</v>
          </cell>
          <cell r="D604" t="str">
            <v>Pantytex</v>
          </cell>
          <cell r="E604" t="str">
            <v>Astucci Divine D20</v>
          </cell>
          <cell r="F604" t="str">
            <v>BOBST 104</v>
          </cell>
          <cell r="G604">
            <v>8</v>
          </cell>
          <cell r="H604" t="str">
            <v>Si</v>
          </cell>
          <cell r="I604" t="str">
            <v>No</v>
          </cell>
          <cell r="J604" t="str">
            <v>No</v>
          </cell>
          <cell r="K604">
            <v>0</v>
          </cell>
          <cell r="L604" t="str">
            <v>Si</v>
          </cell>
          <cell r="M604" t="str">
            <v>DIana X80</v>
          </cell>
          <cell r="N604" t="str">
            <v>Lineare</v>
          </cell>
        </row>
        <row r="605">
          <cell r="A605" t="str">
            <v>FU0603</v>
          </cell>
          <cell r="B605" t="str">
            <v>Fusteltecnica</v>
          </cell>
          <cell r="C605" t="str">
            <v>E05125</v>
          </cell>
          <cell r="D605" t="str">
            <v>Pantytex</v>
          </cell>
          <cell r="E605" t="str">
            <v>Appendini lunghi tchibo</v>
          </cell>
          <cell r="F605" t="str">
            <v>BOBST 104</v>
          </cell>
          <cell r="G605">
            <v>4</v>
          </cell>
          <cell r="H605" t="str">
            <v>Si</v>
          </cell>
          <cell r="I605" t="str">
            <v>No</v>
          </cell>
          <cell r="J605" t="str">
            <v>No</v>
          </cell>
          <cell r="K605">
            <v>0</v>
          </cell>
          <cell r="L605" t="str">
            <v>No</v>
          </cell>
          <cell r="M605">
            <v>0</v>
          </cell>
          <cell r="N605">
            <v>0</v>
          </cell>
        </row>
        <row r="606">
          <cell r="A606" t="str">
            <v>FU0604</v>
          </cell>
          <cell r="B606" t="str">
            <v>Fusteltecnica</v>
          </cell>
          <cell r="C606" t="str">
            <v>M01715</v>
          </cell>
          <cell r="D606" t="str">
            <v>Vegas</v>
          </cell>
          <cell r="E606" t="str">
            <v>Astucci tecnosoft</v>
          </cell>
          <cell r="F606" t="str">
            <v>BOBST 1260</v>
          </cell>
          <cell r="G606">
            <v>3</v>
          </cell>
          <cell r="H606" t="str">
            <v>Si</v>
          </cell>
          <cell r="I606" t="str">
            <v>Si</v>
          </cell>
          <cell r="J606" t="str">
            <v>No</v>
          </cell>
          <cell r="K606">
            <v>0</v>
          </cell>
          <cell r="L606" t="str">
            <v>Si</v>
          </cell>
          <cell r="M606" t="str">
            <v>DIana X80</v>
          </cell>
          <cell r="N606" t="str">
            <v>Lineare</v>
          </cell>
        </row>
        <row r="607">
          <cell r="A607" t="str">
            <v>FU0605</v>
          </cell>
          <cell r="B607" t="str">
            <v>Fusteltecnica</v>
          </cell>
          <cell r="C607" t="str">
            <v>M04907</v>
          </cell>
          <cell r="D607" t="str">
            <v>Pantytex</v>
          </cell>
          <cell r="E607" t="str">
            <v>Appendini DM fascino</v>
          </cell>
          <cell r="F607" t="str">
            <v>BOBST 104</v>
          </cell>
          <cell r="G607">
            <v>4</v>
          </cell>
          <cell r="H607" t="str">
            <v>Si</v>
          </cell>
          <cell r="I607" t="str">
            <v>No</v>
          </cell>
          <cell r="J607" t="str">
            <v>No</v>
          </cell>
          <cell r="K607">
            <v>0</v>
          </cell>
          <cell r="L607" t="str">
            <v>No</v>
          </cell>
          <cell r="M607">
            <v>0</v>
          </cell>
          <cell r="N607">
            <v>0</v>
          </cell>
        </row>
        <row r="608">
          <cell r="A608" t="str">
            <v>FU0606</v>
          </cell>
          <cell r="B608" t="str">
            <v>Fusteltecnica</v>
          </cell>
          <cell r="C608" t="str">
            <v>R06156</v>
          </cell>
          <cell r="D608" t="str">
            <v>Pantytex</v>
          </cell>
          <cell r="E608" t="str">
            <v>Inserti fascino gambaletto</v>
          </cell>
          <cell r="F608" t="str">
            <v>BOBST 104</v>
          </cell>
          <cell r="G608">
            <v>4</v>
          </cell>
          <cell r="H608" t="str">
            <v>Si</v>
          </cell>
          <cell r="I608" t="str">
            <v>No</v>
          </cell>
          <cell r="J608" t="str">
            <v>No</v>
          </cell>
          <cell r="K608">
            <v>0</v>
          </cell>
          <cell r="L608" t="str">
            <v>No</v>
          </cell>
          <cell r="M608">
            <v>0</v>
          </cell>
          <cell r="N608">
            <v>0</v>
          </cell>
        </row>
        <row r="609">
          <cell r="A609" t="str">
            <v>FU0607</v>
          </cell>
          <cell r="B609" t="str">
            <v>Fusteltecnica</v>
          </cell>
          <cell r="C609" t="str">
            <v>E05196</v>
          </cell>
          <cell r="D609" t="str">
            <v>Pantytex</v>
          </cell>
          <cell r="E609" t="str">
            <v>Astucci hema H25</v>
          </cell>
          <cell r="F609" t="str">
            <v>BOBST 1260</v>
          </cell>
          <cell r="G609">
            <v>3</v>
          </cell>
          <cell r="H609" t="str">
            <v>Si</v>
          </cell>
          <cell r="I609" t="str">
            <v>Si</v>
          </cell>
          <cell r="J609" t="str">
            <v>No</v>
          </cell>
          <cell r="K609">
            <v>0</v>
          </cell>
          <cell r="L609" t="str">
            <v>Si</v>
          </cell>
          <cell r="M609" t="str">
            <v>DIana X80</v>
          </cell>
          <cell r="N609" t="str">
            <v>Lineare</v>
          </cell>
        </row>
        <row r="610">
          <cell r="A610" t="str">
            <v>FU0608</v>
          </cell>
          <cell r="B610" t="str">
            <v>Lasercom</v>
          </cell>
          <cell r="C610" t="str">
            <v>LOM31920</v>
          </cell>
          <cell r="D610" t="str">
            <v>Dolci</v>
          </cell>
          <cell r="E610" t="str">
            <v>Appendini dolci abbinati</v>
          </cell>
          <cell r="F610" t="str">
            <v>BOBST 1260</v>
          </cell>
          <cell r="G610">
            <v>6</v>
          </cell>
          <cell r="H610" t="str">
            <v>Si</v>
          </cell>
          <cell r="I610" t="str">
            <v>Si</v>
          </cell>
          <cell r="J610" t="str">
            <v>No</v>
          </cell>
          <cell r="K610">
            <v>0</v>
          </cell>
          <cell r="L610" t="str">
            <v>No</v>
          </cell>
          <cell r="M610">
            <v>0</v>
          </cell>
          <cell r="N610">
            <v>0</v>
          </cell>
        </row>
        <row r="611">
          <cell r="A611" t="str">
            <v>FU0609</v>
          </cell>
          <cell r="B611" t="str">
            <v>Lasercom</v>
          </cell>
          <cell r="C611" t="str">
            <v>Lomba398</v>
          </cell>
          <cell r="D611" t="str">
            <v>Tracy</v>
          </cell>
          <cell r="E611" t="str">
            <v>Inserti collant in linea</v>
          </cell>
          <cell r="F611" t="str">
            <v>BOBST 1260</v>
          </cell>
          <cell r="G611">
            <v>4</v>
          </cell>
          <cell r="H611" t="str">
            <v>Si</v>
          </cell>
          <cell r="I611" t="str">
            <v>Si</v>
          </cell>
          <cell r="J611" t="str">
            <v>No</v>
          </cell>
          <cell r="K611">
            <v>0</v>
          </cell>
          <cell r="L611" t="str">
            <v>No</v>
          </cell>
          <cell r="M611">
            <v>0</v>
          </cell>
          <cell r="N611">
            <v>0</v>
          </cell>
        </row>
        <row r="612">
          <cell r="A612" t="str">
            <v>FU0610</v>
          </cell>
          <cell r="B612" t="str">
            <v>Lasercom</v>
          </cell>
          <cell r="C612" t="str">
            <v>Lomba399</v>
          </cell>
          <cell r="D612" t="str">
            <v>Tracy</v>
          </cell>
          <cell r="E612" t="str">
            <v>Inserti gambaletto in linea</v>
          </cell>
          <cell r="F612" t="str">
            <v>BOBST 1260</v>
          </cell>
          <cell r="G612">
            <v>6</v>
          </cell>
          <cell r="H612" t="str">
            <v>Si</v>
          </cell>
          <cell r="I612" t="str">
            <v>Si</v>
          </cell>
          <cell r="J612" t="str">
            <v>No</v>
          </cell>
          <cell r="K612">
            <v>0</v>
          </cell>
          <cell r="L612" t="str">
            <v>No</v>
          </cell>
          <cell r="M612">
            <v>0</v>
          </cell>
          <cell r="N612">
            <v>0</v>
          </cell>
        </row>
        <row r="613">
          <cell r="A613" t="str">
            <v>FU0611</v>
          </cell>
          <cell r="B613" t="str">
            <v>Lasercom</v>
          </cell>
          <cell r="C613" t="str">
            <v>Lomba314</v>
          </cell>
          <cell r="D613" t="str">
            <v>Dolci</v>
          </cell>
          <cell r="E613" t="str">
            <v>Astucci ganni</v>
          </cell>
          <cell r="F613" t="str">
            <v>BOBST 1260</v>
          </cell>
          <cell r="G613">
            <v>4</v>
          </cell>
          <cell r="H613" t="str">
            <v>Si</v>
          </cell>
          <cell r="I613" t="str">
            <v>Si</v>
          </cell>
          <cell r="J613" t="str">
            <v>No</v>
          </cell>
          <cell r="K613">
            <v>0</v>
          </cell>
          <cell r="L613" t="str">
            <v>Si</v>
          </cell>
          <cell r="M613" t="str">
            <v>DIana X80</v>
          </cell>
          <cell r="N613" t="str">
            <v>Lineare</v>
          </cell>
        </row>
        <row r="614">
          <cell r="A614" t="str">
            <v>FU0612</v>
          </cell>
          <cell r="B614" t="str">
            <v>Fusteltecnica</v>
          </cell>
          <cell r="C614" t="str">
            <v>A04348</v>
          </cell>
          <cell r="D614" t="str">
            <v>Coop Cartai</v>
          </cell>
          <cell r="E614" t="str">
            <v>Vassoi Alimentari</v>
          </cell>
          <cell r="F614" t="str">
            <v>BOBST 104</v>
          </cell>
          <cell r="G614">
            <v>18</v>
          </cell>
          <cell r="H614" t="str">
            <v>Si</v>
          </cell>
          <cell r="I614" t="str">
            <v>No</v>
          </cell>
          <cell r="J614" t="str">
            <v>No</v>
          </cell>
          <cell r="K614">
            <v>0</v>
          </cell>
          <cell r="L614" t="str">
            <v>No</v>
          </cell>
          <cell r="M614">
            <v>0</v>
          </cell>
          <cell r="N614">
            <v>0</v>
          </cell>
        </row>
        <row r="615">
          <cell r="A615" t="str">
            <v>FU0613</v>
          </cell>
          <cell r="B615" t="str">
            <v>Fusteltecnica</v>
          </cell>
          <cell r="C615" t="str">
            <v>M04947</v>
          </cell>
          <cell r="D615" t="str">
            <v>Girardi</v>
          </cell>
          <cell r="E615" t="str">
            <v>Inserti argento</v>
          </cell>
          <cell r="F615" t="str">
            <v>BOBST 104</v>
          </cell>
          <cell r="G615">
            <v>4</v>
          </cell>
          <cell r="H615" t="str">
            <v>Si</v>
          </cell>
          <cell r="I615" t="str">
            <v>No</v>
          </cell>
          <cell r="J615" t="str">
            <v>No</v>
          </cell>
          <cell r="K615">
            <v>0</v>
          </cell>
          <cell r="L615" t="str">
            <v>No</v>
          </cell>
          <cell r="M615">
            <v>0</v>
          </cell>
          <cell r="N615">
            <v>0</v>
          </cell>
        </row>
        <row r="616">
          <cell r="A616" t="str">
            <v>FU0614</v>
          </cell>
          <cell r="B616" t="str">
            <v>Lasercom</v>
          </cell>
          <cell r="C616" t="str">
            <v>Lomba615</v>
          </cell>
          <cell r="D616" t="str">
            <v>Movi</v>
          </cell>
          <cell r="E616" t="str">
            <v>Abbinato movi minou</v>
          </cell>
          <cell r="F616" t="str">
            <v>BOBST 104</v>
          </cell>
          <cell r="G616">
            <v>8</v>
          </cell>
          <cell r="H616" t="str">
            <v>Si</v>
          </cell>
          <cell r="I616" t="str">
            <v>No</v>
          </cell>
          <cell r="J616" t="str">
            <v>No</v>
          </cell>
          <cell r="K616">
            <v>0</v>
          </cell>
          <cell r="L616" t="str">
            <v>Si</v>
          </cell>
          <cell r="M616" t="str">
            <v>DIana X80</v>
          </cell>
          <cell r="N616" t="str">
            <v>Lineare</v>
          </cell>
        </row>
        <row r="617">
          <cell r="A617" t="str">
            <v>FU0615</v>
          </cell>
          <cell r="B617" t="str">
            <v>Fusteltecnica</v>
          </cell>
          <cell r="C617" t="str">
            <v>A04444</v>
          </cell>
          <cell r="D617" t="str">
            <v>Rcm</v>
          </cell>
          <cell r="E617" t="str">
            <v>Astucci Nee Abbinati</v>
          </cell>
          <cell r="F617" t="str">
            <v>BOBST 104</v>
          </cell>
          <cell r="G617">
            <v>13</v>
          </cell>
          <cell r="H617" t="str">
            <v>Si</v>
          </cell>
          <cell r="I617" t="str">
            <v>No</v>
          </cell>
          <cell r="J617" t="str">
            <v>No</v>
          </cell>
          <cell r="K617">
            <v>0</v>
          </cell>
          <cell r="L617" t="str">
            <v>Si</v>
          </cell>
          <cell r="M617" t="str">
            <v>DIana X80</v>
          </cell>
          <cell r="N617" t="str">
            <v>Lineare</v>
          </cell>
        </row>
        <row r="618">
          <cell r="A618" t="str">
            <v>FU0616</v>
          </cell>
          <cell r="B618" t="str">
            <v>Fusteltecnica</v>
          </cell>
          <cell r="C618" t="str">
            <v>R02854</v>
          </cell>
          <cell r="D618" t="str">
            <v>JBS</v>
          </cell>
          <cell r="E618" t="str">
            <v>Buste Caroline Fleming gambaletto medium</v>
          </cell>
          <cell r="F618" t="str">
            <v>BOBST 1260</v>
          </cell>
          <cell r="G618">
            <v>6</v>
          </cell>
          <cell r="H618" t="str">
            <v>Si</v>
          </cell>
          <cell r="I618" t="str">
            <v>Si</v>
          </cell>
          <cell r="J618" t="str">
            <v>No</v>
          </cell>
          <cell r="K618">
            <v>0</v>
          </cell>
          <cell r="L618" t="str">
            <v>Si</v>
          </cell>
          <cell r="M618" t="str">
            <v>Diana Pro 114</v>
          </cell>
          <cell r="N618" t="str">
            <v>Soffietto</v>
          </cell>
        </row>
        <row r="619">
          <cell r="A619" t="str">
            <v>FU0617</v>
          </cell>
          <cell r="B619" t="str">
            <v>Fusteltecnica</v>
          </cell>
          <cell r="C619" t="str">
            <v>R06305</v>
          </cell>
          <cell r="D619" t="str">
            <v>Pantytex</v>
          </cell>
          <cell r="E619" t="str">
            <v>Appendini anni  rolfi abbinati aperti</v>
          </cell>
          <cell r="F619" t="str">
            <v>BOBST 104</v>
          </cell>
          <cell r="G619">
            <v>6</v>
          </cell>
          <cell r="H619" t="str">
            <v>Si</v>
          </cell>
          <cell r="I619" t="str">
            <v>No</v>
          </cell>
          <cell r="J619" t="str">
            <v>No</v>
          </cell>
          <cell r="K619">
            <v>0</v>
          </cell>
          <cell r="L619" t="str">
            <v>No</v>
          </cell>
          <cell r="M619">
            <v>0</v>
          </cell>
          <cell r="N619">
            <v>0</v>
          </cell>
        </row>
        <row r="620">
          <cell r="A620" t="str">
            <v>FU0618</v>
          </cell>
          <cell r="B620" t="str">
            <v>Fusteltecnica</v>
          </cell>
          <cell r="C620" t="str">
            <v>M0572L</v>
          </cell>
          <cell r="D620" t="str">
            <v>Magazzini del Caffè</v>
          </cell>
          <cell r="E620" t="str">
            <v>Astucci my lovely coffee</v>
          </cell>
          <cell r="F620" t="str">
            <v>BOBST 104</v>
          </cell>
          <cell r="G620">
            <v>6</v>
          </cell>
          <cell r="H620" t="str">
            <v>Si</v>
          </cell>
          <cell r="I620" t="str">
            <v>No</v>
          </cell>
          <cell r="J620" t="str">
            <v>No</v>
          </cell>
          <cell r="K620">
            <v>0</v>
          </cell>
          <cell r="L620" t="str">
            <v>Si</v>
          </cell>
          <cell r="M620" t="str">
            <v>Diana Pro 114</v>
          </cell>
          <cell r="N620" t="str">
            <v>Fondo Automatico</v>
          </cell>
        </row>
        <row r="621">
          <cell r="A621" t="str">
            <v>FU0619</v>
          </cell>
          <cell r="B621" t="str">
            <v>Lasercom</v>
          </cell>
          <cell r="C621" t="str">
            <v>Lomba618</v>
          </cell>
          <cell r="D621" t="str">
            <v>Pantytex</v>
          </cell>
          <cell r="E621" t="str">
            <v>Appenidini minou</v>
          </cell>
          <cell r="F621" t="str">
            <v>BOBST 1260</v>
          </cell>
          <cell r="G621">
            <v>8</v>
          </cell>
          <cell r="H621" t="str">
            <v>Si</v>
          </cell>
          <cell r="I621" t="str">
            <v>Si</v>
          </cell>
          <cell r="J621" t="str">
            <v>No</v>
          </cell>
          <cell r="K621">
            <v>0</v>
          </cell>
          <cell r="L621" t="str">
            <v>No</v>
          </cell>
          <cell r="M621">
            <v>0</v>
          </cell>
          <cell r="N621">
            <v>0</v>
          </cell>
        </row>
        <row r="622">
          <cell r="A622" t="str">
            <v>FU0620</v>
          </cell>
          <cell r="B622" t="str">
            <v>Fusteltecnica</v>
          </cell>
          <cell r="C622" t="str">
            <v>E14601</v>
          </cell>
          <cell r="D622" t="str">
            <v>Moretto</v>
          </cell>
          <cell r="E622" t="str">
            <v>Astucci colorati</v>
          </cell>
          <cell r="F622" t="str">
            <v>BOBST 1260</v>
          </cell>
          <cell r="G622">
            <v>2</v>
          </cell>
          <cell r="H622" t="str">
            <v>Si</v>
          </cell>
          <cell r="I622" t="str">
            <v>Si</v>
          </cell>
          <cell r="J622" t="str">
            <v>No</v>
          </cell>
          <cell r="K622">
            <v>0</v>
          </cell>
          <cell r="L622" t="str">
            <v>Si</v>
          </cell>
          <cell r="M622" t="str">
            <v>Diana Pro 114</v>
          </cell>
          <cell r="N622" t="str">
            <v>Fondo Automatico</v>
          </cell>
        </row>
        <row r="623">
          <cell r="A623" t="str">
            <v>FU0621</v>
          </cell>
          <cell r="B623" t="str">
            <v>Fusteltecnica</v>
          </cell>
          <cell r="C623" t="str">
            <v>M05030</v>
          </cell>
          <cell r="D623" t="str">
            <v>Rcm</v>
          </cell>
          <cell r="E623" t="str">
            <v>Astucci Nee Abbinati</v>
          </cell>
          <cell r="F623" t="str">
            <v>BOBST 104</v>
          </cell>
          <cell r="G623">
            <v>9</v>
          </cell>
          <cell r="H623" t="str">
            <v>Si</v>
          </cell>
          <cell r="I623" t="str">
            <v>No</v>
          </cell>
          <cell r="J623" t="str">
            <v>No</v>
          </cell>
          <cell r="K623">
            <v>0</v>
          </cell>
          <cell r="L623" t="str">
            <v>Si</v>
          </cell>
          <cell r="M623" t="str">
            <v>DIana X80</v>
          </cell>
          <cell r="N623" t="str">
            <v>Lineare</v>
          </cell>
        </row>
        <row r="624">
          <cell r="A624" t="str">
            <v>FU0622</v>
          </cell>
          <cell r="B624" t="str">
            <v>Fusteltecnica</v>
          </cell>
          <cell r="C624" t="str">
            <v>R06317</v>
          </cell>
          <cell r="D624" t="str">
            <v>Dolci</v>
          </cell>
          <cell r="E624" t="str">
            <v>Appendini Twilfit Abbinati</v>
          </cell>
          <cell r="F624" t="str">
            <v>BOBST 104</v>
          </cell>
          <cell r="G624">
            <v>3</v>
          </cell>
          <cell r="H624" t="str">
            <v>Si</v>
          </cell>
          <cell r="I624" t="str">
            <v>No</v>
          </cell>
          <cell r="J624" t="str">
            <v>No</v>
          </cell>
          <cell r="K624">
            <v>0</v>
          </cell>
          <cell r="L624" t="str">
            <v>No</v>
          </cell>
          <cell r="M624">
            <v>0</v>
          </cell>
          <cell r="N624">
            <v>0</v>
          </cell>
        </row>
        <row r="625">
          <cell r="A625" t="str">
            <v>FU0623</v>
          </cell>
          <cell r="B625" t="str">
            <v>Fusteltecnica</v>
          </cell>
          <cell r="C625" t="str">
            <v>M05017</v>
          </cell>
          <cell r="D625" t="str">
            <v>Calzificio Italiano</v>
          </cell>
          <cell r="E625" t="str">
            <v>Scatole automontanti</v>
          </cell>
          <cell r="F625" t="str">
            <v>BOBST 104</v>
          </cell>
          <cell r="G625">
            <v>2</v>
          </cell>
          <cell r="H625" t="str">
            <v>Si</v>
          </cell>
          <cell r="I625" t="str">
            <v>No</v>
          </cell>
          <cell r="J625" t="str">
            <v>No</v>
          </cell>
          <cell r="K625">
            <v>0</v>
          </cell>
          <cell r="L625" t="str">
            <v>No</v>
          </cell>
          <cell r="M625">
            <v>0</v>
          </cell>
          <cell r="N625">
            <v>0</v>
          </cell>
        </row>
        <row r="626">
          <cell r="A626" t="str">
            <v>FU0624</v>
          </cell>
          <cell r="B626" t="str">
            <v>Fusteltecnica</v>
          </cell>
          <cell r="C626" t="str">
            <v>M05045</v>
          </cell>
          <cell r="D626" t="str">
            <v>Magazzini del Caffè</v>
          </cell>
          <cell r="E626" t="str">
            <v>Astucci julius main vecchi</v>
          </cell>
          <cell r="F626" t="str">
            <v>BOBST 104</v>
          </cell>
          <cell r="G626">
            <v>8</v>
          </cell>
          <cell r="H626" t="str">
            <v>Si</v>
          </cell>
          <cell r="I626" t="str">
            <v>No</v>
          </cell>
          <cell r="J626" t="str">
            <v>No</v>
          </cell>
          <cell r="K626">
            <v>0</v>
          </cell>
          <cell r="L626" t="str">
            <v>Si</v>
          </cell>
          <cell r="M626">
            <v>0</v>
          </cell>
          <cell r="N626" t="str">
            <v>Speciali</v>
          </cell>
        </row>
        <row r="627">
          <cell r="A627" t="str">
            <v>FU0625</v>
          </cell>
          <cell r="B627" t="str">
            <v>Fusteltecnica</v>
          </cell>
          <cell r="C627" t="str">
            <v>M05046</v>
          </cell>
          <cell r="D627" t="str">
            <v>Magazzini del Caffè</v>
          </cell>
          <cell r="E627" t="str">
            <v>Griglie astucci julius main vecchi</v>
          </cell>
          <cell r="F627" t="str">
            <v>BOBST 104</v>
          </cell>
          <cell r="G627">
            <v>9</v>
          </cell>
          <cell r="H627" t="str">
            <v>Si</v>
          </cell>
          <cell r="I627" t="str">
            <v>No</v>
          </cell>
          <cell r="J627" t="str">
            <v>No</v>
          </cell>
          <cell r="K627">
            <v>0</v>
          </cell>
          <cell r="L627" t="str">
            <v>No</v>
          </cell>
          <cell r="M627">
            <v>0</v>
          </cell>
          <cell r="N627">
            <v>0</v>
          </cell>
        </row>
        <row r="628">
          <cell r="A628" t="str">
            <v>FU0626</v>
          </cell>
          <cell r="B628" t="str">
            <v>Fusteltecnica</v>
          </cell>
          <cell r="C628" t="str">
            <v>M05016</v>
          </cell>
          <cell r="D628" t="str">
            <v>Quaranta</v>
          </cell>
          <cell r="E628" t="str">
            <v>Astucci torroncini</v>
          </cell>
          <cell r="F628" t="str">
            <v>BOBST 104</v>
          </cell>
          <cell r="G628">
            <v>4</v>
          </cell>
          <cell r="H628" t="str">
            <v>Si</v>
          </cell>
          <cell r="I628" t="str">
            <v>No</v>
          </cell>
          <cell r="J628" t="str">
            <v>No</v>
          </cell>
          <cell r="K628">
            <v>0</v>
          </cell>
          <cell r="L628" t="str">
            <v>Si</v>
          </cell>
          <cell r="M628">
            <v>0</v>
          </cell>
          <cell r="N628">
            <v>0</v>
          </cell>
        </row>
        <row r="629">
          <cell r="A629" t="str">
            <v>FU0627</v>
          </cell>
          <cell r="B629" t="str">
            <v>Fusteltecnica</v>
          </cell>
          <cell r="C629" t="str">
            <v>R06936</v>
          </cell>
          <cell r="D629" t="str">
            <v>Magazzini del Caffè</v>
          </cell>
          <cell r="E629" t="str">
            <v>Rilievo cialda pressogno mezzotaglio</v>
          </cell>
          <cell r="F629" t="str">
            <v>BOBST 104</v>
          </cell>
          <cell r="G629">
            <v>6</v>
          </cell>
          <cell r="H629" t="str">
            <v>No</v>
          </cell>
          <cell r="I629" t="str">
            <v>No</v>
          </cell>
          <cell r="J629" t="str">
            <v>No</v>
          </cell>
          <cell r="K629">
            <v>0</v>
          </cell>
          <cell r="L629" t="str">
            <v>No</v>
          </cell>
          <cell r="M629">
            <v>0</v>
          </cell>
          <cell r="N629">
            <v>0</v>
          </cell>
        </row>
        <row r="630">
          <cell r="A630" t="str">
            <v>FU0628</v>
          </cell>
          <cell r="B630" t="str">
            <v>Lasercom</v>
          </cell>
          <cell r="C630" t="str">
            <v>Lomba689</v>
          </cell>
          <cell r="D630" t="str">
            <v>Gallo</v>
          </cell>
          <cell r="E630" t="str">
            <v>Scatole Gallo Viola MA101577</v>
          </cell>
          <cell r="F630" t="str">
            <v>BOBST 1260</v>
          </cell>
          <cell r="G630">
            <v>2</v>
          </cell>
          <cell r="H630" t="str">
            <v>No</v>
          </cell>
          <cell r="I630" t="str">
            <v>Si</v>
          </cell>
          <cell r="J630" t="str">
            <v>No</v>
          </cell>
          <cell r="K630">
            <v>0</v>
          </cell>
          <cell r="L630" t="str">
            <v>Si</v>
          </cell>
          <cell r="M630">
            <v>0</v>
          </cell>
          <cell r="N630">
            <v>0</v>
          </cell>
        </row>
        <row r="631">
          <cell r="A631" t="str">
            <v>FU0629</v>
          </cell>
          <cell r="B631" t="str">
            <v>Fusteltecnica</v>
          </cell>
          <cell r="C631" t="str">
            <v>M05121</v>
          </cell>
          <cell r="D631" t="str">
            <v>Pantytex</v>
          </cell>
          <cell r="E631" t="str">
            <v>Abbinato la halle</v>
          </cell>
          <cell r="F631" t="str">
            <v>BOBST 1260</v>
          </cell>
          <cell r="G631">
            <v>6</v>
          </cell>
          <cell r="H631" t="str">
            <v>No</v>
          </cell>
          <cell r="I631" t="str">
            <v>Si</v>
          </cell>
          <cell r="J631" t="str">
            <v>No</v>
          </cell>
          <cell r="K631">
            <v>0</v>
          </cell>
          <cell r="L631" t="str">
            <v>No</v>
          </cell>
          <cell r="M631">
            <v>0</v>
          </cell>
          <cell r="N631">
            <v>0</v>
          </cell>
        </row>
        <row r="632">
          <cell r="A632" t="str">
            <v>FU0630</v>
          </cell>
          <cell r="B632" t="str">
            <v>Fusteltecnica</v>
          </cell>
          <cell r="C632" t="str">
            <v>R03648</v>
          </cell>
          <cell r="D632" t="str">
            <v>Pantytex</v>
          </cell>
          <cell r="E632" t="str">
            <v>Banderole hunkemoller</v>
          </cell>
          <cell r="F632" t="str">
            <v>BOBST 104</v>
          </cell>
          <cell r="G632">
            <v>4</v>
          </cell>
          <cell r="H632" t="str">
            <v>No</v>
          </cell>
          <cell r="I632" t="str">
            <v>No</v>
          </cell>
          <cell r="J632" t="str">
            <v>No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</row>
        <row r="633">
          <cell r="A633" t="str">
            <v>FU0631</v>
          </cell>
          <cell r="B633" t="str">
            <v>Fusteltecnica</v>
          </cell>
          <cell r="C633" t="str">
            <v>M05106</v>
          </cell>
          <cell r="D633" t="str">
            <v>Offel</v>
          </cell>
          <cell r="E633" t="str">
            <v>Scatole abbinate 1e 33e</v>
          </cell>
          <cell r="F633" t="str">
            <v>BOBST 104</v>
          </cell>
          <cell r="G633">
            <v>6</v>
          </cell>
          <cell r="H633" t="str">
            <v>Si</v>
          </cell>
          <cell r="I633" t="str">
            <v>No</v>
          </cell>
          <cell r="J633" t="str">
            <v>No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</row>
        <row r="634">
          <cell r="A634" t="str">
            <v>FU0632</v>
          </cell>
          <cell r="B634" t="str">
            <v>Fusteltecnica</v>
          </cell>
          <cell r="C634" t="str">
            <v>E13524</v>
          </cell>
          <cell r="D634" t="str">
            <v>Cooperativa Vitivi.</v>
          </cell>
          <cell r="E634" t="str">
            <v>Abbinato 1 + 2 bottiglie</v>
          </cell>
          <cell r="F634" t="str">
            <v>BOBST 1260</v>
          </cell>
          <cell r="G634">
            <v>2</v>
          </cell>
          <cell r="H634" t="str">
            <v>No</v>
          </cell>
          <cell r="I634" t="str">
            <v>Si</v>
          </cell>
          <cell r="J634" t="str">
            <v>No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</row>
        <row r="635">
          <cell r="A635" t="str">
            <v>FU0633</v>
          </cell>
          <cell r="B635" t="str">
            <v>Lasercom</v>
          </cell>
          <cell r="C635" t="str">
            <v>Lomba629</v>
          </cell>
          <cell r="D635" t="str">
            <v>Baggini</v>
          </cell>
          <cell r="E635" t="str">
            <v>Scatola americana fondo + coperchio</v>
          </cell>
          <cell r="F635" t="str">
            <v>BOBST 1260</v>
          </cell>
          <cell r="G635">
            <v>2</v>
          </cell>
          <cell r="H635" t="str">
            <v>No</v>
          </cell>
          <cell r="I635" t="str">
            <v>Si</v>
          </cell>
          <cell r="J635" t="str">
            <v>No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</row>
        <row r="636">
          <cell r="A636" t="str">
            <v>FU0634</v>
          </cell>
          <cell r="B636" t="str">
            <v>Fusteltecnica</v>
          </cell>
          <cell r="C636" t="str">
            <v>R01816</v>
          </cell>
          <cell r="D636" t="str">
            <v>D&amp;G</v>
          </cell>
          <cell r="E636" t="str">
            <v>Fasciette cioccolatini</v>
          </cell>
          <cell r="F636" t="str">
            <v>BOBST 1260</v>
          </cell>
          <cell r="G636">
            <v>4</v>
          </cell>
          <cell r="H636" t="str">
            <v>No</v>
          </cell>
          <cell r="I636" t="str">
            <v>Si</v>
          </cell>
          <cell r="J636" t="str">
            <v>No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</row>
        <row r="637">
          <cell r="A637" t="str">
            <v>FU0635</v>
          </cell>
          <cell r="B637" t="str">
            <v>Lasercom</v>
          </cell>
          <cell r="C637" t="str">
            <v>Lomb342n</v>
          </cell>
          <cell r="D637" t="str">
            <v>Regia</v>
          </cell>
          <cell r="E637" t="str">
            <v>Espositore Dyaguar</v>
          </cell>
          <cell r="F637" t="str">
            <v>BOBST 104</v>
          </cell>
          <cell r="G637">
            <v>1</v>
          </cell>
          <cell r="H637" t="str">
            <v>No</v>
          </cell>
          <cell r="I637" t="str">
            <v>No</v>
          </cell>
          <cell r="J637" t="str">
            <v>No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</row>
        <row r="638">
          <cell r="A638" t="str">
            <v>FU0636</v>
          </cell>
          <cell r="B638" t="str">
            <v>Fusteltecnica</v>
          </cell>
          <cell r="C638" t="str">
            <v>A04566</v>
          </cell>
          <cell r="D638" t="str">
            <v>Gallo</v>
          </cell>
          <cell r="E638" t="str">
            <v>Inserti gallo</v>
          </cell>
          <cell r="F638" t="str">
            <v>BOBST 104</v>
          </cell>
          <cell r="G638">
            <v>3</v>
          </cell>
          <cell r="H638" t="str">
            <v>No</v>
          </cell>
          <cell r="I638" t="str">
            <v>No</v>
          </cell>
          <cell r="J638" t="str">
            <v>No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</row>
        <row r="639">
          <cell r="A639" t="str">
            <v>FU0637</v>
          </cell>
          <cell r="B639" t="str">
            <v>Fusteltecnica</v>
          </cell>
          <cell r="C639" t="str">
            <v>E05430</v>
          </cell>
          <cell r="D639" t="str">
            <v>Love and Bra</v>
          </cell>
          <cell r="E639" t="str">
            <v>Espositore h37 natale</v>
          </cell>
          <cell r="F639" t="str">
            <v>BOBST 1260</v>
          </cell>
          <cell r="G639">
            <v>1</v>
          </cell>
          <cell r="H639" t="str">
            <v>No</v>
          </cell>
          <cell r="I639" t="str">
            <v>Si</v>
          </cell>
          <cell r="J639" t="str">
            <v>No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</row>
        <row r="640">
          <cell r="A640" t="str">
            <v>FU0638</v>
          </cell>
          <cell r="B640" t="str">
            <v>Lasercom</v>
          </cell>
          <cell r="C640" t="str">
            <v>Lomba631</v>
          </cell>
          <cell r="D640" t="str">
            <v>Pantytex</v>
          </cell>
          <cell r="E640" t="str">
            <v>Cartellini divine</v>
          </cell>
          <cell r="F640" t="str">
            <v>BOBST 104</v>
          </cell>
          <cell r="G640">
            <v>20</v>
          </cell>
          <cell r="H640" t="str">
            <v>No</v>
          </cell>
          <cell r="I640" t="str">
            <v>No</v>
          </cell>
          <cell r="J640" t="str">
            <v>No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</row>
        <row r="641">
          <cell r="A641" t="str">
            <v>FU0639</v>
          </cell>
          <cell r="B641" t="str">
            <v>Lasercom</v>
          </cell>
          <cell r="C641" t="str">
            <v>Lomba718</v>
          </cell>
          <cell r="D641" t="str">
            <v>CRM</v>
          </cell>
          <cell r="E641" t="str">
            <v>Tirelle adesive coop</v>
          </cell>
          <cell r="F641" t="str">
            <v>BOBST 1260</v>
          </cell>
          <cell r="G641">
            <v>9</v>
          </cell>
          <cell r="H641" t="str">
            <v>No</v>
          </cell>
          <cell r="I641" t="str">
            <v>Si</v>
          </cell>
          <cell r="J641" t="str">
            <v>No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</row>
        <row r="642">
          <cell r="A642" t="str">
            <v>FU0640</v>
          </cell>
          <cell r="B642" t="str">
            <v>Lasercom</v>
          </cell>
          <cell r="C642" t="str">
            <v>Lomb630n</v>
          </cell>
          <cell r="D642" t="str">
            <v>Konus</v>
          </cell>
          <cell r="E642" t="str">
            <v>Scatole konustex + cartellini</v>
          </cell>
          <cell r="F642" t="str">
            <v>BOBST 1260</v>
          </cell>
          <cell r="G642">
            <v>5</v>
          </cell>
          <cell r="H642" t="str">
            <v>Si</v>
          </cell>
          <cell r="I642" t="str">
            <v>Si</v>
          </cell>
          <cell r="J642" t="str">
            <v>No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</row>
        <row r="643">
          <cell r="A643" t="str">
            <v>FU0641</v>
          </cell>
          <cell r="B643" t="str">
            <v>Fusteltecnica</v>
          </cell>
          <cell r="C643" t="str">
            <v>M05117</v>
          </cell>
          <cell r="D643" t="str">
            <v>D&amp;G</v>
          </cell>
          <cell r="E643" t="str">
            <v>Coperchio legno panettone</v>
          </cell>
          <cell r="F643" t="str">
            <v>BOBST 104</v>
          </cell>
          <cell r="G643">
            <v>1</v>
          </cell>
          <cell r="H643" t="str">
            <v>No</v>
          </cell>
          <cell r="I643" t="str">
            <v>No</v>
          </cell>
          <cell r="J643" t="str">
            <v>No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</row>
        <row r="644">
          <cell r="A644" t="str">
            <v>FU0642</v>
          </cell>
          <cell r="B644" t="str">
            <v>Fusteltecnica</v>
          </cell>
          <cell r="C644" t="str">
            <v>M05118</v>
          </cell>
          <cell r="D644" t="str">
            <v>D&amp;G</v>
          </cell>
          <cell r="E644" t="str">
            <v>Fondo cemento panettone</v>
          </cell>
          <cell r="F644" t="str">
            <v>BOBST 104</v>
          </cell>
          <cell r="G644">
            <v>1</v>
          </cell>
          <cell r="H644" t="str">
            <v>No</v>
          </cell>
          <cell r="I644" t="str">
            <v>No</v>
          </cell>
          <cell r="J644" t="str">
            <v>No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</row>
        <row r="645">
          <cell r="A645" t="str">
            <v>FU0643</v>
          </cell>
          <cell r="B645" t="str">
            <v>Fusteltecnica</v>
          </cell>
          <cell r="C645" t="str">
            <v>M05116</v>
          </cell>
          <cell r="D645" t="str">
            <v>D&amp;G</v>
          </cell>
          <cell r="E645" t="str">
            <v>Anima nera interna panettone</v>
          </cell>
          <cell r="F645" t="str">
            <v>BOBST 104</v>
          </cell>
          <cell r="G645">
            <v>1</v>
          </cell>
          <cell r="H645" t="str">
            <v>No</v>
          </cell>
          <cell r="I645" t="str">
            <v>No</v>
          </cell>
          <cell r="J645" t="str">
            <v>No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</row>
        <row r="646">
          <cell r="A646" t="str">
            <v>FU0644</v>
          </cell>
          <cell r="B646" t="str">
            <v>Lasercom</v>
          </cell>
          <cell r="C646" t="str">
            <v>Lomba478</v>
          </cell>
          <cell r="D646" t="str">
            <v>Battaglio</v>
          </cell>
          <cell r="E646" t="str">
            <v>Fascette + Cavallotti Wolverart</v>
          </cell>
          <cell r="F646" t="str">
            <v>BOBST 1260</v>
          </cell>
          <cell r="G646">
            <v>12</v>
          </cell>
          <cell r="H646" t="str">
            <v>No</v>
          </cell>
          <cell r="I646" t="str">
            <v>Si</v>
          </cell>
          <cell r="J646" t="str">
            <v>No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</row>
        <row r="647">
          <cell r="A647" t="str">
            <v>FU0645</v>
          </cell>
          <cell r="B647" t="str">
            <v>Fusteltecnica</v>
          </cell>
          <cell r="C647" t="str">
            <v>A04558</v>
          </cell>
          <cell r="D647" t="str">
            <v>Rcm</v>
          </cell>
          <cell r="E647" t="str">
            <v>Astucci the color</v>
          </cell>
          <cell r="F647" t="str">
            <v>BOBST 104</v>
          </cell>
          <cell r="G647">
            <v>2</v>
          </cell>
          <cell r="H647" t="str">
            <v>No</v>
          </cell>
          <cell r="I647" t="str">
            <v>No</v>
          </cell>
          <cell r="J647" t="str">
            <v>No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</row>
        <row r="648">
          <cell r="A648" t="str">
            <v>FU0646</v>
          </cell>
          <cell r="B648" t="str">
            <v>Fusteltecnica</v>
          </cell>
          <cell r="C648" t="str">
            <v>R06522</v>
          </cell>
          <cell r="D648" t="str">
            <v>Dolci</v>
          </cell>
          <cell r="E648" t="str">
            <v>Appendini moa</v>
          </cell>
          <cell r="F648" t="str">
            <v>BOBST 104</v>
          </cell>
          <cell r="G648">
            <v>2</v>
          </cell>
          <cell r="H648" t="str">
            <v>No</v>
          </cell>
          <cell r="I648" t="str">
            <v>No</v>
          </cell>
          <cell r="J648" t="str">
            <v>No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</row>
        <row r="649">
          <cell r="A649" t="str">
            <v>FU0647</v>
          </cell>
          <cell r="B649" t="str">
            <v>Fusteltecnica</v>
          </cell>
          <cell r="C649" t="str">
            <v>E13647</v>
          </cell>
          <cell r="D649" t="str">
            <v>Euroseta</v>
          </cell>
          <cell r="E649" t="str">
            <v>Pochette renato balestra</v>
          </cell>
          <cell r="F649" t="str">
            <v>BOBST 1260</v>
          </cell>
          <cell r="G649">
            <v>2</v>
          </cell>
          <cell r="H649" t="str">
            <v>No</v>
          </cell>
          <cell r="I649" t="str">
            <v>Si</v>
          </cell>
          <cell r="J649" t="str">
            <v>No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</row>
        <row r="650">
          <cell r="A650" t="str">
            <v>FU0648</v>
          </cell>
          <cell r="B650" t="str">
            <v>Fusteltecnica</v>
          </cell>
          <cell r="C650" t="str">
            <v>E05453</v>
          </cell>
          <cell r="D650" t="str">
            <v>Pantytex</v>
          </cell>
          <cell r="E650" t="str">
            <v>Appendini we</v>
          </cell>
          <cell r="F650" t="str">
            <v>BOBST 1260</v>
          </cell>
          <cell r="G650">
            <v>3</v>
          </cell>
          <cell r="H650" t="str">
            <v>No</v>
          </cell>
          <cell r="I650" t="str">
            <v>Si</v>
          </cell>
          <cell r="J650" t="str">
            <v>No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</row>
        <row r="651">
          <cell r="A651" t="str">
            <v>FU0649</v>
          </cell>
          <cell r="B651" t="str">
            <v>Lasercom</v>
          </cell>
          <cell r="C651" t="str">
            <v>Lomba624</v>
          </cell>
          <cell r="D651" t="str">
            <v>Elettroplastica</v>
          </cell>
          <cell r="E651" t="str">
            <v>Scatole dr frey abbinate</v>
          </cell>
          <cell r="F651" t="str">
            <v>BOBST 104</v>
          </cell>
          <cell r="G651">
            <v>2</v>
          </cell>
          <cell r="H651" t="str">
            <v>Si</v>
          </cell>
          <cell r="I651" t="str">
            <v>No</v>
          </cell>
          <cell r="J651" t="str">
            <v>No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</row>
        <row r="652">
          <cell r="A652" t="str">
            <v>FU0650</v>
          </cell>
          <cell r="B652" t="str">
            <v>Fusteltecnica</v>
          </cell>
          <cell r="C652" t="str">
            <v>E05461</v>
          </cell>
          <cell r="D652" t="str">
            <v>Nuova Virgiliana</v>
          </cell>
          <cell r="E652" t="str">
            <v>Astucci lei</v>
          </cell>
          <cell r="F652" t="str">
            <v>BOBST 1260</v>
          </cell>
          <cell r="G652">
            <v>6</v>
          </cell>
          <cell r="H652" t="str">
            <v>Si</v>
          </cell>
          <cell r="I652" t="str">
            <v>Si</v>
          </cell>
          <cell r="J652" t="str">
            <v>No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</row>
        <row r="653">
          <cell r="A653" t="str">
            <v>FU0651</v>
          </cell>
          <cell r="B653" t="str">
            <v>Lasercom</v>
          </cell>
          <cell r="C653" t="str">
            <v>Lomba645</v>
          </cell>
          <cell r="D653" t="str">
            <v>Gallo</v>
          </cell>
          <cell r="E653" t="str">
            <v>Cavallotti gallo bordeaux</v>
          </cell>
          <cell r="F653" t="str">
            <v>BOBST 104</v>
          </cell>
          <cell r="G653">
            <v>12</v>
          </cell>
          <cell r="H653" t="str">
            <v>Si</v>
          </cell>
          <cell r="I653" t="str">
            <v>No</v>
          </cell>
          <cell r="J653" t="str">
            <v>No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</row>
        <row r="654">
          <cell r="A654" t="str">
            <v>FU0652</v>
          </cell>
          <cell r="B654" t="str">
            <v>Fusteltecnica</v>
          </cell>
          <cell r="C654" t="str">
            <v>A04568</v>
          </cell>
          <cell r="D654" t="str">
            <v>Pasta lensi</v>
          </cell>
          <cell r="E654" t="str">
            <v>Astucci spaghetti WD SH</v>
          </cell>
          <cell r="F654" t="str">
            <v>BOBST 1260</v>
          </cell>
          <cell r="G654">
            <v>8</v>
          </cell>
          <cell r="H654" t="str">
            <v>Si</v>
          </cell>
          <cell r="I654" t="str">
            <v>Si</v>
          </cell>
          <cell r="J654" t="str">
            <v>No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</row>
        <row r="655">
          <cell r="A655" t="str">
            <v>FU0653</v>
          </cell>
          <cell r="B655" t="str">
            <v>Fusteltecnica</v>
          </cell>
          <cell r="C655" t="str">
            <v>A04567</v>
          </cell>
          <cell r="D655" t="str">
            <v>Pasta lensi</v>
          </cell>
          <cell r="E655" t="str">
            <v>Astucci elbows WD SH</v>
          </cell>
          <cell r="F655" t="str">
            <v>BOBST 104</v>
          </cell>
          <cell r="G655">
            <v>6</v>
          </cell>
          <cell r="H655" t="str">
            <v>Si</v>
          </cell>
          <cell r="I655" t="str">
            <v>No</v>
          </cell>
          <cell r="J655" t="str">
            <v>No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</row>
        <row r="656">
          <cell r="A656" t="str">
            <v>FU0654</v>
          </cell>
          <cell r="B656" t="str">
            <v>Fusteltecnica</v>
          </cell>
          <cell r="C656" t="str">
            <v>M05172</v>
          </cell>
          <cell r="D656" t="str">
            <v>JBS</v>
          </cell>
          <cell r="E656" t="str">
            <v>Astucci intimo medi decoy</v>
          </cell>
          <cell r="F656" t="str">
            <v>BOBST 104</v>
          </cell>
          <cell r="G656">
            <v>4</v>
          </cell>
          <cell r="H656" t="str">
            <v>Si</v>
          </cell>
          <cell r="I656" t="str">
            <v>No</v>
          </cell>
          <cell r="J656" t="str">
            <v>No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</row>
        <row r="657">
          <cell r="A657" t="str">
            <v>FU0655</v>
          </cell>
          <cell r="B657" t="str">
            <v>Fusteltecnica</v>
          </cell>
          <cell r="C657" t="str">
            <v>M05171</v>
          </cell>
          <cell r="D657" t="str">
            <v>JBS</v>
          </cell>
          <cell r="E657" t="str">
            <v>Astucci intimo piccoli decoy</v>
          </cell>
          <cell r="F657" t="str">
            <v>BOBST 104</v>
          </cell>
          <cell r="G657">
            <v>4</v>
          </cell>
          <cell r="H657" t="str">
            <v>Si</v>
          </cell>
          <cell r="I657" t="str">
            <v>No</v>
          </cell>
          <cell r="J657" t="str">
            <v>No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</row>
        <row r="658">
          <cell r="A658" t="str">
            <v>FU0656</v>
          </cell>
          <cell r="B658" t="str">
            <v>Lasercom</v>
          </cell>
          <cell r="C658" t="str">
            <v>Lomba635</v>
          </cell>
          <cell r="D658" t="str">
            <v>O.Erre</v>
          </cell>
          <cell r="E658" t="str">
            <v>Scatola compact 100</v>
          </cell>
          <cell r="F658" t="str">
            <v>BOBST 1260</v>
          </cell>
          <cell r="G658">
            <v>2</v>
          </cell>
          <cell r="H658" t="str">
            <v>No</v>
          </cell>
          <cell r="I658" t="str">
            <v>Si</v>
          </cell>
          <cell r="J658" t="str">
            <v>No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</row>
        <row r="659">
          <cell r="A659" t="str">
            <v>FU0657</v>
          </cell>
          <cell r="B659" t="str">
            <v>Lasercom</v>
          </cell>
          <cell r="C659" t="str">
            <v>Lomba208</v>
          </cell>
          <cell r="D659" t="str">
            <v>Vegas</v>
          </cell>
          <cell r="E659" t="str">
            <v>Astucci ortopedici</v>
          </cell>
          <cell r="F659" t="str">
            <v>BOBST 1260</v>
          </cell>
          <cell r="G659">
            <v>4</v>
          </cell>
          <cell r="H659" t="str">
            <v>No</v>
          </cell>
          <cell r="I659" t="str">
            <v>Si</v>
          </cell>
          <cell r="J659" t="str">
            <v>No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</row>
        <row r="660">
          <cell r="A660" t="str">
            <v>FU0658</v>
          </cell>
          <cell r="B660" t="str">
            <v>Fusteltecnica</v>
          </cell>
          <cell r="C660" t="str">
            <v>M05730</v>
          </cell>
          <cell r="D660" t="str">
            <v>Gianferrari</v>
          </cell>
          <cell r="E660" t="str">
            <v>Scatole Tunnel Thunderball 2016</v>
          </cell>
          <cell r="F660" t="str">
            <v>BOBST 1260</v>
          </cell>
          <cell r="G660">
            <v>2</v>
          </cell>
          <cell r="H660" t="str">
            <v>No</v>
          </cell>
          <cell r="I660" t="str">
            <v>Si</v>
          </cell>
          <cell r="J660" t="str">
            <v>No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</row>
        <row r="661">
          <cell r="A661" t="str">
            <v>FU0659</v>
          </cell>
          <cell r="B661" t="str">
            <v>Lasercom</v>
          </cell>
          <cell r="C661" t="str">
            <v>Lomba636</v>
          </cell>
          <cell r="D661" t="str">
            <v>Battaglio</v>
          </cell>
          <cell r="E661" t="str">
            <v>Cavallotti 3 orsi ideafissa</v>
          </cell>
          <cell r="F661" t="str">
            <v>BOBST 1260</v>
          </cell>
          <cell r="G661">
            <v>16</v>
          </cell>
          <cell r="H661" t="str">
            <v>No</v>
          </cell>
          <cell r="I661" t="str">
            <v>Si</v>
          </cell>
          <cell r="J661" t="str">
            <v>No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</row>
        <row r="662">
          <cell r="A662" t="str">
            <v>FU0660</v>
          </cell>
          <cell r="B662" t="str">
            <v>Fusteltecnica</v>
          </cell>
          <cell r="C662" t="str">
            <v>M05193</v>
          </cell>
          <cell r="D662" t="str">
            <v>Ecobioalimentare</v>
          </cell>
          <cell r="E662" t="str">
            <v>Astucci budini ecobio</v>
          </cell>
          <cell r="F662" t="str">
            <v>BOBST 104</v>
          </cell>
          <cell r="G662">
            <v>4</v>
          </cell>
          <cell r="H662" t="str">
            <v>Si</v>
          </cell>
          <cell r="I662" t="str">
            <v>No</v>
          </cell>
          <cell r="J662" t="str">
            <v>No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</row>
        <row r="663">
          <cell r="A663" t="str">
            <v>FU0661</v>
          </cell>
          <cell r="B663" t="str">
            <v>Lasercom</v>
          </cell>
          <cell r="C663" t="str">
            <v>Lomba634</v>
          </cell>
          <cell r="D663" t="str">
            <v>Pantytex</v>
          </cell>
          <cell r="E663" t="str">
            <v>Tchibo Premaman</v>
          </cell>
          <cell r="F663" t="str">
            <v>BOBST 1260</v>
          </cell>
          <cell r="G663">
            <v>3</v>
          </cell>
          <cell r="H663" t="str">
            <v>No</v>
          </cell>
          <cell r="I663" t="str">
            <v>Si</v>
          </cell>
          <cell r="J663" t="str">
            <v>No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</row>
        <row r="664">
          <cell r="A664" t="str">
            <v>FU0662</v>
          </cell>
          <cell r="B664" t="str">
            <v>Lasercom</v>
          </cell>
          <cell r="C664" t="str">
            <v>Lomba638</v>
          </cell>
          <cell r="D664" t="str">
            <v>Pasta lensi</v>
          </cell>
          <cell r="E664" t="str">
            <v>Cavallotti Henji</v>
          </cell>
          <cell r="F664" t="str">
            <v>BOBST 104</v>
          </cell>
          <cell r="G664">
            <v>14</v>
          </cell>
          <cell r="H664" t="str">
            <v>No</v>
          </cell>
          <cell r="I664" t="str">
            <v>No</v>
          </cell>
          <cell r="J664" t="str">
            <v>No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</row>
        <row r="665">
          <cell r="A665" t="str">
            <v>FU0663</v>
          </cell>
          <cell r="B665" t="str">
            <v>Lasercom</v>
          </cell>
          <cell r="C665" t="str">
            <v>Lomba637</v>
          </cell>
          <cell r="D665" t="str">
            <v>Ecobioalimentare</v>
          </cell>
          <cell r="E665" t="str">
            <v>Espositori microlife</v>
          </cell>
          <cell r="F665" t="str">
            <v>BOBST 1260</v>
          </cell>
          <cell r="G665">
            <v>2</v>
          </cell>
          <cell r="H665" t="str">
            <v>No</v>
          </cell>
          <cell r="I665" t="str">
            <v>Si</v>
          </cell>
          <cell r="J665" t="str">
            <v>No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</row>
        <row r="666">
          <cell r="A666" t="str">
            <v>FU0664</v>
          </cell>
          <cell r="B666" t="str">
            <v>Fusteltecnica</v>
          </cell>
          <cell r="C666" t="str">
            <v>R00752</v>
          </cell>
          <cell r="D666" t="str">
            <v>Vegas</v>
          </cell>
          <cell r="E666" t="str">
            <v>Tunnel + fondello nexus pro</v>
          </cell>
          <cell r="F666" t="str">
            <v>BOBST 104</v>
          </cell>
          <cell r="G666">
            <v>2</v>
          </cell>
          <cell r="H666" t="str">
            <v>No</v>
          </cell>
          <cell r="I666" t="str">
            <v>No</v>
          </cell>
          <cell r="J666" t="str">
            <v>No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</row>
        <row r="667">
          <cell r="A667" t="str">
            <v>FU0665</v>
          </cell>
          <cell r="B667" t="str">
            <v>Fusteltecnica</v>
          </cell>
          <cell r="C667" t="str">
            <v>E05478</v>
          </cell>
          <cell r="D667" t="str">
            <v>JBS</v>
          </cell>
          <cell r="E667" t="str">
            <v>Astucci intimo grandi decoy</v>
          </cell>
          <cell r="F667" t="str">
            <v>BOBST 104</v>
          </cell>
          <cell r="G667">
            <v>2</v>
          </cell>
          <cell r="H667" t="str">
            <v>Si</v>
          </cell>
          <cell r="I667" t="str">
            <v>No</v>
          </cell>
          <cell r="J667" t="str">
            <v>No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</row>
        <row r="668">
          <cell r="A668" t="str">
            <v>FU0666</v>
          </cell>
          <cell r="B668" t="str">
            <v>Fusteltecnica</v>
          </cell>
          <cell r="C668" t="str">
            <v>A04621</v>
          </cell>
          <cell r="D668" t="str">
            <v>Valledoro</v>
          </cell>
          <cell r="E668" t="str">
            <v>Astucci zulu</v>
          </cell>
          <cell r="F668" t="str">
            <v>BOBST 104</v>
          </cell>
          <cell r="G668">
            <v>6</v>
          </cell>
          <cell r="H668" t="str">
            <v>Si</v>
          </cell>
          <cell r="I668" t="str">
            <v>No</v>
          </cell>
          <cell r="J668" t="str">
            <v>No</v>
          </cell>
          <cell r="K668">
            <v>0</v>
          </cell>
          <cell r="L668" t="str">
            <v>Si</v>
          </cell>
          <cell r="M668" t="str">
            <v>DIana X80</v>
          </cell>
          <cell r="N668" t="str">
            <v>Lineare</v>
          </cell>
        </row>
        <row r="669">
          <cell r="A669" t="str">
            <v>FU0667</v>
          </cell>
          <cell r="B669" t="str">
            <v>Fusteltecnica</v>
          </cell>
          <cell r="C669" t="str">
            <v>E05536</v>
          </cell>
          <cell r="D669" t="str">
            <v>Quaranta</v>
          </cell>
          <cell r="E669" t="str">
            <v>Cavallotti gioie</v>
          </cell>
          <cell r="F669" t="str">
            <v>BOBST 104</v>
          </cell>
          <cell r="G669">
            <v>7</v>
          </cell>
          <cell r="H669" t="str">
            <v>No</v>
          </cell>
          <cell r="I669" t="str">
            <v>No</v>
          </cell>
          <cell r="J669" t="str">
            <v>No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</row>
        <row r="670">
          <cell r="A670" t="str">
            <v>FU0668</v>
          </cell>
          <cell r="B670" t="str">
            <v>Lasercom</v>
          </cell>
          <cell r="C670" t="str">
            <v>Lomba640</v>
          </cell>
          <cell r="D670" t="str">
            <v>D&amp;G</v>
          </cell>
          <cell r="E670" t="str">
            <v>Astucci vasocottura</v>
          </cell>
          <cell r="F670" t="str">
            <v>BOBST 1260</v>
          </cell>
          <cell r="G670">
            <v>2</v>
          </cell>
          <cell r="H670" t="str">
            <v>No</v>
          </cell>
          <cell r="I670" t="str">
            <v>Si</v>
          </cell>
          <cell r="J670" t="str">
            <v>No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</row>
        <row r="671">
          <cell r="A671" t="str">
            <v>FU0669</v>
          </cell>
          <cell r="B671" t="str">
            <v>Fusteltecnica</v>
          </cell>
          <cell r="C671" t="str">
            <v>R06669</v>
          </cell>
          <cell r="D671" t="str">
            <v>Costa</v>
          </cell>
          <cell r="E671" t="str">
            <v>Abbinato appendini carrera</v>
          </cell>
          <cell r="F671" t="str">
            <v>BOBST 1260</v>
          </cell>
          <cell r="G671">
            <v>5</v>
          </cell>
          <cell r="H671" t="str">
            <v>No</v>
          </cell>
          <cell r="I671" t="str">
            <v>Si</v>
          </cell>
          <cell r="J671" t="str">
            <v>No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</row>
        <row r="672">
          <cell r="A672" t="str">
            <v>FU0670</v>
          </cell>
          <cell r="B672" t="str">
            <v>Fusteltecnica</v>
          </cell>
          <cell r="C672" t="str">
            <v>R06666</v>
          </cell>
          <cell r="D672" t="str">
            <v>Gallo</v>
          </cell>
          <cell r="E672" t="str">
            <v>Inserti gallo abbinati</v>
          </cell>
          <cell r="F672" t="str">
            <v>BOBST 1260</v>
          </cell>
          <cell r="G672">
            <v>3</v>
          </cell>
          <cell r="H672" t="str">
            <v>No</v>
          </cell>
          <cell r="I672" t="str">
            <v>Si</v>
          </cell>
          <cell r="J672" t="str">
            <v>No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</row>
        <row r="673">
          <cell r="A673" t="str">
            <v>FU0671</v>
          </cell>
          <cell r="B673" t="str">
            <v>Fusteltecnica</v>
          </cell>
          <cell r="C673" t="str">
            <v>R06628</v>
          </cell>
          <cell r="D673" t="str">
            <v>Coop Cartai</v>
          </cell>
          <cell r="E673" t="str">
            <v>Coperchi vaschette</v>
          </cell>
          <cell r="F673" t="str">
            <v>BOBST 104</v>
          </cell>
          <cell r="G673">
            <v>12</v>
          </cell>
          <cell r="H673" t="str">
            <v>Si</v>
          </cell>
          <cell r="I673" t="str">
            <v>No</v>
          </cell>
          <cell r="J673" t="str">
            <v>No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</row>
        <row r="674">
          <cell r="A674" t="str">
            <v>FU0672</v>
          </cell>
          <cell r="B674" t="str">
            <v>Fusteltecnica</v>
          </cell>
          <cell r="C674" t="str">
            <v>E07953</v>
          </cell>
          <cell r="D674" t="str">
            <v>Pasta lensi</v>
          </cell>
          <cell r="E674" t="str">
            <v>Astucci good &amp; gather Penne</v>
          </cell>
          <cell r="F674" t="str">
            <v>BOBST 104</v>
          </cell>
          <cell r="G674">
            <v>8</v>
          </cell>
          <cell r="H674" t="str">
            <v>Si</v>
          </cell>
          <cell r="I674" t="str">
            <v>No</v>
          </cell>
          <cell r="J674" t="str">
            <v>No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</row>
        <row r="675">
          <cell r="A675" t="str">
            <v>FU0673</v>
          </cell>
          <cell r="B675">
            <v>0</v>
          </cell>
          <cell r="C675" t="str">
            <v>-</v>
          </cell>
          <cell r="D675">
            <v>0</v>
          </cell>
          <cell r="E675">
            <v>0</v>
          </cell>
          <cell r="F675" t="str">
            <v>BOBST 104</v>
          </cell>
          <cell r="G675">
            <v>0</v>
          </cell>
          <cell r="H675" t="str">
            <v>Si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</row>
        <row r="676">
          <cell r="A676" t="str">
            <v>FU0674</v>
          </cell>
          <cell r="B676" t="str">
            <v>Fusteltecnica</v>
          </cell>
          <cell r="C676" t="str">
            <v>M05243</v>
          </cell>
          <cell r="D676" t="str">
            <v>Valledoro</v>
          </cell>
          <cell r="E676" t="str">
            <v>Astucci sungri</v>
          </cell>
          <cell r="F676" t="str">
            <v>BOBST 1260</v>
          </cell>
          <cell r="G676">
            <v>2</v>
          </cell>
          <cell r="H676" t="str">
            <v>Si</v>
          </cell>
          <cell r="I676" t="str">
            <v>Si</v>
          </cell>
          <cell r="J676" t="str">
            <v>No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</row>
        <row r="677">
          <cell r="A677" t="str">
            <v>FU0675</v>
          </cell>
          <cell r="B677" t="str">
            <v>Fusteltecnica</v>
          </cell>
          <cell r="C677" t="str">
            <v>R06670</v>
          </cell>
          <cell r="D677" t="str">
            <v>Rcm</v>
          </cell>
          <cell r="E677" t="str">
            <v>Mini expo</v>
          </cell>
          <cell r="F677" t="str">
            <v>BOBST 104</v>
          </cell>
          <cell r="G677">
            <v>7</v>
          </cell>
          <cell r="H677" t="str">
            <v>Si</v>
          </cell>
          <cell r="I677" t="str">
            <v>No</v>
          </cell>
          <cell r="J677" t="str">
            <v>No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</row>
        <row r="678">
          <cell r="A678" t="str">
            <v>FU0676</v>
          </cell>
          <cell r="B678" t="str">
            <v>Fusteltecnica</v>
          </cell>
          <cell r="C678" t="str">
            <v>R06690</v>
          </cell>
          <cell r="D678" t="str">
            <v>JBS</v>
          </cell>
          <cell r="E678" t="str">
            <v>Buste carolin fleming abbinate</v>
          </cell>
          <cell r="F678" t="str">
            <v>BOBST 104</v>
          </cell>
          <cell r="G678">
            <v>5</v>
          </cell>
          <cell r="H678" t="str">
            <v>Si</v>
          </cell>
          <cell r="I678" t="str">
            <v>No</v>
          </cell>
          <cell r="J678" t="str">
            <v>No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</row>
        <row r="679">
          <cell r="A679" t="str">
            <v>FU0677</v>
          </cell>
          <cell r="B679">
            <v>0</v>
          </cell>
          <cell r="C679" t="str">
            <v>-</v>
          </cell>
          <cell r="D679">
            <v>0</v>
          </cell>
          <cell r="E679">
            <v>0</v>
          </cell>
          <cell r="F679" t="str">
            <v>BOBST 104</v>
          </cell>
          <cell r="G679">
            <v>0</v>
          </cell>
          <cell r="H679" t="str">
            <v>Si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</row>
        <row r="680">
          <cell r="A680" t="str">
            <v>FU0678</v>
          </cell>
          <cell r="B680" t="str">
            <v>Fusteltecnica</v>
          </cell>
          <cell r="C680" t="str">
            <v>M05345</v>
          </cell>
          <cell r="D680" t="str">
            <v>Poli</v>
          </cell>
          <cell r="E680" t="str">
            <v>Astucci caffe poli</v>
          </cell>
          <cell r="F680" t="str">
            <v>BOBST 1260</v>
          </cell>
          <cell r="G680">
            <v>4</v>
          </cell>
          <cell r="H680" t="str">
            <v>Si</v>
          </cell>
          <cell r="I680" t="str">
            <v>Si</v>
          </cell>
          <cell r="J680" t="str">
            <v>No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</row>
        <row r="681">
          <cell r="A681" t="str">
            <v>FU0679</v>
          </cell>
          <cell r="B681" t="str">
            <v>Lasercom</v>
          </cell>
          <cell r="C681" t="str">
            <v>Lomb658</v>
          </cell>
          <cell r="D681" t="str">
            <v>Gerards</v>
          </cell>
          <cell r="E681" t="str">
            <v>Espositore gerrards</v>
          </cell>
          <cell r="F681" t="str">
            <v>BOBST 104</v>
          </cell>
          <cell r="G681">
            <v>1</v>
          </cell>
          <cell r="H681" t="str">
            <v>No</v>
          </cell>
          <cell r="I681" t="str">
            <v>No</v>
          </cell>
          <cell r="J681" t="str">
            <v>No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</row>
        <row r="682">
          <cell r="A682" t="str">
            <v>FU0680</v>
          </cell>
          <cell r="B682" t="str">
            <v>Fusteltecnica</v>
          </cell>
          <cell r="C682" t="str">
            <v>R06782</v>
          </cell>
          <cell r="D682" t="str">
            <v>Pasta lensi</v>
          </cell>
          <cell r="E682" t="str">
            <v>Astucci spaghetti conad / Kamut</v>
          </cell>
          <cell r="F682" t="str">
            <v>BOBST 1260</v>
          </cell>
          <cell r="G682">
            <v>8</v>
          </cell>
          <cell r="H682" t="str">
            <v>Si</v>
          </cell>
          <cell r="I682" t="str">
            <v>Si</v>
          </cell>
          <cell r="J682" t="str">
            <v>No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</row>
        <row r="683">
          <cell r="A683" t="str">
            <v>FU0681</v>
          </cell>
          <cell r="B683" t="str">
            <v>Fusteltecnica</v>
          </cell>
          <cell r="C683" t="str">
            <v>R06784</v>
          </cell>
          <cell r="D683" t="str">
            <v>Pasta lensi</v>
          </cell>
          <cell r="E683" t="str">
            <v>Astucci pasta corta conad</v>
          </cell>
          <cell r="F683" t="str">
            <v>BOBST 104</v>
          </cell>
          <cell r="G683">
            <v>4</v>
          </cell>
          <cell r="H683" t="str">
            <v>Si</v>
          </cell>
          <cell r="I683" t="str">
            <v>No</v>
          </cell>
          <cell r="J683" t="str">
            <v>No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</row>
        <row r="684">
          <cell r="A684" t="str">
            <v>FU0682</v>
          </cell>
          <cell r="B684" t="str">
            <v>Fusteltecnica</v>
          </cell>
          <cell r="C684" t="str">
            <v>E15369</v>
          </cell>
          <cell r="D684" t="str">
            <v>Movi</v>
          </cell>
          <cell r="E684" t="str">
            <v>Astucci shoe 50 ml</v>
          </cell>
          <cell r="F684" t="str">
            <v>BOBST 104</v>
          </cell>
          <cell r="G684">
            <v>10</v>
          </cell>
          <cell r="H684" t="str">
            <v>Si</v>
          </cell>
          <cell r="I684" t="str">
            <v>No</v>
          </cell>
          <cell r="J684" t="str">
            <v>No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</row>
        <row r="685">
          <cell r="A685" t="str">
            <v>FU0683</v>
          </cell>
          <cell r="B685" t="str">
            <v>Fusteltecnica</v>
          </cell>
          <cell r="C685" t="str">
            <v>M05249</v>
          </cell>
          <cell r="D685" t="str">
            <v>Konus</v>
          </cell>
          <cell r="E685" t="str">
            <v>Appendini konustex 2016</v>
          </cell>
          <cell r="F685" t="str">
            <v>BOBST 104</v>
          </cell>
          <cell r="G685">
            <v>4</v>
          </cell>
          <cell r="H685" t="str">
            <v>Si</v>
          </cell>
          <cell r="I685" t="str">
            <v>No</v>
          </cell>
          <cell r="J685" t="str">
            <v>No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</row>
        <row r="686">
          <cell r="A686" t="str">
            <v>FU0684</v>
          </cell>
          <cell r="B686" t="str">
            <v>Fusteltecnica</v>
          </cell>
          <cell r="C686" t="str">
            <v>R07042</v>
          </cell>
          <cell r="D686" t="str">
            <v>Magazzini del Caffè</v>
          </cell>
          <cell r="E686" t="str">
            <v>Astucci caffè astucciatrice automatica</v>
          </cell>
          <cell r="F686" t="str">
            <v>BOBST 104</v>
          </cell>
          <cell r="G686">
            <v>8</v>
          </cell>
          <cell r="H686" t="str">
            <v>Si</v>
          </cell>
          <cell r="I686" t="str">
            <v>No</v>
          </cell>
          <cell r="J686" t="str">
            <v>No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</row>
        <row r="687">
          <cell r="A687" t="str">
            <v>FU0685</v>
          </cell>
          <cell r="B687" t="str">
            <v>Fusteltecnica</v>
          </cell>
          <cell r="C687" t="str">
            <v>E05696</v>
          </cell>
          <cell r="D687" t="str">
            <v>Edo gelati</v>
          </cell>
          <cell r="E687" t="str">
            <v>Astucci gelati</v>
          </cell>
          <cell r="F687" t="str">
            <v>BOBST 1260</v>
          </cell>
          <cell r="G687">
            <v>2</v>
          </cell>
          <cell r="H687" t="str">
            <v>Si</v>
          </cell>
          <cell r="I687" t="str">
            <v>Si</v>
          </cell>
          <cell r="J687" t="str">
            <v>No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</row>
        <row r="688">
          <cell r="A688" t="str">
            <v>FU0686</v>
          </cell>
          <cell r="B688" t="str">
            <v>Fusteltecnica</v>
          </cell>
          <cell r="C688" t="str">
            <v>M05473</v>
          </cell>
          <cell r="D688" t="str">
            <v>Pasta lensi</v>
          </cell>
          <cell r="E688" t="str">
            <v>Astucci legumi dorso alto</v>
          </cell>
          <cell r="F688" t="str">
            <v>BOBST 104</v>
          </cell>
          <cell r="G688">
            <v>4</v>
          </cell>
          <cell r="H688" t="str">
            <v>Si</v>
          </cell>
          <cell r="I688" t="str">
            <v>No</v>
          </cell>
          <cell r="J688" t="str">
            <v>No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</row>
        <row r="689">
          <cell r="A689" t="str">
            <v>FU0687</v>
          </cell>
          <cell r="B689" t="str">
            <v>Fusteltecnica</v>
          </cell>
          <cell r="C689" t="str">
            <v>M05472</v>
          </cell>
          <cell r="D689" t="str">
            <v>Pasta lensi</v>
          </cell>
          <cell r="E689" t="str">
            <v>Astucci legumi dorso basso</v>
          </cell>
          <cell r="F689" t="str">
            <v>BOBST 104</v>
          </cell>
          <cell r="G689">
            <v>6</v>
          </cell>
          <cell r="H689" t="str">
            <v>Si</v>
          </cell>
          <cell r="I689" t="str">
            <v>No</v>
          </cell>
          <cell r="J689" t="str">
            <v>No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</row>
        <row r="690">
          <cell r="A690" t="str">
            <v>FU0688</v>
          </cell>
          <cell r="B690" t="str">
            <v>Fusteltecnica</v>
          </cell>
          <cell r="C690" t="str">
            <v>M05527</v>
          </cell>
          <cell r="D690" t="str">
            <v>Pantytex</v>
          </cell>
          <cell r="E690" t="str">
            <v>Buste Hema 2016</v>
          </cell>
          <cell r="F690" t="str">
            <v>BOBST 104</v>
          </cell>
          <cell r="G690">
            <v>7</v>
          </cell>
          <cell r="H690" t="str">
            <v>Si</v>
          </cell>
          <cell r="I690" t="str">
            <v>No</v>
          </cell>
          <cell r="J690" t="str">
            <v>No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</row>
        <row r="691">
          <cell r="A691" t="str">
            <v>FU0689</v>
          </cell>
          <cell r="B691" t="str">
            <v>Fusteltecnica</v>
          </cell>
          <cell r="C691" t="str">
            <v>M05538</v>
          </cell>
          <cell r="D691" t="str">
            <v>Vgm caffe</v>
          </cell>
          <cell r="E691" t="str">
            <v xml:space="preserve">Astucci The </v>
          </cell>
          <cell r="F691" t="str">
            <v>BOBST 1260</v>
          </cell>
          <cell r="G691">
            <v>4</v>
          </cell>
          <cell r="H691" t="str">
            <v>Si</v>
          </cell>
          <cell r="I691" t="str">
            <v>Si</v>
          </cell>
          <cell r="J691" t="str">
            <v>No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</row>
        <row r="692">
          <cell r="A692" t="str">
            <v>FU0690</v>
          </cell>
          <cell r="B692" t="str">
            <v>Fusteltecnica</v>
          </cell>
          <cell r="C692" t="str">
            <v>M05505</v>
          </cell>
          <cell r="D692" t="str">
            <v>Gelcream</v>
          </cell>
          <cell r="E692" t="str">
            <v>Astucci gelati formato piccolo</v>
          </cell>
          <cell r="F692" t="str">
            <v>BOBST 1260</v>
          </cell>
          <cell r="G692">
            <v>4</v>
          </cell>
          <cell r="H692" t="str">
            <v>Si</v>
          </cell>
          <cell r="I692" t="str">
            <v>Si</v>
          </cell>
          <cell r="J692" t="str">
            <v>No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</row>
        <row r="693">
          <cell r="A693" t="str">
            <v>FU0691</v>
          </cell>
          <cell r="B693" t="str">
            <v>Fusteltecnica</v>
          </cell>
          <cell r="C693" t="str">
            <v>R07047</v>
          </cell>
          <cell r="D693" t="str">
            <v>Pantytex</v>
          </cell>
          <cell r="E693" t="str">
            <v>Astucci 2x con gancio</v>
          </cell>
          <cell r="F693" t="str">
            <v>BOBST 104</v>
          </cell>
          <cell r="G693">
            <v>6</v>
          </cell>
          <cell r="H693" t="str">
            <v>Si</v>
          </cell>
          <cell r="I693" t="str">
            <v>No</v>
          </cell>
          <cell r="J693" t="str">
            <v>No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</row>
        <row r="694">
          <cell r="A694" t="str">
            <v>FU0692</v>
          </cell>
          <cell r="B694" t="str">
            <v>Fusteltecnica</v>
          </cell>
          <cell r="C694" t="str">
            <v>R07148</v>
          </cell>
          <cell r="D694" t="str">
            <v>Pantytex</v>
          </cell>
          <cell r="E694" t="str">
            <v>Fascetta Hema To Go</v>
          </cell>
          <cell r="F694" t="str">
            <v>BOBST 104</v>
          </cell>
          <cell r="G694">
            <v>10</v>
          </cell>
          <cell r="H694" t="str">
            <v>Si</v>
          </cell>
          <cell r="I694" t="str">
            <v>No</v>
          </cell>
          <cell r="J694" t="str">
            <v>No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</row>
        <row r="695">
          <cell r="A695" t="str">
            <v>FU0693</v>
          </cell>
          <cell r="B695" t="str">
            <v>Fusteltecnica</v>
          </cell>
          <cell r="C695" t="str">
            <v>E05834</v>
          </cell>
          <cell r="D695" t="str">
            <v>Quaranta</v>
          </cell>
          <cell r="E695" t="str">
            <v>Fascette Nougat d33</v>
          </cell>
          <cell r="F695" t="str">
            <v>BOBST 104</v>
          </cell>
          <cell r="G695">
            <v>16</v>
          </cell>
          <cell r="H695" t="str">
            <v>Si</v>
          </cell>
          <cell r="I695" t="str">
            <v>No</v>
          </cell>
          <cell r="J695" t="str">
            <v>No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</row>
        <row r="696">
          <cell r="A696" t="str">
            <v>FU0694</v>
          </cell>
          <cell r="B696" t="str">
            <v>Lasercom</v>
          </cell>
          <cell r="C696" t="str">
            <v>Lomb679N</v>
          </cell>
          <cell r="D696" t="str">
            <v>Pantytex</v>
          </cell>
          <cell r="E696" t="str">
            <v>Inserti CA resa 8</v>
          </cell>
          <cell r="F696" t="str">
            <v>BOBST 1260</v>
          </cell>
          <cell r="G696">
            <v>8</v>
          </cell>
          <cell r="H696" t="str">
            <v>Si</v>
          </cell>
          <cell r="I696" t="str">
            <v>Si</v>
          </cell>
          <cell r="J696" t="str">
            <v>No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</row>
        <row r="697">
          <cell r="A697" t="str">
            <v>FU0695</v>
          </cell>
          <cell r="B697" t="str">
            <v>Fusteltecnica</v>
          </cell>
          <cell r="C697" t="str">
            <v>M06072</v>
          </cell>
          <cell r="D697" t="str">
            <v>Pantytex</v>
          </cell>
          <cell r="E697" t="str">
            <v>Astucci europrofit</v>
          </cell>
          <cell r="F697" t="str">
            <v>BOBST 104</v>
          </cell>
          <cell r="G697">
            <v>4</v>
          </cell>
          <cell r="H697" t="str">
            <v>Si</v>
          </cell>
          <cell r="I697" t="str">
            <v>No</v>
          </cell>
          <cell r="J697" t="str">
            <v>No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</row>
        <row r="698">
          <cell r="A698" t="str">
            <v>FU0696</v>
          </cell>
          <cell r="B698" t="str">
            <v>Fusteltecnica</v>
          </cell>
          <cell r="C698" t="str">
            <v>R07131</v>
          </cell>
          <cell r="D698" t="str">
            <v>Girardi</v>
          </cell>
          <cell r="E698" t="str">
            <v>Inserti Girardi 2016</v>
          </cell>
          <cell r="F698" t="str">
            <v>BOBST 104</v>
          </cell>
          <cell r="G698">
            <v>8</v>
          </cell>
          <cell r="H698" t="str">
            <v>Si</v>
          </cell>
          <cell r="I698" t="str">
            <v>No</v>
          </cell>
          <cell r="J698" t="str">
            <v>No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</row>
        <row r="699">
          <cell r="A699" t="str">
            <v>FU0697</v>
          </cell>
          <cell r="B699" t="str">
            <v>Lasercom</v>
          </cell>
          <cell r="C699" t="str">
            <v>Lomba675</v>
          </cell>
          <cell r="D699" t="str">
            <v>Art Caffe</v>
          </cell>
          <cell r="E699" t="str">
            <v>Astucci Capsule abbinati</v>
          </cell>
          <cell r="F699" t="str">
            <v>BOBST 1260</v>
          </cell>
          <cell r="G699">
            <v>4</v>
          </cell>
          <cell r="H699" t="str">
            <v>No</v>
          </cell>
          <cell r="I699" t="str">
            <v>Si</v>
          </cell>
          <cell r="J699" t="str">
            <v>No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</row>
        <row r="700">
          <cell r="A700" t="str">
            <v>FU0698</v>
          </cell>
          <cell r="B700" t="str">
            <v>Lasercom</v>
          </cell>
          <cell r="C700" t="str">
            <v>Lomba684</v>
          </cell>
          <cell r="D700" t="str">
            <v>Tracy</v>
          </cell>
          <cell r="E700" t="str">
            <v>Appendini premaman 2016</v>
          </cell>
          <cell r="F700" t="str">
            <v>BOBST 1260</v>
          </cell>
          <cell r="G700">
            <v>6</v>
          </cell>
          <cell r="H700" t="str">
            <v>No</v>
          </cell>
          <cell r="I700" t="str">
            <v>Si</v>
          </cell>
          <cell r="J700" t="str">
            <v>No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</row>
        <row r="701">
          <cell r="A701" t="str">
            <v>FU0699</v>
          </cell>
          <cell r="B701" t="str">
            <v>Fusteltecnica</v>
          </cell>
          <cell r="C701" t="str">
            <v>M05657</v>
          </cell>
          <cell r="D701" t="str">
            <v>Magazzini del Caffè</v>
          </cell>
          <cell r="E701" t="str">
            <v>Expo tubino</v>
          </cell>
          <cell r="F701" t="str">
            <v>BOBST 1260</v>
          </cell>
          <cell r="G701">
            <v>1</v>
          </cell>
          <cell r="H701" t="str">
            <v>No</v>
          </cell>
          <cell r="I701" t="str">
            <v>Si</v>
          </cell>
          <cell r="J701" t="str">
            <v>No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</row>
        <row r="702">
          <cell r="A702" t="str">
            <v>FU0700</v>
          </cell>
          <cell r="B702" t="str">
            <v>Fusteltecnica</v>
          </cell>
          <cell r="C702" t="str">
            <v>R07253</v>
          </cell>
          <cell r="D702" t="str">
            <v>JBS</v>
          </cell>
          <cell r="E702" t="str">
            <v>Buste Decoy</v>
          </cell>
          <cell r="F702" t="str">
            <v>BOBST 1260</v>
          </cell>
          <cell r="G702">
            <v>4</v>
          </cell>
          <cell r="H702" t="str">
            <v>No</v>
          </cell>
          <cell r="I702" t="str">
            <v>Si</v>
          </cell>
          <cell r="J702" t="str">
            <v>No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</row>
        <row r="703">
          <cell r="A703" t="str">
            <v>FU0701</v>
          </cell>
          <cell r="B703" t="str">
            <v>Fusteltecnica</v>
          </cell>
          <cell r="C703" t="str">
            <v>R07149</v>
          </cell>
          <cell r="D703" t="str">
            <v>Pantytex</v>
          </cell>
          <cell r="E703" t="str">
            <v>Appendini polya 1 2016</v>
          </cell>
          <cell r="F703" t="str">
            <v>BOBST 104</v>
          </cell>
          <cell r="G703">
            <v>12</v>
          </cell>
          <cell r="H703" t="str">
            <v>Si</v>
          </cell>
          <cell r="I703" t="str">
            <v>No</v>
          </cell>
          <cell r="J703" t="str">
            <v>No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</row>
        <row r="704">
          <cell r="A704" t="str">
            <v>FU0702</v>
          </cell>
          <cell r="B704" t="str">
            <v>Fusteltecnica</v>
          </cell>
          <cell r="C704" t="str">
            <v>M05468</v>
          </cell>
          <cell r="D704" t="str">
            <v>Pantytex</v>
          </cell>
          <cell r="E704" t="str">
            <v>Appendini Tchibo 2x</v>
          </cell>
          <cell r="F704" t="str">
            <v>BOBST 104</v>
          </cell>
          <cell r="G704">
            <v>6</v>
          </cell>
          <cell r="H704" t="str">
            <v>Si</v>
          </cell>
          <cell r="I704" t="str">
            <v>No</v>
          </cell>
          <cell r="J704" t="str">
            <v>No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</row>
        <row r="705">
          <cell r="A705" t="str">
            <v>FU0703</v>
          </cell>
          <cell r="B705" t="str">
            <v>Fusteltecnica</v>
          </cell>
          <cell r="C705" t="str">
            <v>R07048</v>
          </cell>
          <cell r="D705" t="str">
            <v>Pantytex</v>
          </cell>
          <cell r="E705" t="str">
            <v>Astucci Hema 4x</v>
          </cell>
          <cell r="F705" t="str">
            <v>BOBST 104</v>
          </cell>
          <cell r="G705">
            <v>6</v>
          </cell>
          <cell r="H705" t="str">
            <v>Si</v>
          </cell>
          <cell r="I705" t="str">
            <v>No</v>
          </cell>
          <cell r="J705" t="str">
            <v>No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</row>
        <row r="706">
          <cell r="A706" t="str">
            <v>FU0704</v>
          </cell>
          <cell r="B706" t="str">
            <v>Fusteltecnica</v>
          </cell>
          <cell r="C706" t="str">
            <v>M05612</v>
          </cell>
          <cell r="D706" t="str">
            <v>Tracy</v>
          </cell>
          <cell r="E706" t="str">
            <v>Appendini orchestra 2016</v>
          </cell>
          <cell r="F706" t="str">
            <v>BOBST 104</v>
          </cell>
          <cell r="G706">
            <v>9</v>
          </cell>
          <cell r="H706" t="str">
            <v>Si</v>
          </cell>
          <cell r="I706" t="str">
            <v>No</v>
          </cell>
          <cell r="J706" t="str">
            <v>No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</row>
        <row r="707">
          <cell r="A707" t="str">
            <v>FU0705</v>
          </cell>
          <cell r="B707">
            <v>0</v>
          </cell>
          <cell r="C707" t="str">
            <v>-</v>
          </cell>
          <cell r="D707">
            <v>0</v>
          </cell>
          <cell r="E707">
            <v>0</v>
          </cell>
          <cell r="F707" t="str">
            <v>BOBST 104</v>
          </cell>
          <cell r="G707">
            <v>0</v>
          </cell>
          <cell r="H707" t="str">
            <v>Si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</row>
        <row r="708">
          <cell r="A708" t="str">
            <v>FU0706</v>
          </cell>
          <cell r="B708" t="str">
            <v>Fusteltecnica</v>
          </cell>
          <cell r="C708" t="str">
            <v>M05626</v>
          </cell>
          <cell r="D708" t="str">
            <v>Tracy</v>
          </cell>
          <cell r="E708" t="str">
            <v>Appendini Rywan 2X</v>
          </cell>
          <cell r="F708" t="str">
            <v>BOBST 104</v>
          </cell>
          <cell r="G708">
            <v>4</v>
          </cell>
          <cell r="H708" t="str">
            <v>Si</v>
          </cell>
          <cell r="I708" t="str">
            <v>No</v>
          </cell>
          <cell r="J708" t="str">
            <v>No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</row>
        <row r="709">
          <cell r="A709" t="str">
            <v>FU0707</v>
          </cell>
          <cell r="B709" t="str">
            <v>Fusteltecnica</v>
          </cell>
          <cell r="C709" t="str">
            <v>M05629</v>
          </cell>
          <cell r="D709" t="str">
            <v>Tracy</v>
          </cell>
          <cell r="E709" t="str">
            <v>Appendini Rywan Bimba</v>
          </cell>
          <cell r="F709" t="str">
            <v>BOBST 104</v>
          </cell>
          <cell r="G709">
            <v>4</v>
          </cell>
          <cell r="H709" t="str">
            <v>Si</v>
          </cell>
          <cell r="I709" t="str">
            <v>No</v>
          </cell>
          <cell r="J709" t="str">
            <v>No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</row>
        <row r="710">
          <cell r="A710" t="str">
            <v>FU0708</v>
          </cell>
          <cell r="B710" t="str">
            <v>Fusteltecnica</v>
          </cell>
          <cell r="C710" t="str">
            <v>R02979</v>
          </cell>
          <cell r="D710" t="str">
            <v>JBS</v>
          </cell>
          <cell r="E710" t="str">
            <v>Inserti Decoy Gambaletto</v>
          </cell>
          <cell r="F710" t="str">
            <v>BOBST 1260</v>
          </cell>
          <cell r="G710">
            <v>6</v>
          </cell>
          <cell r="H710" t="str">
            <v>Si</v>
          </cell>
          <cell r="I710" t="str">
            <v>Si</v>
          </cell>
          <cell r="J710" t="str">
            <v>No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</row>
        <row r="711">
          <cell r="A711" t="str">
            <v>FU0709</v>
          </cell>
          <cell r="B711" t="str">
            <v>Fusteltecnica</v>
          </cell>
          <cell r="C711" t="str">
            <v>M02053</v>
          </cell>
          <cell r="D711" t="str">
            <v>Pasta Lensi</v>
          </cell>
          <cell r="E711" t="str">
            <v>Santiveri</v>
          </cell>
          <cell r="F711" t="str">
            <v>BOBST 1260</v>
          </cell>
          <cell r="G711">
            <v>3</v>
          </cell>
          <cell r="H711" t="str">
            <v>Si</v>
          </cell>
          <cell r="I711" t="str">
            <v>Si</v>
          </cell>
          <cell r="J711" t="str">
            <v>No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</row>
        <row r="712">
          <cell r="A712" t="str">
            <v>FU0710</v>
          </cell>
          <cell r="B712" t="str">
            <v>Fusteltecnica</v>
          </cell>
          <cell r="C712" t="str">
            <v>M05656</v>
          </cell>
          <cell r="D712" t="str">
            <v>Dolci</v>
          </cell>
          <cell r="E712" t="str">
            <v>Appendini Twilfit abbinati</v>
          </cell>
          <cell r="F712" t="str">
            <v>BOBST 1260</v>
          </cell>
          <cell r="G712">
            <v>4</v>
          </cell>
          <cell r="H712" t="str">
            <v>Si</v>
          </cell>
          <cell r="I712" t="str">
            <v>Si</v>
          </cell>
          <cell r="J712" t="str">
            <v>No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</row>
        <row r="713">
          <cell r="A713" t="str">
            <v>FU0711</v>
          </cell>
          <cell r="B713">
            <v>0</v>
          </cell>
          <cell r="C713" t="str">
            <v>-</v>
          </cell>
          <cell r="D713">
            <v>0</v>
          </cell>
          <cell r="E713">
            <v>0</v>
          </cell>
          <cell r="F713" t="str">
            <v>BOBST 104</v>
          </cell>
          <cell r="G713">
            <v>0</v>
          </cell>
          <cell r="H713" t="str">
            <v>Si</v>
          </cell>
          <cell r="I713" t="str">
            <v>No</v>
          </cell>
          <cell r="J713" t="str">
            <v>No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</row>
        <row r="714">
          <cell r="A714" t="str">
            <v>FU0712</v>
          </cell>
          <cell r="B714" t="str">
            <v>Fusteltecnica</v>
          </cell>
          <cell r="C714" t="str">
            <v>M05638</v>
          </cell>
          <cell r="D714" t="str">
            <v>VGM Caffe</v>
          </cell>
          <cell r="E714" t="str">
            <v>Astucci The</v>
          </cell>
          <cell r="F714" t="str">
            <v>BOBST 104</v>
          </cell>
          <cell r="G714">
            <v>6</v>
          </cell>
          <cell r="H714" t="str">
            <v>Si</v>
          </cell>
          <cell r="I714" t="str">
            <v>No</v>
          </cell>
          <cell r="J714" t="str">
            <v>No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</row>
        <row r="715">
          <cell r="A715" t="str">
            <v>FU0713</v>
          </cell>
          <cell r="B715" t="str">
            <v>Fusteltecnica</v>
          </cell>
          <cell r="C715" t="str">
            <v>M05627</v>
          </cell>
          <cell r="D715" t="str">
            <v>Tracy</v>
          </cell>
          <cell r="E715" t="str">
            <v>Appendini Rywan 2016</v>
          </cell>
          <cell r="F715" t="str">
            <v>BOBST 1260</v>
          </cell>
          <cell r="G715">
            <v>6</v>
          </cell>
          <cell r="H715" t="str">
            <v>Si</v>
          </cell>
          <cell r="I715" t="str">
            <v>Si</v>
          </cell>
          <cell r="J715" t="str">
            <v>No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</row>
        <row r="716">
          <cell r="A716" t="str">
            <v>FU0714</v>
          </cell>
          <cell r="B716" t="str">
            <v>Fusteltecnica</v>
          </cell>
          <cell r="C716" t="str">
            <v>M05655</v>
          </cell>
          <cell r="D716" t="str">
            <v>JBS</v>
          </cell>
          <cell r="E716" t="str">
            <v>Astucci x Box Decoy</v>
          </cell>
          <cell r="F716" t="str">
            <v>BOBST 1260</v>
          </cell>
          <cell r="G716">
            <v>4</v>
          </cell>
          <cell r="H716" t="str">
            <v>No</v>
          </cell>
          <cell r="I716" t="str">
            <v>Si</v>
          </cell>
          <cell r="J716" t="str">
            <v>No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</row>
        <row r="717">
          <cell r="A717" t="str">
            <v>FU0715</v>
          </cell>
          <cell r="B717" t="str">
            <v>Fusteltecnica</v>
          </cell>
          <cell r="C717" t="str">
            <v>M05654</v>
          </cell>
          <cell r="D717" t="str">
            <v>JBS</v>
          </cell>
          <cell r="E717" t="str">
            <v>Decoy Box</v>
          </cell>
          <cell r="F717" t="str">
            <v>BOBST 1260</v>
          </cell>
          <cell r="G717">
            <v>1</v>
          </cell>
          <cell r="H717" t="str">
            <v>No</v>
          </cell>
          <cell r="I717" t="str">
            <v>Si</v>
          </cell>
          <cell r="J717" t="str">
            <v>No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</row>
        <row r="718">
          <cell r="A718" t="str">
            <v>FU0716</v>
          </cell>
          <cell r="B718" t="str">
            <v>Fusteltecnica</v>
          </cell>
          <cell r="C718" t="str">
            <v>M05625</v>
          </cell>
          <cell r="D718" t="str">
            <v>Tracy</v>
          </cell>
          <cell r="E718" t="str">
            <v>Fascette Rywan</v>
          </cell>
          <cell r="F718" t="str">
            <v>BOBST 1260</v>
          </cell>
          <cell r="G718">
            <v>5</v>
          </cell>
          <cell r="H718" t="str">
            <v>No</v>
          </cell>
          <cell r="I718" t="str">
            <v>Si</v>
          </cell>
          <cell r="J718" t="str">
            <v>No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</row>
        <row r="719">
          <cell r="A719" t="str">
            <v>FU0717</v>
          </cell>
          <cell r="B719" t="str">
            <v>Fusteltecnica</v>
          </cell>
          <cell r="C719" t="str">
            <v>E05910</v>
          </cell>
          <cell r="D719" t="str">
            <v>JBS</v>
          </cell>
          <cell r="E719" t="str">
            <v>Solette Matas</v>
          </cell>
          <cell r="F719" t="str">
            <v>BOBST 1260</v>
          </cell>
          <cell r="G719">
            <v>4</v>
          </cell>
          <cell r="H719" t="str">
            <v>No</v>
          </cell>
          <cell r="I719" t="str">
            <v>Si</v>
          </cell>
          <cell r="J719" t="str">
            <v>No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</row>
        <row r="720">
          <cell r="A720" t="str">
            <v>FU0718</v>
          </cell>
          <cell r="B720" t="str">
            <v>Lasercom</v>
          </cell>
          <cell r="C720" t="str">
            <v>Lomba687</v>
          </cell>
          <cell r="D720" t="str">
            <v>Tracy</v>
          </cell>
          <cell r="E720" t="str">
            <v>Cavallotti Jennifer 2X</v>
          </cell>
          <cell r="F720" t="str">
            <v>BOBST 1260</v>
          </cell>
          <cell r="G720">
            <v>4</v>
          </cell>
          <cell r="H720" t="str">
            <v>Si</v>
          </cell>
          <cell r="I720" t="str">
            <v>Si</v>
          </cell>
          <cell r="J720" t="str">
            <v>No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</row>
        <row r="721">
          <cell r="A721" t="str">
            <v>FU0719</v>
          </cell>
          <cell r="B721" t="str">
            <v>Fusteltecnica</v>
          </cell>
          <cell r="C721" t="str">
            <v>E05914</v>
          </cell>
          <cell r="D721" t="str">
            <v>Quaranta</v>
          </cell>
          <cell r="E721" t="str">
            <v>Cappuccetti Nougat mis.36+Cannocchiali</v>
          </cell>
          <cell r="F721" t="str">
            <v>BOBST 104</v>
          </cell>
          <cell r="G721">
            <v>18</v>
          </cell>
          <cell r="H721" t="str">
            <v>Si</v>
          </cell>
          <cell r="I721" t="str">
            <v>No</v>
          </cell>
          <cell r="J721" t="str">
            <v>No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</row>
        <row r="722">
          <cell r="A722" t="str">
            <v>FU0720</v>
          </cell>
          <cell r="B722" t="str">
            <v>Fusteltecnica</v>
          </cell>
          <cell r="C722" t="str">
            <v>R07251</v>
          </cell>
          <cell r="D722" t="str">
            <v>Pantytex</v>
          </cell>
          <cell r="E722" t="str">
            <v>appendini hema bimba d3</v>
          </cell>
          <cell r="F722" t="str">
            <v>BOBST 1260</v>
          </cell>
          <cell r="G722">
            <v>8</v>
          </cell>
          <cell r="H722" t="str">
            <v>Si</v>
          </cell>
          <cell r="I722" t="str">
            <v>Si</v>
          </cell>
          <cell r="J722" t="str">
            <v>No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</row>
        <row r="723">
          <cell r="A723" t="str">
            <v>FU0721</v>
          </cell>
          <cell r="B723" t="str">
            <v>Fusteltecnica</v>
          </cell>
          <cell r="C723" t="str">
            <v>R07254</v>
          </cell>
          <cell r="D723" t="str">
            <v>Tracy</v>
          </cell>
          <cell r="E723" t="str">
            <v>Appendini Gente di Strada</v>
          </cell>
          <cell r="F723" t="str">
            <v>BOBST 1260</v>
          </cell>
          <cell r="G723">
            <v>6</v>
          </cell>
          <cell r="H723" t="str">
            <v>Si</v>
          </cell>
          <cell r="I723" t="str">
            <v>Si</v>
          </cell>
          <cell r="J723" t="str">
            <v>No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</row>
        <row r="724">
          <cell r="A724" t="str">
            <v>FU0722</v>
          </cell>
          <cell r="B724" t="str">
            <v>Fusteltecnica</v>
          </cell>
          <cell r="C724" t="str">
            <v>M05639</v>
          </cell>
          <cell r="D724" t="str">
            <v>Coop Cartai</v>
          </cell>
          <cell r="E724" t="str">
            <v>Vaschette Coop</v>
          </cell>
          <cell r="F724" t="str">
            <v>BOBST 104</v>
          </cell>
          <cell r="G724">
            <v>16</v>
          </cell>
          <cell r="H724" t="str">
            <v>Si</v>
          </cell>
          <cell r="I724" t="str">
            <v>No</v>
          </cell>
          <cell r="J724" t="str">
            <v>No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</row>
        <row r="725">
          <cell r="A725" t="str">
            <v>FU0723</v>
          </cell>
          <cell r="B725" t="str">
            <v>Lasercom</v>
          </cell>
          <cell r="C725" t="str">
            <v>Lomba700</v>
          </cell>
          <cell r="D725" t="str">
            <v>Pantytex</v>
          </cell>
          <cell r="E725" t="str">
            <v>Astucci We</v>
          </cell>
          <cell r="F725" t="str">
            <v>BOBST 1260</v>
          </cell>
          <cell r="G725">
            <v>6</v>
          </cell>
          <cell r="H725" t="str">
            <v>Si</v>
          </cell>
          <cell r="I725" t="str">
            <v>Si</v>
          </cell>
          <cell r="J725" t="str">
            <v>No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</row>
        <row r="726">
          <cell r="A726" t="str">
            <v>FU0724</v>
          </cell>
          <cell r="B726">
            <v>0</v>
          </cell>
          <cell r="C726" t="str">
            <v>-</v>
          </cell>
          <cell r="D726">
            <v>0</v>
          </cell>
          <cell r="E726">
            <v>0</v>
          </cell>
          <cell r="F726" t="str">
            <v>BOBST 104</v>
          </cell>
          <cell r="G726">
            <v>0</v>
          </cell>
          <cell r="H726" t="str">
            <v>Si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</row>
        <row r="727">
          <cell r="A727" t="str">
            <v>FU0725</v>
          </cell>
          <cell r="B727" t="str">
            <v>Fusteltecnica</v>
          </cell>
          <cell r="C727" t="str">
            <v>R07043</v>
          </cell>
          <cell r="D727" t="str">
            <v>Magazzini del Caffè</v>
          </cell>
          <cell r="E727" t="str">
            <v>Griglie per cialde astucciatrice</v>
          </cell>
          <cell r="F727" t="str">
            <v>BOBST 1260</v>
          </cell>
          <cell r="G727">
            <v>12</v>
          </cell>
          <cell r="H727" t="str">
            <v>Si</v>
          </cell>
          <cell r="I727" t="str">
            <v>Si</v>
          </cell>
          <cell r="J727" t="str">
            <v>No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</row>
        <row r="728">
          <cell r="A728" t="str">
            <v>FU0726</v>
          </cell>
          <cell r="B728" t="str">
            <v>Fusteltecnica</v>
          </cell>
          <cell r="C728" t="str">
            <v>M05780</v>
          </cell>
          <cell r="D728" t="str">
            <v>Magazzini del Caffè</v>
          </cell>
          <cell r="E728" t="str">
            <v>Trial Pack</v>
          </cell>
          <cell r="F728" t="str">
            <v>BOBST 104</v>
          </cell>
          <cell r="G728">
            <v>6</v>
          </cell>
          <cell r="H728" t="str">
            <v>Si</v>
          </cell>
          <cell r="I728" t="str">
            <v>No</v>
          </cell>
          <cell r="J728" t="str">
            <v>No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</row>
        <row r="729">
          <cell r="A729" t="str">
            <v>FU0727</v>
          </cell>
          <cell r="B729" t="str">
            <v>Lasercom</v>
          </cell>
          <cell r="C729" t="str">
            <v>Lomba690</v>
          </cell>
          <cell r="D729" t="str">
            <v>Tracy</v>
          </cell>
          <cell r="E729" t="str">
            <v>Appendini Watch Street Collant</v>
          </cell>
          <cell r="F729" t="str">
            <v>BOBST 104</v>
          </cell>
          <cell r="G729">
            <v>6</v>
          </cell>
          <cell r="H729" t="str">
            <v>Si</v>
          </cell>
          <cell r="I729" t="str">
            <v>No</v>
          </cell>
          <cell r="J729" t="str">
            <v>No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</row>
        <row r="730">
          <cell r="A730" t="str">
            <v>FU0728</v>
          </cell>
          <cell r="B730" t="str">
            <v>Fusteltecnica</v>
          </cell>
          <cell r="C730" t="str">
            <v>M05782</v>
          </cell>
          <cell r="D730" t="str">
            <v>Rcm</v>
          </cell>
          <cell r="E730" t="str">
            <v>Astucci Smoke Eye</v>
          </cell>
          <cell r="F730" t="str">
            <v>BOBST 104</v>
          </cell>
          <cell r="G730">
            <v>4</v>
          </cell>
          <cell r="H730" t="str">
            <v>No</v>
          </cell>
          <cell r="I730" t="str">
            <v>No</v>
          </cell>
          <cell r="J730" t="str">
            <v>No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</row>
        <row r="731">
          <cell r="A731" t="str">
            <v>FU0729</v>
          </cell>
          <cell r="B731" t="str">
            <v>Fusteltecnica</v>
          </cell>
          <cell r="C731" t="str">
            <v>R07372</v>
          </cell>
          <cell r="D731" t="str">
            <v>O.Erre</v>
          </cell>
          <cell r="E731" t="str">
            <v>Scatola Unico 10-4</v>
          </cell>
          <cell r="F731" t="str">
            <v>BOBST 1260</v>
          </cell>
          <cell r="G731">
            <v>3</v>
          </cell>
          <cell r="H731" t="str">
            <v>No</v>
          </cell>
          <cell r="I731" t="str">
            <v>Si</v>
          </cell>
          <cell r="J731" t="str">
            <v>No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</row>
        <row r="732">
          <cell r="A732" t="str">
            <v>FU0730</v>
          </cell>
          <cell r="B732" t="str">
            <v>Fusteltecnica</v>
          </cell>
          <cell r="C732" t="str">
            <v>R07369</v>
          </cell>
          <cell r="D732" t="str">
            <v>O.Erre</v>
          </cell>
          <cell r="E732" t="str">
            <v>Scatola Unico 15-6</v>
          </cell>
          <cell r="F732" t="str">
            <v>BOBST 1260</v>
          </cell>
          <cell r="G732">
            <v>2</v>
          </cell>
          <cell r="H732" t="str">
            <v>No</v>
          </cell>
          <cell r="I732" t="str">
            <v>Si</v>
          </cell>
          <cell r="J732" t="str">
            <v>No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</row>
        <row r="733">
          <cell r="A733" t="str">
            <v>FU0731</v>
          </cell>
          <cell r="B733" t="str">
            <v>Fusteltecnica</v>
          </cell>
          <cell r="C733" t="str">
            <v>R07371</v>
          </cell>
          <cell r="D733" t="str">
            <v>O.Erre</v>
          </cell>
          <cell r="E733" t="str">
            <v>Scatola Unico 9-3,5</v>
          </cell>
          <cell r="F733" t="str">
            <v>BOBST 1260</v>
          </cell>
          <cell r="G733">
            <v>4</v>
          </cell>
          <cell r="H733" t="str">
            <v>No</v>
          </cell>
          <cell r="I733" t="str">
            <v>Si</v>
          </cell>
          <cell r="J733" t="str">
            <v>No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</row>
        <row r="734">
          <cell r="A734" t="str">
            <v>FU0732</v>
          </cell>
          <cell r="B734" t="str">
            <v>Fusteltecnica</v>
          </cell>
          <cell r="C734" t="str">
            <v>E06025</v>
          </cell>
          <cell r="D734" t="str">
            <v>Eire</v>
          </cell>
          <cell r="E734" t="str">
            <v>Buste Lidl</v>
          </cell>
          <cell r="F734" t="str">
            <v>BOBST 104</v>
          </cell>
          <cell r="G734">
            <v>4</v>
          </cell>
          <cell r="H734" t="str">
            <v>Si</v>
          </cell>
          <cell r="I734" t="str">
            <v>No</v>
          </cell>
          <cell r="J734" t="str">
            <v>No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</row>
        <row r="735">
          <cell r="A735" t="str">
            <v>FU0733</v>
          </cell>
          <cell r="B735" t="str">
            <v>Fusteltecnica</v>
          </cell>
          <cell r="C735" t="str">
            <v>M05849</v>
          </cell>
          <cell r="D735" t="str">
            <v>O.Erre</v>
          </cell>
          <cell r="E735" t="str">
            <v>Scatola Unico 12-5</v>
          </cell>
          <cell r="F735" t="str">
            <v>BOBST 1260</v>
          </cell>
          <cell r="G735">
            <v>2</v>
          </cell>
          <cell r="H735" t="str">
            <v>No</v>
          </cell>
          <cell r="I735" t="str">
            <v>Si</v>
          </cell>
          <cell r="J735" t="str">
            <v>No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</row>
        <row r="736">
          <cell r="A736" t="str">
            <v>FU0734</v>
          </cell>
          <cell r="B736" t="str">
            <v>Fusteltecnica</v>
          </cell>
          <cell r="C736" t="str">
            <v>M05850</v>
          </cell>
          <cell r="D736" t="str">
            <v>O.Erre</v>
          </cell>
          <cell r="E736" t="str">
            <v>Scatola Alba onda 10-4</v>
          </cell>
          <cell r="F736" t="str">
            <v>BOBST 1260</v>
          </cell>
          <cell r="G736">
            <v>2</v>
          </cell>
          <cell r="H736" t="str">
            <v>No</v>
          </cell>
          <cell r="I736" t="str">
            <v>Si</v>
          </cell>
          <cell r="J736" t="str">
            <v>No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</row>
        <row r="737">
          <cell r="A737" t="str">
            <v>FU0735</v>
          </cell>
          <cell r="B737" t="str">
            <v>Fusteltecnica</v>
          </cell>
          <cell r="C737" t="str">
            <v>M05851</v>
          </cell>
          <cell r="D737" t="str">
            <v>O.Erre</v>
          </cell>
          <cell r="E737" t="str">
            <v>Scatola Alba onda 15-6</v>
          </cell>
          <cell r="F737" t="str">
            <v>BOBST 1260</v>
          </cell>
          <cell r="G737">
            <v>1</v>
          </cell>
          <cell r="H737" t="str">
            <v>No</v>
          </cell>
          <cell r="I737" t="str">
            <v>Si</v>
          </cell>
          <cell r="J737" t="str">
            <v>No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</row>
        <row r="738">
          <cell r="A738" t="str">
            <v>FU0736</v>
          </cell>
          <cell r="B738" t="str">
            <v>Lasercom</v>
          </cell>
          <cell r="C738" t="str">
            <v>Lomba708</v>
          </cell>
          <cell r="D738" t="str">
            <v>O.Erre</v>
          </cell>
          <cell r="E738" t="str">
            <v>Scatola diverso 80</v>
          </cell>
          <cell r="F738" t="str">
            <v>BOBST 1260</v>
          </cell>
          <cell r="G738">
            <v>1</v>
          </cell>
          <cell r="H738" t="str">
            <v>No</v>
          </cell>
          <cell r="I738" t="str">
            <v>Si</v>
          </cell>
          <cell r="J738" t="str">
            <v>No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</row>
        <row r="739">
          <cell r="A739" t="str">
            <v>FU0737</v>
          </cell>
          <cell r="B739" t="str">
            <v>Fusteltecnica</v>
          </cell>
          <cell r="C739" t="str">
            <v>N0525F</v>
          </cell>
          <cell r="D739" t="str">
            <v>Magazzini del Caffè</v>
          </cell>
          <cell r="E739" t="str">
            <v>Ast My Lovely Automaticaa</v>
          </cell>
          <cell r="F739" t="str">
            <v>BOBST 104</v>
          </cell>
          <cell r="G739">
            <v>6</v>
          </cell>
          <cell r="H739" t="str">
            <v>Si</v>
          </cell>
          <cell r="I739" t="str">
            <v>No</v>
          </cell>
          <cell r="J739" t="str">
            <v>No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</row>
        <row r="740">
          <cell r="A740" t="str">
            <v>FU0738</v>
          </cell>
          <cell r="B740" t="str">
            <v>Fusteltecnica</v>
          </cell>
          <cell r="C740" t="str">
            <v>A04981</v>
          </cell>
          <cell r="D740" t="str">
            <v>Pantytex</v>
          </cell>
          <cell r="E740" t="str">
            <v>Astucci Action</v>
          </cell>
          <cell r="F740" t="str">
            <v>BOBST 1260</v>
          </cell>
          <cell r="G740">
            <v>9</v>
          </cell>
          <cell r="H740" t="str">
            <v>Si</v>
          </cell>
          <cell r="I740" t="str">
            <v>Si</v>
          </cell>
          <cell r="J740" t="str">
            <v>No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</row>
        <row r="741">
          <cell r="A741" t="str">
            <v>FU0739</v>
          </cell>
          <cell r="B741" t="str">
            <v>Fusteltecnica</v>
          </cell>
          <cell r="C741" t="str">
            <v>A04982</v>
          </cell>
          <cell r="D741" t="str">
            <v>Pantytex</v>
          </cell>
          <cell r="E741" t="str">
            <v>Appendini Action</v>
          </cell>
          <cell r="F741" t="str">
            <v>BOBST 104</v>
          </cell>
          <cell r="G741">
            <v>6</v>
          </cell>
          <cell r="H741" t="str">
            <v>Si</v>
          </cell>
          <cell r="I741" t="str">
            <v>No</v>
          </cell>
          <cell r="J741" t="str">
            <v>No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</row>
        <row r="742">
          <cell r="A742" t="str">
            <v>FU0740</v>
          </cell>
          <cell r="B742" t="str">
            <v>Fusteltecnica</v>
          </cell>
          <cell r="C742" t="str">
            <v>A05014</v>
          </cell>
          <cell r="D742" t="str">
            <v>Pantytex</v>
          </cell>
          <cell r="E742" t="str">
            <v>App. Divine D35</v>
          </cell>
          <cell r="F742" t="str">
            <v>BOBST 104</v>
          </cell>
          <cell r="G742">
            <v>2</v>
          </cell>
          <cell r="H742" t="str">
            <v>No</v>
          </cell>
          <cell r="I742" t="str">
            <v>No</v>
          </cell>
          <cell r="J742" t="str">
            <v>No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</row>
        <row r="743">
          <cell r="A743" t="str">
            <v>FU0741</v>
          </cell>
          <cell r="B743" t="str">
            <v>Lasercom</v>
          </cell>
          <cell r="C743" t="str">
            <v>Lomba719</v>
          </cell>
          <cell r="D743" t="str">
            <v>Battaglio</v>
          </cell>
          <cell r="E743" t="str">
            <v>Cavallotti Vinciguerra</v>
          </cell>
          <cell r="F743" t="str">
            <v>BOBST 104</v>
          </cell>
          <cell r="G743">
            <v>8</v>
          </cell>
          <cell r="H743" t="str">
            <v>No</v>
          </cell>
          <cell r="I743" t="str">
            <v>No</v>
          </cell>
          <cell r="J743" t="str">
            <v>No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</row>
        <row r="744">
          <cell r="A744" t="str">
            <v>FU0742</v>
          </cell>
          <cell r="B744" t="str">
            <v>Lasercom</v>
          </cell>
          <cell r="C744" t="str">
            <v>Lomba720</v>
          </cell>
          <cell r="D744" t="str">
            <v>Gallo</v>
          </cell>
          <cell r="E744" t="str">
            <v>Solette piccole</v>
          </cell>
          <cell r="F744" t="str">
            <v>BOBST 1260</v>
          </cell>
          <cell r="G744">
            <v>8</v>
          </cell>
          <cell r="H744" t="str">
            <v>No</v>
          </cell>
          <cell r="I744" t="str">
            <v>Si</v>
          </cell>
          <cell r="J744" t="str">
            <v>No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</row>
        <row r="745">
          <cell r="A745" t="str">
            <v>FU0743</v>
          </cell>
          <cell r="B745" t="str">
            <v>Fusteltecnica</v>
          </cell>
          <cell r="C745" t="str">
            <v>G20776</v>
          </cell>
          <cell r="D745" t="str">
            <v>Calzificio Italiano</v>
          </cell>
          <cell r="E745" t="str">
            <v>Fondi Marcoliani H60</v>
          </cell>
          <cell r="F745" t="str">
            <v>BOBST 104</v>
          </cell>
          <cell r="G745">
            <v>2</v>
          </cell>
          <cell r="H745" t="str">
            <v>No</v>
          </cell>
          <cell r="I745" t="str">
            <v>No</v>
          </cell>
          <cell r="J745" t="str">
            <v>No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</row>
        <row r="746">
          <cell r="A746" t="str">
            <v>FU0744</v>
          </cell>
          <cell r="B746" t="str">
            <v>Lasercom</v>
          </cell>
          <cell r="C746" t="str">
            <v>Lomba710</v>
          </cell>
          <cell r="D746" t="str">
            <v>Girardi</v>
          </cell>
          <cell r="E746" t="str">
            <v>Inserti aperti</v>
          </cell>
          <cell r="F746" t="str">
            <v>BOBST 1260</v>
          </cell>
          <cell r="G746">
            <v>6</v>
          </cell>
          <cell r="H746" t="str">
            <v>Si</v>
          </cell>
          <cell r="I746" t="str">
            <v>Si</v>
          </cell>
          <cell r="J746" t="str">
            <v>No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</row>
        <row r="747">
          <cell r="A747" t="str">
            <v>FU0745</v>
          </cell>
          <cell r="B747" t="str">
            <v>Lasercom</v>
          </cell>
          <cell r="C747" t="str">
            <v>Lomba 709</v>
          </cell>
          <cell r="D747" t="str">
            <v>Giordano</v>
          </cell>
          <cell r="E747" t="str">
            <v>Astucci Caffe</v>
          </cell>
          <cell r="F747" t="str">
            <v>BOBST 104</v>
          </cell>
          <cell r="G747">
            <v>6</v>
          </cell>
          <cell r="H747" t="str">
            <v>Si</v>
          </cell>
          <cell r="I747" t="str">
            <v>No</v>
          </cell>
          <cell r="J747" t="str">
            <v>No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</row>
        <row r="748">
          <cell r="A748" t="str">
            <v>FU0746</v>
          </cell>
          <cell r="B748" t="str">
            <v>Lasercom</v>
          </cell>
          <cell r="C748" t="str">
            <v>Lomba713</v>
          </cell>
          <cell r="D748" t="str">
            <v>Tradigo</v>
          </cell>
          <cell r="E748" t="str">
            <v>Astucci Uberkoll 75 ml</v>
          </cell>
          <cell r="F748" t="str">
            <v>BOBST 1260</v>
          </cell>
          <cell r="G748">
            <v>4</v>
          </cell>
          <cell r="H748" t="str">
            <v>Si</v>
          </cell>
          <cell r="I748" t="str">
            <v>Si</v>
          </cell>
          <cell r="J748" t="str">
            <v>No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</row>
        <row r="749">
          <cell r="A749" t="str">
            <v>FU0747</v>
          </cell>
          <cell r="B749" t="str">
            <v>Fusteltecnica</v>
          </cell>
          <cell r="C749" t="str">
            <v>A04977</v>
          </cell>
          <cell r="D749" t="str">
            <v>Eire</v>
          </cell>
          <cell r="E749" t="str">
            <v>Astucci tchibo top 2016</v>
          </cell>
          <cell r="F749" t="str">
            <v>BOBST 104</v>
          </cell>
          <cell r="G749">
            <v>2</v>
          </cell>
          <cell r="H749" t="str">
            <v>Si</v>
          </cell>
          <cell r="I749" t="str">
            <v>No</v>
          </cell>
          <cell r="J749" t="str">
            <v>No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</row>
        <row r="750">
          <cell r="A750" t="str">
            <v>FU0748</v>
          </cell>
          <cell r="B750" t="str">
            <v>Fusteltecnica</v>
          </cell>
          <cell r="C750" t="str">
            <v>A05012</v>
          </cell>
          <cell r="D750" t="str">
            <v>D&amp;G</v>
          </cell>
          <cell r="E750" t="str">
            <v>Bauletto 25 x 25</v>
          </cell>
          <cell r="F750" t="str">
            <v>BOBST 104</v>
          </cell>
          <cell r="G750">
            <v>1</v>
          </cell>
          <cell r="H750" t="str">
            <v>No</v>
          </cell>
          <cell r="I750" t="str">
            <v>No</v>
          </cell>
          <cell r="J750" t="str">
            <v>No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</row>
        <row r="751">
          <cell r="A751" t="str">
            <v>FU0749</v>
          </cell>
          <cell r="B751" t="str">
            <v>Lasercom</v>
          </cell>
          <cell r="C751" t="str">
            <v>Lomba715</v>
          </cell>
          <cell r="D751" t="str">
            <v>CHS</v>
          </cell>
          <cell r="E751" t="str">
            <v>Porta Zuppe + interno palazzanio</v>
          </cell>
          <cell r="F751" t="str">
            <v>BOBST 1260</v>
          </cell>
          <cell r="G751">
            <v>3</v>
          </cell>
          <cell r="H751" t="str">
            <v>No</v>
          </cell>
          <cell r="I751" t="str">
            <v>Si</v>
          </cell>
          <cell r="J751" t="str">
            <v>No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</row>
        <row r="752">
          <cell r="A752" t="str">
            <v>FU0750</v>
          </cell>
          <cell r="B752" t="str">
            <v>Fusteltecnica</v>
          </cell>
          <cell r="C752" t="str">
            <v>M05789</v>
          </cell>
          <cell r="D752" t="str">
            <v>D&amp;G</v>
          </cell>
          <cell r="E752" t="str">
            <v>Mignon 17 x 17</v>
          </cell>
          <cell r="F752" t="str">
            <v>BOBST 1260</v>
          </cell>
          <cell r="G752">
            <v>1</v>
          </cell>
          <cell r="H752" t="str">
            <v>No</v>
          </cell>
          <cell r="I752" t="str">
            <v>Si</v>
          </cell>
          <cell r="J752" t="str">
            <v>No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</row>
        <row r="753">
          <cell r="A753" t="str">
            <v>FU0751</v>
          </cell>
          <cell r="B753" t="str">
            <v>Fusteltecnica</v>
          </cell>
          <cell r="C753" t="str">
            <v>M05791</v>
          </cell>
          <cell r="D753" t="str">
            <v>D&amp;G</v>
          </cell>
          <cell r="E753" t="str">
            <v>Mignon 25 x 25</v>
          </cell>
          <cell r="F753" t="str">
            <v>BOBST 1260</v>
          </cell>
          <cell r="G753">
            <v>1</v>
          </cell>
          <cell r="H753" t="str">
            <v>No</v>
          </cell>
          <cell r="I753" t="str">
            <v>Si</v>
          </cell>
          <cell r="J753" t="str">
            <v>No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</row>
        <row r="754">
          <cell r="A754" t="str">
            <v>FU0752</v>
          </cell>
          <cell r="B754" t="str">
            <v>Lasercom</v>
          </cell>
          <cell r="C754" t="str">
            <v>Lomba716</v>
          </cell>
          <cell r="D754" t="str">
            <v>Offel</v>
          </cell>
          <cell r="E754" t="str">
            <v>Astucci Abbinati</v>
          </cell>
          <cell r="F754" t="str">
            <v>BOBST 1260</v>
          </cell>
          <cell r="G754">
            <v>4</v>
          </cell>
          <cell r="H754" t="str">
            <v>Si</v>
          </cell>
          <cell r="I754" t="str">
            <v>Si</v>
          </cell>
          <cell r="J754" t="str">
            <v>No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</row>
        <row r="755">
          <cell r="A755" t="str">
            <v>FU0753</v>
          </cell>
          <cell r="B755" t="str">
            <v>Lasercom</v>
          </cell>
          <cell r="C755" t="str">
            <v>Lomba717</v>
          </cell>
          <cell r="D755" t="str">
            <v>Tracy</v>
          </cell>
          <cell r="E755" t="str">
            <v>Astucci gemo 2016</v>
          </cell>
          <cell r="F755" t="str">
            <v>BOBST 1260</v>
          </cell>
          <cell r="G755">
            <v>4</v>
          </cell>
          <cell r="H755" t="str">
            <v>No</v>
          </cell>
          <cell r="I755" t="str">
            <v>Si</v>
          </cell>
          <cell r="J755" t="str">
            <v>No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</row>
        <row r="756">
          <cell r="A756" t="str">
            <v>FU0754</v>
          </cell>
          <cell r="B756" t="str">
            <v>Fusteltecnica</v>
          </cell>
          <cell r="C756" t="str">
            <v>A05013</v>
          </cell>
          <cell r="D756" t="str">
            <v>D&amp;G</v>
          </cell>
          <cell r="E756" t="str">
            <v>Bauletto 30 x 40</v>
          </cell>
          <cell r="F756" t="str">
            <v>BOBST 1260</v>
          </cell>
          <cell r="G756">
            <v>1</v>
          </cell>
          <cell r="H756" t="str">
            <v>No</v>
          </cell>
          <cell r="I756" t="str">
            <v>Si</v>
          </cell>
          <cell r="J756" t="str">
            <v>No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</row>
        <row r="757">
          <cell r="A757" t="str">
            <v>FU0755</v>
          </cell>
          <cell r="B757" t="str">
            <v>Fusteltecnica</v>
          </cell>
          <cell r="C757" t="str">
            <v>R07520</v>
          </cell>
          <cell r="D757" t="str">
            <v>Ercos</v>
          </cell>
          <cell r="E757" t="str">
            <v>Scatola Hafele</v>
          </cell>
          <cell r="F757" t="str">
            <v>BOBST 1260</v>
          </cell>
          <cell r="G757">
            <v>1</v>
          </cell>
          <cell r="H757" t="str">
            <v>No</v>
          </cell>
          <cell r="I757" t="str">
            <v>Si</v>
          </cell>
          <cell r="J757" t="str">
            <v>No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</row>
        <row r="758">
          <cell r="A758" t="str">
            <v>FU0756</v>
          </cell>
          <cell r="B758" t="str">
            <v>Fusteltecnica</v>
          </cell>
          <cell r="C758" t="str">
            <v>R07522</v>
          </cell>
          <cell r="D758" t="str">
            <v>Ercos</v>
          </cell>
          <cell r="E758" t="str">
            <v>Bauletto Hafele</v>
          </cell>
          <cell r="F758" t="str">
            <v>BOBST 1260</v>
          </cell>
          <cell r="G758">
            <v>1</v>
          </cell>
          <cell r="H758" t="str">
            <v>No</v>
          </cell>
          <cell r="I758" t="str">
            <v>Si</v>
          </cell>
          <cell r="J758" t="str">
            <v>No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</row>
        <row r="759">
          <cell r="A759" t="str">
            <v>FU0757</v>
          </cell>
          <cell r="B759" t="str">
            <v>Fusteltecnica</v>
          </cell>
          <cell r="C759" t="str">
            <v>M05974</v>
          </cell>
          <cell r="D759" t="str">
            <v>Tulipano</v>
          </cell>
          <cell r="E759" t="str">
            <v>Scatola matas</v>
          </cell>
          <cell r="F759" t="str">
            <v>BOBST 104</v>
          </cell>
          <cell r="G759">
            <v>2</v>
          </cell>
          <cell r="H759" t="str">
            <v>Si</v>
          </cell>
          <cell r="I759" t="str">
            <v>No</v>
          </cell>
          <cell r="J759" t="str">
            <v>No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</row>
        <row r="760">
          <cell r="A760" t="str">
            <v>FU0758</v>
          </cell>
          <cell r="B760" t="str">
            <v>Fusteltecnica</v>
          </cell>
          <cell r="C760" t="str">
            <v>R07521</v>
          </cell>
          <cell r="D760" t="str">
            <v>Ercos</v>
          </cell>
          <cell r="E760" t="str">
            <v>Bauletto Hafele Stretto</v>
          </cell>
          <cell r="F760" t="str">
            <v>BOBST 1260</v>
          </cell>
          <cell r="G760">
            <v>1</v>
          </cell>
          <cell r="H760" t="str">
            <v>No</v>
          </cell>
          <cell r="I760" t="str">
            <v>Si</v>
          </cell>
          <cell r="J760" t="str">
            <v>No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</row>
        <row r="761">
          <cell r="A761" t="str">
            <v>FU0759</v>
          </cell>
          <cell r="B761" t="str">
            <v>Fusteltecnica</v>
          </cell>
          <cell r="C761" t="str">
            <v>M06056</v>
          </cell>
          <cell r="D761" t="str">
            <v>Gallo</v>
          </cell>
          <cell r="E761" t="str">
            <v>Inserti DD</v>
          </cell>
          <cell r="F761" t="str">
            <v>BOBST 1260</v>
          </cell>
          <cell r="G761">
            <v>5</v>
          </cell>
          <cell r="H761" t="str">
            <v>No</v>
          </cell>
          <cell r="I761" t="str">
            <v>Si</v>
          </cell>
          <cell r="J761" t="str">
            <v>No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</row>
        <row r="762">
          <cell r="A762" t="str">
            <v>FU0760</v>
          </cell>
          <cell r="B762" t="str">
            <v>Lasercom</v>
          </cell>
          <cell r="C762" t="str">
            <v>Lomba725</v>
          </cell>
          <cell r="D762" t="str">
            <v>Pantytex</v>
          </cell>
          <cell r="E762" t="str">
            <v>Astucci OVG</v>
          </cell>
          <cell r="F762" t="str">
            <v>BOBST 1260</v>
          </cell>
          <cell r="G762">
            <v>2</v>
          </cell>
          <cell r="H762" t="str">
            <v>No</v>
          </cell>
          <cell r="I762" t="str">
            <v>Si</v>
          </cell>
          <cell r="J762" t="str">
            <v>No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</row>
        <row r="763">
          <cell r="A763" t="str">
            <v>FU0761</v>
          </cell>
          <cell r="B763" t="str">
            <v>Fusteltecnica</v>
          </cell>
          <cell r="C763" t="str">
            <v>M05952</v>
          </cell>
          <cell r="D763" t="str">
            <v>Tracy</v>
          </cell>
          <cell r="E763" t="str">
            <v>Appendini coop 11/2016</v>
          </cell>
          <cell r="F763" t="str">
            <v>BOBST 1260</v>
          </cell>
          <cell r="G763">
            <v>4</v>
          </cell>
          <cell r="H763" t="str">
            <v>No</v>
          </cell>
          <cell r="I763" t="str">
            <v>Si</v>
          </cell>
          <cell r="J763" t="str">
            <v>No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</row>
        <row r="764">
          <cell r="A764" t="str">
            <v>FU0762</v>
          </cell>
          <cell r="B764" t="str">
            <v>Fusteltecnica</v>
          </cell>
          <cell r="C764" t="str">
            <v>M06031</v>
          </cell>
          <cell r="D764" t="str">
            <v>Pantytex</v>
          </cell>
          <cell r="E764" t="str">
            <v>Fascette To Go 11/2016</v>
          </cell>
          <cell r="F764" t="str">
            <v>BOBST 1260</v>
          </cell>
          <cell r="G764">
            <v>10</v>
          </cell>
          <cell r="H764" t="str">
            <v>Si</v>
          </cell>
          <cell r="I764" t="str">
            <v>Si</v>
          </cell>
          <cell r="J764" t="str">
            <v>No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</row>
        <row r="765">
          <cell r="A765" t="str">
            <v>FU0763</v>
          </cell>
          <cell r="B765" t="str">
            <v>Fusteltecnica</v>
          </cell>
          <cell r="C765" t="str">
            <v>R07516</v>
          </cell>
          <cell r="D765" t="str">
            <v>Valledoro</v>
          </cell>
          <cell r="E765" t="str">
            <v>Astucci Sungrì 2017</v>
          </cell>
          <cell r="F765" t="str">
            <v>BOBST 1260</v>
          </cell>
          <cell r="G765">
            <v>2</v>
          </cell>
          <cell r="H765" t="str">
            <v>Si</v>
          </cell>
          <cell r="I765" t="str">
            <v>Si</v>
          </cell>
          <cell r="J765" t="str">
            <v>No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</row>
        <row r="766">
          <cell r="A766" t="str">
            <v>FU0764</v>
          </cell>
          <cell r="B766" t="str">
            <v>Foppa Fustelle</v>
          </cell>
          <cell r="C766" t="str">
            <v>16-06521</v>
          </cell>
          <cell r="D766" t="str">
            <v>Eire</v>
          </cell>
          <cell r="E766" t="str">
            <v>Inserti Lidl Gambaletto 2016</v>
          </cell>
          <cell r="F766" t="str">
            <v>BOBST 104</v>
          </cell>
          <cell r="G766">
            <v>9</v>
          </cell>
          <cell r="H766" t="str">
            <v>Si</v>
          </cell>
          <cell r="I766" t="str">
            <v>No</v>
          </cell>
          <cell r="J766" t="str">
            <v>No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</row>
        <row r="767">
          <cell r="A767" t="str">
            <v>FU0765</v>
          </cell>
          <cell r="B767" t="str">
            <v>Lasercom</v>
          </cell>
          <cell r="C767" t="str">
            <v>Lomba726</v>
          </cell>
          <cell r="D767" t="str">
            <v>JBS</v>
          </cell>
          <cell r="E767" t="str">
            <v>Banderole decoy</v>
          </cell>
          <cell r="F767" t="str">
            <v>BOBST 104</v>
          </cell>
          <cell r="G767">
            <v>14</v>
          </cell>
          <cell r="H767" t="str">
            <v>No</v>
          </cell>
          <cell r="I767" t="str">
            <v>No</v>
          </cell>
          <cell r="J767" t="str">
            <v>No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</row>
        <row r="768">
          <cell r="A768" t="str">
            <v>FU0766</v>
          </cell>
          <cell r="B768" t="str">
            <v>Lasercom</v>
          </cell>
          <cell r="C768" t="str">
            <v>Lomba727</v>
          </cell>
          <cell r="D768" t="str">
            <v>O.Erre</v>
          </cell>
          <cell r="E768" t="str">
            <v>Astuccio ventimatic 12</v>
          </cell>
          <cell r="F768" t="str">
            <v>BOBST 1260</v>
          </cell>
          <cell r="G768">
            <v>1</v>
          </cell>
          <cell r="H768" t="str">
            <v>No</v>
          </cell>
          <cell r="I768" t="str">
            <v>Si</v>
          </cell>
          <cell r="J768" t="str">
            <v>No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</row>
        <row r="769">
          <cell r="A769" t="str">
            <v>FU0767</v>
          </cell>
          <cell r="B769" t="str">
            <v>Lasercom</v>
          </cell>
          <cell r="C769" t="str">
            <v>Lomba731</v>
          </cell>
          <cell r="D769" t="str">
            <v>Albisetti</v>
          </cell>
          <cell r="E769" t="str">
            <v>Cartella colore westwood piccola</v>
          </cell>
          <cell r="F769" t="str">
            <v>BOBST 1260</v>
          </cell>
          <cell r="G769">
            <v>1</v>
          </cell>
          <cell r="H769" t="str">
            <v>No</v>
          </cell>
          <cell r="I769" t="str">
            <v>Si</v>
          </cell>
          <cell r="J769" t="str">
            <v>No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</row>
        <row r="770">
          <cell r="A770" t="str">
            <v>FU0768</v>
          </cell>
          <cell r="B770" t="str">
            <v>Lasercom</v>
          </cell>
          <cell r="C770" t="str">
            <v>Lomba730</v>
          </cell>
          <cell r="D770" t="str">
            <v>Albisetti</v>
          </cell>
          <cell r="E770" t="str">
            <v>Cartella colore westwood grande</v>
          </cell>
          <cell r="F770" t="str">
            <v>BOBST 1260</v>
          </cell>
          <cell r="G770">
            <v>1</v>
          </cell>
          <cell r="H770" t="str">
            <v>No</v>
          </cell>
          <cell r="I770" t="str">
            <v>Si</v>
          </cell>
          <cell r="J770" t="str">
            <v>No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</row>
        <row r="771">
          <cell r="A771" t="str">
            <v>FU0769</v>
          </cell>
          <cell r="B771" t="str">
            <v>Lasercom</v>
          </cell>
          <cell r="C771" t="str">
            <v>Lomba729</v>
          </cell>
          <cell r="D771" t="str">
            <v>Tracy</v>
          </cell>
          <cell r="E771" t="str">
            <v>Appendini Gemo Abbinati</v>
          </cell>
          <cell r="F771" t="str">
            <v>BOBST 104</v>
          </cell>
          <cell r="G771">
            <v>8</v>
          </cell>
          <cell r="H771" t="str">
            <v>Si</v>
          </cell>
          <cell r="I771" t="str">
            <v>No</v>
          </cell>
          <cell r="J771" t="str">
            <v>No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</row>
        <row r="772">
          <cell r="A772" t="str">
            <v>FU0770</v>
          </cell>
          <cell r="B772" t="str">
            <v>Fusteltecnica</v>
          </cell>
          <cell r="C772" t="str">
            <v>M06109</v>
          </cell>
          <cell r="D772" t="str">
            <v>Pasta lensi</v>
          </cell>
          <cell r="E772" t="str">
            <v>Astucci hipp h62</v>
          </cell>
          <cell r="F772" t="str">
            <v>BOBST 1260</v>
          </cell>
          <cell r="G772">
            <v>6</v>
          </cell>
          <cell r="H772" t="str">
            <v>Si</v>
          </cell>
          <cell r="I772" t="str">
            <v>Si</v>
          </cell>
          <cell r="J772" t="str">
            <v>No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</row>
        <row r="773">
          <cell r="A773" t="str">
            <v>FU0771</v>
          </cell>
          <cell r="B773" t="str">
            <v>Fusteltecnica</v>
          </cell>
          <cell r="C773" t="str">
            <v>M06135</v>
          </cell>
          <cell r="D773" t="str">
            <v>Eire</v>
          </cell>
          <cell r="E773" t="str">
            <v xml:space="preserve">Inserti tchibo 2017 </v>
          </cell>
          <cell r="F773" t="str">
            <v>BOBST 104</v>
          </cell>
          <cell r="G773">
            <v>8</v>
          </cell>
          <cell r="H773" t="str">
            <v>Si</v>
          </cell>
          <cell r="I773" t="str">
            <v>No</v>
          </cell>
          <cell r="J773" t="str">
            <v>No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</row>
        <row r="774">
          <cell r="A774" t="str">
            <v>FU0772</v>
          </cell>
          <cell r="B774" t="str">
            <v>Fusteltecnica</v>
          </cell>
          <cell r="C774" t="str">
            <v>M06178</v>
          </cell>
          <cell r="D774" t="str">
            <v>Pantytex</v>
          </cell>
          <cell r="E774" t="str">
            <v>Inserti fascino 2017</v>
          </cell>
          <cell r="F774" t="str">
            <v>BOBST 104</v>
          </cell>
          <cell r="G774">
            <v>6</v>
          </cell>
          <cell r="H774" t="str">
            <v>Si</v>
          </cell>
          <cell r="I774" t="str">
            <v>No</v>
          </cell>
          <cell r="J774" t="str">
            <v>No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</row>
        <row r="775">
          <cell r="A775" t="str">
            <v>FU0773</v>
          </cell>
          <cell r="B775" t="str">
            <v>Lasercom</v>
          </cell>
          <cell r="C775" t="str">
            <v>Lomba734</v>
          </cell>
          <cell r="D775" t="str">
            <v>Battaglio</v>
          </cell>
          <cell r="E775" t="str">
            <v>Cavallotti Wowerat</v>
          </cell>
          <cell r="F775" t="str">
            <v>BOBST 104</v>
          </cell>
          <cell r="G775">
            <v>6</v>
          </cell>
          <cell r="H775" t="str">
            <v>No</v>
          </cell>
          <cell r="I775" t="str">
            <v>No</v>
          </cell>
          <cell r="J775" t="str">
            <v>No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</row>
        <row r="776">
          <cell r="A776" t="str">
            <v>FU0774</v>
          </cell>
          <cell r="B776" t="str">
            <v>Fusteltecnica</v>
          </cell>
          <cell r="C776" t="str">
            <v>A05097</v>
          </cell>
          <cell r="D776" t="str">
            <v>Gerards</v>
          </cell>
          <cell r="E776" t="str">
            <v>Astucci Tisane</v>
          </cell>
          <cell r="F776" t="str">
            <v>BOBST 104</v>
          </cell>
          <cell r="G776">
            <v>3</v>
          </cell>
          <cell r="H776" t="str">
            <v>No</v>
          </cell>
          <cell r="I776" t="str">
            <v>No</v>
          </cell>
          <cell r="J776" t="str">
            <v>No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</row>
        <row r="777">
          <cell r="A777" t="str">
            <v>FU0775</v>
          </cell>
          <cell r="B777" t="str">
            <v>Lasercom</v>
          </cell>
          <cell r="C777" t="str">
            <v>Lomba738</v>
          </cell>
          <cell r="D777" t="str">
            <v>Vegas</v>
          </cell>
          <cell r="E777" t="str">
            <v>Appendini Accapi D18 2017</v>
          </cell>
          <cell r="F777" t="str">
            <v>BOBST 1260</v>
          </cell>
          <cell r="G777">
            <v>4</v>
          </cell>
          <cell r="H777" t="str">
            <v>No</v>
          </cell>
          <cell r="I777" t="str">
            <v>Si</v>
          </cell>
          <cell r="J777" t="str">
            <v>No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</row>
        <row r="778">
          <cell r="A778" t="str">
            <v>FU0776</v>
          </cell>
          <cell r="B778" t="str">
            <v>Fusteltecnica</v>
          </cell>
          <cell r="C778" t="str">
            <v>M06215</v>
          </cell>
          <cell r="D778" t="str">
            <v>Bergen</v>
          </cell>
          <cell r="E778" t="str">
            <v>Expo acqua profumata</v>
          </cell>
          <cell r="F778" t="str">
            <v>BOBST 1260</v>
          </cell>
          <cell r="G778">
            <v>1</v>
          </cell>
          <cell r="H778" t="str">
            <v>No</v>
          </cell>
          <cell r="I778" t="str">
            <v>Si</v>
          </cell>
          <cell r="J778" t="str">
            <v>No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</row>
        <row r="779">
          <cell r="A779" t="str">
            <v>FU0777</v>
          </cell>
          <cell r="B779" t="str">
            <v>Fusteltecnica</v>
          </cell>
          <cell r="C779" t="str">
            <v>R07558</v>
          </cell>
          <cell r="D779" t="str">
            <v>Gerards</v>
          </cell>
          <cell r="E779" t="str">
            <v>Bauletto con interno</v>
          </cell>
          <cell r="F779" t="str">
            <v>BOBST 104</v>
          </cell>
          <cell r="G779">
            <v>1</v>
          </cell>
          <cell r="H779" t="str">
            <v>Si</v>
          </cell>
          <cell r="I779" t="str">
            <v>No</v>
          </cell>
          <cell r="J779" t="str">
            <v>No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</row>
        <row r="780">
          <cell r="A780" t="str">
            <v>FU0778</v>
          </cell>
          <cell r="B780" t="str">
            <v>Lasercom</v>
          </cell>
          <cell r="C780" t="str">
            <v>Lomba741</v>
          </cell>
          <cell r="D780" t="str">
            <v>O.Erre</v>
          </cell>
          <cell r="E780" t="str">
            <v>Scatola IN A 10-4</v>
          </cell>
          <cell r="F780" t="str">
            <v>BOBST 1260</v>
          </cell>
          <cell r="G780">
            <v>2</v>
          </cell>
          <cell r="H780" t="str">
            <v>No</v>
          </cell>
          <cell r="I780" t="str">
            <v>Si</v>
          </cell>
          <cell r="J780" t="str">
            <v>No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</row>
        <row r="781">
          <cell r="A781" t="str">
            <v>FU0779</v>
          </cell>
          <cell r="B781" t="str">
            <v>Lasercom</v>
          </cell>
          <cell r="C781" t="str">
            <v>Lomba739</v>
          </cell>
          <cell r="D781" t="str">
            <v>Elettroplastica</v>
          </cell>
          <cell r="E781" t="str">
            <v>Scatola A120</v>
          </cell>
          <cell r="F781" t="str">
            <v>BOBST 1260</v>
          </cell>
          <cell r="G781">
            <v>1</v>
          </cell>
          <cell r="H781" t="str">
            <v>No</v>
          </cell>
          <cell r="I781" t="str">
            <v>Si</v>
          </cell>
          <cell r="J781" t="str">
            <v>No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</row>
        <row r="782">
          <cell r="A782" t="str">
            <v>FU0780</v>
          </cell>
          <cell r="B782" t="str">
            <v>Lasercom</v>
          </cell>
          <cell r="C782" t="str">
            <v>Lomba740</v>
          </cell>
          <cell r="D782" t="str">
            <v>O.Erre</v>
          </cell>
          <cell r="E782" t="str">
            <v>Scatola Silente</v>
          </cell>
          <cell r="F782" t="str">
            <v>BOBST 1260</v>
          </cell>
          <cell r="G782">
            <v>1</v>
          </cell>
          <cell r="H782" t="str">
            <v>No</v>
          </cell>
          <cell r="I782" t="str">
            <v>Si</v>
          </cell>
          <cell r="J782" t="str">
            <v>No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</row>
        <row r="783">
          <cell r="A783" t="str">
            <v>FU0781</v>
          </cell>
          <cell r="B783" t="str">
            <v>Fusteltecnica</v>
          </cell>
          <cell r="C783" t="str">
            <v>A05130</v>
          </cell>
          <cell r="D783" t="str">
            <v>Imballaggi 2L</v>
          </cell>
          <cell r="E783" t="str">
            <v xml:space="preserve">Scatola Profitterol </v>
          </cell>
          <cell r="F783" t="str">
            <v>BOBST 1260</v>
          </cell>
          <cell r="G783">
            <v>1</v>
          </cell>
          <cell r="H783" t="str">
            <v>No</v>
          </cell>
          <cell r="I783" t="str">
            <v>Si</v>
          </cell>
          <cell r="J783" t="str">
            <v>No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</row>
        <row r="784">
          <cell r="A784" t="str">
            <v>FU0782</v>
          </cell>
          <cell r="B784" t="str">
            <v>Fusteltecnica</v>
          </cell>
          <cell r="C784" t="str">
            <v>M06179</v>
          </cell>
          <cell r="D784" t="str">
            <v>Pantytex</v>
          </cell>
          <cell r="E784" t="str">
            <v>Appendini dm 2017 D20</v>
          </cell>
          <cell r="F784" t="str">
            <v>BOBST 104</v>
          </cell>
          <cell r="G784">
            <v>6</v>
          </cell>
          <cell r="H784" t="str">
            <v>Si</v>
          </cell>
          <cell r="I784" t="str">
            <v>No</v>
          </cell>
          <cell r="J784" t="str">
            <v>No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</row>
        <row r="785">
          <cell r="A785" t="str">
            <v>FU0783</v>
          </cell>
          <cell r="B785" t="str">
            <v>Lasercom</v>
          </cell>
          <cell r="C785" t="str">
            <v>Lomba742</v>
          </cell>
          <cell r="D785" t="str">
            <v>Pantytex</v>
          </cell>
          <cell r="E785" t="str">
            <v>Abbinato we</v>
          </cell>
          <cell r="F785" t="str">
            <v>BOBST 1260</v>
          </cell>
          <cell r="G785">
            <v>4</v>
          </cell>
          <cell r="H785" t="str">
            <v>No</v>
          </cell>
          <cell r="I785" t="str">
            <v>Si</v>
          </cell>
          <cell r="J785" t="str">
            <v>No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</row>
        <row r="786">
          <cell r="A786" t="str">
            <v>FU0784</v>
          </cell>
          <cell r="B786" t="str">
            <v>Fusteltecnica</v>
          </cell>
          <cell r="C786" t="str">
            <v>M06297</v>
          </cell>
          <cell r="D786" t="str">
            <v>Valledoro</v>
          </cell>
          <cell r="E786" t="str">
            <v>Astucci rustici</v>
          </cell>
          <cell r="F786" t="str">
            <v>BOBST 1260</v>
          </cell>
          <cell r="G786">
            <v>2</v>
          </cell>
          <cell r="H786" t="str">
            <v>No</v>
          </cell>
          <cell r="I786" t="str">
            <v>Si</v>
          </cell>
          <cell r="J786" t="str">
            <v>No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</row>
        <row r="787">
          <cell r="A787" t="str">
            <v>FU0785</v>
          </cell>
          <cell r="B787" t="str">
            <v>Lasercom</v>
          </cell>
          <cell r="C787" t="str">
            <v>Lomba744</v>
          </cell>
          <cell r="D787" t="str">
            <v>Battaglio</v>
          </cell>
          <cell r="E787" t="str">
            <v>Appendini relativi solette</v>
          </cell>
          <cell r="F787" t="str">
            <v>BOBST 1260</v>
          </cell>
          <cell r="G787">
            <v>4</v>
          </cell>
          <cell r="H787" t="str">
            <v>No</v>
          </cell>
          <cell r="I787" t="str">
            <v>Si</v>
          </cell>
          <cell r="J787" t="str">
            <v>No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</row>
        <row r="788">
          <cell r="A788" t="str">
            <v>FU0786</v>
          </cell>
          <cell r="B788" t="str">
            <v>Lasercom</v>
          </cell>
          <cell r="C788" t="str">
            <v>Lomba747</v>
          </cell>
          <cell r="D788" t="str">
            <v>O.Erre</v>
          </cell>
          <cell r="E788" t="str">
            <v>Scatola 15-6</v>
          </cell>
          <cell r="F788" t="str">
            <v>BOBST 1260</v>
          </cell>
          <cell r="G788">
            <v>1</v>
          </cell>
          <cell r="H788" t="str">
            <v>No</v>
          </cell>
          <cell r="I788" t="str">
            <v>Si</v>
          </cell>
          <cell r="J788" t="str">
            <v>No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</row>
        <row r="789">
          <cell r="A789" t="str">
            <v>FU0787</v>
          </cell>
          <cell r="B789" t="str">
            <v>Lasercom</v>
          </cell>
          <cell r="C789" t="str">
            <v>Lomba743</v>
          </cell>
          <cell r="D789" t="str">
            <v>Pantytex</v>
          </cell>
          <cell r="E789" t="str">
            <v>Damart Abbinati</v>
          </cell>
          <cell r="F789" t="str">
            <v>BOBST 1260</v>
          </cell>
          <cell r="G789">
            <v>8</v>
          </cell>
          <cell r="H789" t="str">
            <v>Si</v>
          </cell>
          <cell r="I789" t="str">
            <v>Si</v>
          </cell>
          <cell r="J789" t="str">
            <v>No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</row>
        <row r="790">
          <cell r="A790" t="str">
            <v>FU0788</v>
          </cell>
          <cell r="B790" t="str">
            <v>Fusteltecnica</v>
          </cell>
          <cell r="C790" t="str">
            <v>M06325</v>
          </cell>
          <cell r="D790" t="str">
            <v>Pantytex</v>
          </cell>
          <cell r="E790" t="str">
            <v>Inserti collant riella</v>
          </cell>
          <cell r="F790" t="str">
            <v>BOBST 104</v>
          </cell>
          <cell r="G790">
            <v>4</v>
          </cell>
          <cell r="H790" t="str">
            <v>Si</v>
          </cell>
          <cell r="I790" t="str">
            <v>No</v>
          </cell>
          <cell r="J790" t="str">
            <v>No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</row>
        <row r="791">
          <cell r="A791" t="str">
            <v>FU0789</v>
          </cell>
          <cell r="B791" t="str">
            <v>Fusteltecnica</v>
          </cell>
          <cell r="C791" t="str">
            <v>M06326</v>
          </cell>
          <cell r="D791" t="str">
            <v>Pantytex</v>
          </cell>
          <cell r="E791" t="str">
            <v>Inserti gambaletto riella</v>
          </cell>
          <cell r="F791" t="str">
            <v>BOBST 1260</v>
          </cell>
          <cell r="G791">
            <v>6</v>
          </cell>
          <cell r="H791" t="str">
            <v>No</v>
          </cell>
          <cell r="I791" t="str">
            <v>Si</v>
          </cell>
          <cell r="J791" t="str">
            <v>No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</row>
        <row r="792">
          <cell r="A792" t="str">
            <v>FU0790</v>
          </cell>
          <cell r="B792" t="str">
            <v>Fusteltecnica</v>
          </cell>
          <cell r="C792" t="str">
            <v>A03057</v>
          </cell>
          <cell r="D792" t="str">
            <v>Pasta Lensi</v>
          </cell>
          <cell r="E792" t="str">
            <v>Cavallotti Tree Of Life</v>
          </cell>
          <cell r="F792" t="str">
            <v>BOBST 1260</v>
          </cell>
          <cell r="G792">
            <v>14</v>
          </cell>
          <cell r="H792" t="str">
            <v>No</v>
          </cell>
          <cell r="I792" t="str">
            <v>Si</v>
          </cell>
          <cell r="J792" t="str">
            <v>No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</row>
        <row r="793">
          <cell r="A793" t="str">
            <v>FU0791</v>
          </cell>
          <cell r="B793">
            <v>0</v>
          </cell>
          <cell r="C793" t="str">
            <v>-</v>
          </cell>
          <cell r="D793">
            <v>0</v>
          </cell>
          <cell r="E793">
            <v>0</v>
          </cell>
          <cell r="F793" t="str">
            <v>BOBST 104</v>
          </cell>
          <cell r="G793">
            <v>0</v>
          </cell>
          <cell r="H793" t="str">
            <v>No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</row>
        <row r="794">
          <cell r="A794" t="str">
            <v>FU0792</v>
          </cell>
          <cell r="B794" t="str">
            <v>Fusteltecnica</v>
          </cell>
          <cell r="C794" t="str">
            <v>E06315</v>
          </cell>
          <cell r="D794" t="str">
            <v>Bergen</v>
          </cell>
          <cell r="E794" t="str">
            <v>Astucci orphea</v>
          </cell>
          <cell r="F794" t="str">
            <v>BOBST 1260</v>
          </cell>
          <cell r="G794">
            <v>4</v>
          </cell>
          <cell r="H794" t="str">
            <v>No</v>
          </cell>
          <cell r="I794" t="str">
            <v>Si</v>
          </cell>
          <cell r="J794" t="str">
            <v>No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</row>
        <row r="795">
          <cell r="A795" t="str">
            <v>FU0793</v>
          </cell>
          <cell r="B795" t="str">
            <v>Lasercom</v>
          </cell>
          <cell r="C795" t="str">
            <v>Lomba745</v>
          </cell>
          <cell r="D795" t="str">
            <v>Pantytex</v>
          </cell>
          <cell r="E795" t="str">
            <v>Astucci wibra</v>
          </cell>
          <cell r="F795" t="str">
            <v>BOBST 1260</v>
          </cell>
          <cell r="G795">
            <v>5</v>
          </cell>
          <cell r="H795" t="str">
            <v>No</v>
          </cell>
          <cell r="I795" t="str">
            <v>Si</v>
          </cell>
          <cell r="J795" t="str">
            <v>No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</row>
        <row r="796">
          <cell r="A796" t="str">
            <v>FU0794</v>
          </cell>
          <cell r="B796" t="str">
            <v>Fusteltecnica</v>
          </cell>
          <cell r="C796" t="str">
            <v>E06340</v>
          </cell>
          <cell r="D796" t="str">
            <v>Rcm</v>
          </cell>
          <cell r="E796" t="str">
            <v>Astucci solar travel</v>
          </cell>
          <cell r="F796" t="str">
            <v>BOBST 1260</v>
          </cell>
          <cell r="G796">
            <v>2</v>
          </cell>
          <cell r="H796" t="str">
            <v>No</v>
          </cell>
          <cell r="I796" t="str">
            <v>Si</v>
          </cell>
          <cell r="J796" t="str">
            <v>No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</row>
        <row r="797">
          <cell r="A797" t="str">
            <v>FU0795</v>
          </cell>
          <cell r="B797" t="str">
            <v>Fusteltecnica</v>
          </cell>
          <cell r="C797" t="str">
            <v>R07841</v>
          </cell>
          <cell r="D797" t="str">
            <v>Battaglio</v>
          </cell>
          <cell r="E797" t="str">
            <v>Solette 3 orsi bambino</v>
          </cell>
          <cell r="F797" t="str">
            <v>BOBST 1260</v>
          </cell>
          <cell r="G797">
            <v>9</v>
          </cell>
          <cell r="H797" t="str">
            <v>No</v>
          </cell>
          <cell r="I797" t="str">
            <v>Si</v>
          </cell>
          <cell r="J797" t="str">
            <v>No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</row>
        <row r="798">
          <cell r="A798" t="str">
            <v>FU0796</v>
          </cell>
          <cell r="B798" t="str">
            <v>Fusteltecnica</v>
          </cell>
          <cell r="C798" t="str">
            <v>R07842</v>
          </cell>
          <cell r="D798" t="str">
            <v>Battaglio</v>
          </cell>
          <cell r="E798" t="str">
            <v>Appendini 3 Orsi</v>
          </cell>
          <cell r="F798" t="str">
            <v>BOBST 1260</v>
          </cell>
          <cell r="G798">
            <v>3</v>
          </cell>
          <cell r="H798" t="str">
            <v>No</v>
          </cell>
          <cell r="I798" t="str">
            <v>Si</v>
          </cell>
          <cell r="J798" t="str">
            <v>No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</row>
        <row r="799">
          <cell r="A799" t="str">
            <v>FU0797</v>
          </cell>
          <cell r="B799" t="str">
            <v>Lasercom</v>
          </cell>
          <cell r="C799" t="str">
            <v>Lomba750</v>
          </cell>
          <cell r="D799" t="str">
            <v>Essegel</v>
          </cell>
          <cell r="E799" t="str">
            <v>Astucci 6 ghiaccioli</v>
          </cell>
          <cell r="F799" t="str">
            <v>BOBST 1260</v>
          </cell>
          <cell r="G799">
            <v>4</v>
          </cell>
          <cell r="H799" t="str">
            <v>Si</v>
          </cell>
          <cell r="I799" t="str">
            <v>Si</v>
          </cell>
          <cell r="J799" t="str">
            <v>No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</row>
        <row r="800">
          <cell r="A800" t="str">
            <v>FU0798</v>
          </cell>
          <cell r="B800" t="str">
            <v>Fusteltecnica</v>
          </cell>
          <cell r="C800" t="str">
            <v>M06217</v>
          </cell>
          <cell r="D800" t="str">
            <v>Bergen</v>
          </cell>
          <cell r="E800" t="str">
            <v xml:space="preserve">Espositore Evin Young </v>
          </cell>
          <cell r="F800" t="str">
            <v>BOBST 1260</v>
          </cell>
          <cell r="G800">
            <v>2</v>
          </cell>
          <cell r="H800" t="str">
            <v>No</v>
          </cell>
          <cell r="I800" t="str">
            <v>Si</v>
          </cell>
          <cell r="J800" t="str">
            <v>No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</row>
        <row r="801">
          <cell r="A801" t="str">
            <v>FU0799</v>
          </cell>
          <cell r="B801" t="str">
            <v>Fusteltecnica</v>
          </cell>
          <cell r="C801" t="str">
            <v>M06291</v>
          </cell>
          <cell r="D801" t="str">
            <v>El forner</v>
          </cell>
          <cell r="E801" t="str">
            <v>Scatola 23 x 23 Pizza</v>
          </cell>
          <cell r="F801" t="str">
            <v>BOBST 1260</v>
          </cell>
          <cell r="G801">
            <v>1</v>
          </cell>
          <cell r="H801" t="str">
            <v>No</v>
          </cell>
          <cell r="I801" t="str">
            <v>Si</v>
          </cell>
          <cell r="J801" t="str">
            <v>No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</row>
        <row r="802">
          <cell r="A802" t="str">
            <v>FU0800</v>
          </cell>
          <cell r="B802" t="str">
            <v>Lasercom</v>
          </cell>
          <cell r="C802" t="str">
            <v>Lomba751</v>
          </cell>
          <cell r="D802" t="str">
            <v>Battaglio</v>
          </cell>
          <cell r="E802" t="str">
            <v>Fascette Walter</v>
          </cell>
          <cell r="F802" t="str">
            <v>BOBST 104</v>
          </cell>
          <cell r="G802">
            <v>8</v>
          </cell>
          <cell r="H802" t="str">
            <v>No</v>
          </cell>
          <cell r="I802" t="str">
            <v>No</v>
          </cell>
          <cell r="J802" t="str">
            <v>No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</row>
        <row r="803">
          <cell r="A803" t="str">
            <v>FU0801</v>
          </cell>
          <cell r="B803" t="str">
            <v>Lasercom</v>
          </cell>
          <cell r="C803" t="str">
            <v>Lomba752</v>
          </cell>
          <cell r="D803" t="str">
            <v>Magazzini del Caffè</v>
          </cell>
          <cell r="E803" t="str">
            <v>Vassoi Casablanca</v>
          </cell>
          <cell r="F803" t="str">
            <v>BOBST 1260</v>
          </cell>
          <cell r="G803">
            <v>2</v>
          </cell>
          <cell r="H803" t="str">
            <v>No</v>
          </cell>
          <cell r="I803" t="str">
            <v>Si</v>
          </cell>
          <cell r="J803" t="str">
            <v>No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</row>
        <row r="804">
          <cell r="A804" t="str">
            <v>FU0802</v>
          </cell>
          <cell r="B804" t="str">
            <v>Lasercom</v>
          </cell>
          <cell r="C804" t="str">
            <v>Lomba748</v>
          </cell>
          <cell r="D804" t="str">
            <v>Elettroplastica</v>
          </cell>
          <cell r="E804" t="str">
            <v>Scatole abbinate</v>
          </cell>
          <cell r="F804" t="str">
            <v>BOBST 1260</v>
          </cell>
          <cell r="G804">
            <v>2</v>
          </cell>
          <cell r="H804" t="str">
            <v>No</v>
          </cell>
          <cell r="I804" t="str">
            <v>Si</v>
          </cell>
          <cell r="J804" t="str">
            <v>No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</row>
        <row r="805">
          <cell r="A805" t="str">
            <v>FU0803</v>
          </cell>
          <cell r="B805" t="str">
            <v>Lasercom</v>
          </cell>
          <cell r="C805" t="str">
            <v>Lomba746</v>
          </cell>
          <cell r="D805" t="str">
            <v>JBS</v>
          </cell>
          <cell r="E805" t="str">
            <v>Astucci Ro</v>
          </cell>
          <cell r="F805" t="str">
            <v>BOBST 1260</v>
          </cell>
          <cell r="G805">
            <v>2</v>
          </cell>
          <cell r="H805" t="str">
            <v>No</v>
          </cell>
          <cell r="I805" t="str">
            <v>Si</v>
          </cell>
          <cell r="J805" t="str">
            <v>No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</row>
        <row r="806">
          <cell r="A806" t="str">
            <v>FU0804</v>
          </cell>
          <cell r="B806" t="str">
            <v>Lasercom</v>
          </cell>
          <cell r="C806" t="str">
            <v>Lomba789</v>
          </cell>
          <cell r="D806" t="str">
            <v>Serimoda</v>
          </cell>
          <cell r="E806" t="str">
            <v>Appendini piccoli</v>
          </cell>
          <cell r="F806" t="str">
            <v>BOBST 1260</v>
          </cell>
          <cell r="G806">
            <v>2</v>
          </cell>
          <cell r="H806" t="str">
            <v>No</v>
          </cell>
          <cell r="I806" t="str">
            <v>Si</v>
          </cell>
          <cell r="J806" t="str">
            <v>No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</row>
        <row r="807">
          <cell r="A807" t="str">
            <v>FU0805</v>
          </cell>
          <cell r="B807" t="str">
            <v>Lasercom</v>
          </cell>
          <cell r="C807" t="str">
            <v>Lomba755</v>
          </cell>
          <cell r="D807" t="str">
            <v>O.Erre</v>
          </cell>
          <cell r="E807" t="str">
            <v>Scatola 12-5 A</v>
          </cell>
          <cell r="F807" t="str">
            <v>BOBST 1260</v>
          </cell>
          <cell r="G807">
            <v>1</v>
          </cell>
          <cell r="H807" t="str">
            <v>No</v>
          </cell>
          <cell r="I807" t="str">
            <v>Si</v>
          </cell>
          <cell r="J807" t="str">
            <v>No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</row>
        <row r="808">
          <cell r="A808" t="str">
            <v>FU0806</v>
          </cell>
          <cell r="B808" t="str">
            <v>Fusteltecnica</v>
          </cell>
          <cell r="C808" t="str">
            <v>M06216</v>
          </cell>
          <cell r="D808" t="str">
            <v>Bergen</v>
          </cell>
          <cell r="E808" t="str">
            <v>Astucci evin laminati</v>
          </cell>
          <cell r="F808" t="str">
            <v>BOBST 104</v>
          </cell>
          <cell r="G808">
            <v>6</v>
          </cell>
          <cell r="H808" t="str">
            <v>Si</v>
          </cell>
          <cell r="I808" t="str">
            <v>No</v>
          </cell>
          <cell r="J808" t="str">
            <v>No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</row>
        <row r="809">
          <cell r="A809" t="str">
            <v>FU0807</v>
          </cell>
          <cell r="B809" t="str">
            <v>Fusteltecnica</v>
          </cell>
          <cell r="C809" t="str">
            <v>M06124</v>
          </cell>
          <cell r="D809" t="str">
            <v>Gaettarelli</v>
          </cell>
          <cell r="E809" t="str">
            <v>Fasce pasta fresca</v>
          </cell>
          <cell r="F809" t="str">
            <v>BOBST 104</v>
          </cell>
          <cell r="G809">
            <v>3</v>
          </cell>
          <cell r="H809" t="str">
            <v>Si</v>
          </cell>
          <cell r="I809" t="str">
            <v>No</v>
          </cell>
          <cell r="J809" t="str">
            <v>No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</row>
        <row r="810">
          <cell r="A810" t="str">
            <v>FU0808</v>
          </cell>
          <cell r="B810" t="str">
            <v>Fusteltecnica</v>
          </cell>
          <cell r="C810" t="str">
            <v>R07877</v>
          </cell>
          <cell r="D810" t="str">
            <v>Alcass</v>
          </cell>
          <cell r="E810" t="str">
            <v>Astucci alcas 2 hamburger</v>
          </cell>
          <cell r="F810" t="str">
            <v>BOBST 1260</v>
          </cell>
          <cell r="G810">
            <v>8</v>
          </cell>
          <cell r="H810" t="str">
            <v>Si</v>
          </cell>
          <cell r="I810" t="str">
            <v>Si</v>
          </cell>
          <cell r="J810" t="str">
            <v>No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</row>
        <row r="811">
          <cell r="A811" t="str">
            <v>FU0809</v>
          </cell>
          <cell r="B811" t="str">
            <v>Fusteltecnica</v>
          </cell>
          <cell r="C811" t="str">
            <v>M03511</v>
          </cell>
          <cell r="D811" t="str">
            <v>Gallo</v>
          </cell>
          <cell r="E811" t="str">
            <v>Buste gallo 25 x 20</v>
          </cell>
          <cell r="F811" t="str">
            <v>BOBST 104</v>
          </cell>
          <cell r="G811">
            <v>2</v>
          </cell>
          <cell r="H811" t="str">
            <v>No</v>
          </cell>
          <cell r="I811" t="str">
            <v>No</v>
          </cell>
          <cell r="J811" t="str">
            <v>No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</row>
        <row r="812">
          <cell r="A812" t="str">
            <v>FU0810</v>
          </cell>
          <cell r="B812" t="str">
            <v>Lasercom</v>
          </cell>
          <cell r="C812" t="str">
            <v>Lomba756</v>
          </cell>
          <cell r="D812" t="str">
            <v>JBS</v>
          </cell>
          <cell r="E812" t="str">
            <v>App. decoy gamb con soletta</v>
          </cell>
          <cell r="F812" t="str">
            <v>BOBST 1260</v>
          </cell>
          <cell r="G812">
            <v>6</v>
          </cell>
          <cell r="H812" t="str">
            <v>No</v>
          </cell>
          <cell r="I812" t="str">
            <v>Si</v>
          </cell>
          <cell r="J812" t="str">
            <v>No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</row>
        <row r="813">
          <cell r="A813" t="str">
            <v>FU0811</v>
          </cell>
          <cell r="B813" t="str">
            <v>Lasercom</v>
          </cell>
          <cell r="C813" t="str">
            <v>Lomba758</v>
          </cell>
          <cell r="D813" t="str">
            <v>Cosmai</v>
          </cell>
          <cell r="E813" t="str">
            <v>Astucci caffe</v>
          </cell>
          <cell r="F813" t="str">
            <v>BOBST 1260</v>
          </cell>
          <cell r="G813">
            <v>2</v>
          </cell>
          <cell r="H813" t="str">
            <v>No</v>
          </cell>
          <cell r="I813" t="str">
            <v>Si</v>
          </cell>
          <cell r="J813" t="str">
            <v>No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</row>
        <row r="814">
          <cell r="A814" t="str">
            <v>FU0812</v>
          </cell>
          <cell r="B814" t="str">
            <v>Fusteltecnica</v>
          </cell>
          <cell r="C814" t="str">
            <v>M06488</v>
          </cell>
          <cell r="D814" t="str">
            <v>Costa</v>
          </cell>
          <cell r="E814" t="str">
            <v>Abbinati Lotto</v>
          </cell>
          <cell r="F814" t="str">
            <v>BOBST 1260</v>
          </cell>
          <cell r="G814">
            <v>3</v>
          </cell>
          <cell r="H814" t="str">
            <v>No</v>
          </cell>
          <cell r="I814" t="str">
            <v>Si</v>
          </cell>
          <cell r="J814" t="str">
            <v>No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</row>
        <row r="815">
          <cell r="A815" t="str">
            <v>FU0813</v>
          </cell>
          <cell r="B815" t="str">
            <v>Fusteltecnica</v>
          </cell>
          <cell r="C815" t="str">
            <v>A05204</v>
          </cell>
          <cell r="D815" t="str">
            <v>Pantytex</v>
          </cell>
          <cell r="E815" t="str">
            <v>Astucci Wibra abbinati</v>
          </cell>
          <cell r="F815" t="str">
            <v>BOBST 104</v>
          </cell>
          <cell r="G815">
            <v>8</v>
          </cell>
          <cell r="H815" t="str">
            <v>Si</v>
          </cell>
          <cell r="I815" t="str">
            <v>No</v>
          </cell>
          <cell r="J815" t="str">
            <v>No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</row>
        <row r="816">
          <cell r="A816" t="str">
            <v>FU0814</v>
          </cell>
          <cell r="B816" t="str">
            <v>Lasercom</v>
          </cell>
          <cell r="C816" t="str">
            <v>Lomba759</v>
          </cell>
          <cell r="D816" t="str">
            <v>Pantytex</v>
          </cell>
          <cell r="E816" t="str">
            <v>Astucci C&amp;A N.557</v>
          </cell>
          <cell r="F816" t="str">
            <v>BOBST 1260</v>
          </cell>
          <cell r="G816">
            <v>4</v>
          </cell>
          <cell r="H816" t="str">
            <v>No</v>
          </cell>
          <cell r="I816" t="str">
            <v>Si</v>
          </cell>
          <cell r="J816" t="str">
            <v>No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</row>
        <row r="817">
          <cell r="A817" t="str">
            <v>FU0815</v>
          </cell>
          <cell r="B817" t="str">
            <v>Fusteltecnica</v>
          </cell>
          <cell r="C817" t="str">
            <v>M06495</v>
          </cell>
          <cell r="D817" t="str">
            <v>Imballaggi 2L</v>
          </cell>
          <cell r="E817" t="str">
            <v>Scatola granaio cubo</v>
          </cell>
          <cell r="F817" t="str">
            <v>BOBST 1260</v>
          </cell>
          <cell r="G817">
            <v>2</v>
          </cell>
          <cell r="H817" t="str">
            <v>No</v>
          </cell>
          <cell r="I817" t="str">
            <v>Si</v>
          </cell>
          <cell r="J817" t="str">
            <v>No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</row>
        <row r="818">
          <cell r="A818" t="str">
            <v>FU0816</v>
          </cell>
          <cell r="B818" t="str">
            <v>Fusteltecnica</v>
          </cell>
          <cell r="C818" t="str">
            <v>M06496</v>
          </cell>
          <cell r="D818" t="str">
            <v>Imballaggi 2L</v>
          </cell>
          <cell r="E818" t="str">
            <v>Scatola granaio piccola</v>
          </cell>
          <cell r="F818" t="str">
            <v>BOBST 104</v>
          </cell>
          <cell r="G818">
            <v>4</v>
          </cell>
          <cell r="H818" t="str">
            <v>No</v>
          </cell>
          <cell r="I818" t="str">
            <v>No</v>
          </cell>
          <cell r="J818" t="str">
            <v>No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</row>
        <row r="819">
          <cell r="A819" t="str">
            <v>FU0817</v>
          </cell>
          <cell r="B819" t="str">
            <v>Fusteltecnica</v>
          </cell>
          <cell r="C819" t="str">
            <v>M06482</v>
          </cell>
          <cell r="D819" t="str">
            <v>Caffè Euromoka</v>
          </cell>
          <cell r="E819" t="str">
            <v>Astucci caffe gusta</v>
          </cell>
          <cell r="F819" t="str">
            <v>BOBST 104</v>
          </cell>
          <cell r="G819">
            <v>4</v>
          </cell>
          <cell r="H819" t="str">
            <v>No</v>
          </cell>
          <cell r="I819" t="str">
            <v>No</v>
          </cell>
          <cell r="J819" t="str">
            <v>No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</row>
        <row r="820">
          <cell r="A820" t="str">
            <v>FU0818</v>
          </cell>
          <cell r="B820" t="str">
            <v>Fusteltecnica</v>
          </cell>
          <cell r="C820" t="str">
            <v>M06494</v>
          </cell>
          <cell r="D820" t="str">
            <v>Pantytex</v>
          </cell>
          <cell r="E820" t="str">
            <v>Crowner espositore CA</v>
          </cell>
          <cell r="F820" t="str">
            <v>BOBST 1260</v>
          </cell>
          <cell r="G820">
            <v>1</v>
          </cell>
          <cell r="H820" t="str">
            <v>No</v>
          </cell>
          <cell r="I820" t="str">
            <v>Si</v>
          </cell>
          <cell r="J820" t="str">
            <v>No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</row>
        <row r="821">
          <cell r="A821" t="str">
            <v>FU0819</v>
          </cell>
          <cell r="B821" t="str">
            <v>Fusteltecnica</v>
          </cell>
          <cell r="C821" t="str">
            <v>M06493</v>
          </cell>
          <cell r="D821" t="str">
            <v>Pantytex</v>
          </cell>
          <cell r="E821" t="str">
            <v>Base espositore CA</v>
          </cell>
          <cell r="F821" t="str">
            <v>BOBST 1260</v>
          </cell>
          <cell r="G821">
            <v>1</v>
          </cell>
          <cell r="H821" t="str">
            <v>No</v>
          </cell>
          <cell r="I821" t="str">
            <v>Si</v>
          </cell>
          <cell r="J821" t="str">
            <v>No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</row>
        <row r="822">
          <cell r="A822" t="str">
            <v>FU0820</v>
          </cell>
          <cell r="B822" t="str">
            <v>Fusteltecnica</v>
          </cell>
          <cell r="C822" t="str">
            <v>M06528</v>
          </cell>
          <cell r="D822" t="str">
            <v>Valledoro</v>
          </cell>
          <cell r="E822" t="str">
            <v>Contenitori zulu</v>
          </cell>
          <cell r="F822" t="str">
            <v>BOBST 1260</v>
          </cell>
          <cell r="G822">
            <v>1</v>
          </cell>
          <cell r="H822" t="str">
            <v>No</v>
          </cell>
          <cell r="I822" t="str">
            <v>Si</v>
          </cell>
          <cell r="J822" t="str">
            <v>No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</row>
        <row r="823">
          <cell r="A823" t="str">
            <v>FU0821</v>
          </cell>
          <cell r="B823" t="str">
            <v>Fusteltecnica</v>
          </cell>
          <cell r="C823" t="str">
            <v>M06561</v>
          </cell>
          <cell r="D823" t="str">
            <v>D&amp;G</v>
          </cell>
          <cell r="E823" t="str">
            <v>Abbinato macaron</v>
          </cell>
          <cell r="F823" t="str">
            <v>BOBST 1260</v>
          </cell>
          <cell r="G823">
            <v>3</v>
          </cell>
          <cell r="H823" t="str">
            <v>No</v>
          </cell>
          <cell r="I823" t="str">
            <v>Si</v>
          </cell>
          <cell r="J823" t="str">
            <v>No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</row>
        <row r="824">
          <cell r="A824" t="str">
            <v>FU0822</v>
          </cell>
          <cell r="B824" t="str">
            <v>Fusteltecnica</v>
          </cell>
          <cell r="C824" t="str">
            <v>M06523</v>
          </cell>
          <cell r="D824" t="str">
            <v>Essegel</v>
          </cell>
          <cell r="E824" t="str">
            <v>Astucci 8 ghiaccioli</v>
          </cell>
          <cell r="F824" t="str">
            <v>BOBST 104</v>
          </cell>
          <cell r="G824">
            <v>4</v>
          </cell>
          <cell r="H824" t="str">
            <v>Si</v>
          </cell>
          <cell r="I824" t="str">
            <v>No</v>
          </cell>
          <cell r="J824" t="str">
            <v>No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</row>
        <row r="825">
          <cell r="A825" t="str">
            <v>FU0823</v>
          </cell>
          <cell r="B825" t="str">
            <v>Fusteltecnica</v>
          </cell>
          <cell r="C825" t="str">
            <v>M06511</v>
          </cell>
          <cell r="D825" t="str">
            <v>Mabel</v>
          </cell>
          <cell r="E825" t="str">
            <v>Astucci cd resy</v>
          </cell>
          <cell r="F825" t="str">
            <v>BOBST 104</v>
          </cell>
          <cell r="G825">
            <v>4</v>
          </cell>
          <cell r="H825" t="str">
            <v>Si</v>
          </cell>
          <cell r="I825" t="str">
            <v>No</v>
          </cell>
          <cell r="J825" t="str">
            <v>No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</row>
        <row r="826">
          <cell r="A826" t="str">
            <v>FU0824</v>
          </cell>
          <cell r="B826" t="str">
            <v>Fusteltecnica</v>
          </cell>
          <cell r="C826" t="str">
            <v>M06566</v>
          </cell>
          <cell r="D826" t="str">
            <v>Sacma</v>
          </cell>
          <cell r="E826" t="str">
            <v>Maniglie sacma</v>
          </cell>
          <cell r="F826" t="str">
            <v>BOBST 1260</v>
          </cell>
          <cell r="G826">
            <v>10</v>
          </cell>
          <cell r="H826" t="str">
            <v>Si</v>
          </cell>
          <cell r="I826" t="str">
            <v>Si</v>
          </cell>
          <cell r="J826" t="str">
            <v>No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</row>
        <row r="827">
          <cell r="A827" t="str">
            <v>FU0825</v>
          </cell>
          <cell r="B827" t="str">
            <v>Fusteltecnica</v>
          </cell>
          <cell r="C827" t="str">
            <v>E06407</v>
          </cell>
          <cell r="D827" t="str">
            <v>JBS</v>
          </cell>
          <cell r="E827" t="str">
            <v>Appendini VRS 2017</v>
          </cell>
          <cell r="F827" t="str">
            <v>BOBST 104</v>
          </cell>
          <cell r="G827">
            <v>3</v>
          </cell>
          <cell r="H827" t="str">
            <v>No</v>
          </cell>
          <cell r="I827" t="str">
            <v>No</v>
          </cell>
          <cell r="J827" t="str">
            <v>No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</row>
        <row r="828">
          <cell r="A828" t="str">
            <v>FU0826</v>
          </cell>
          <cell r="B828" t="str">
            <v>Fusteltecnica</v>
          </cell>
          <cell r="C828" t="str">
            <v>E06559</v>
          </cell>
          <cell r="D828" t="str">
            <v>Quaranta</v>
          </cell>
          <cell r="E828" t="str">
            <v>Cartigli sigari</v>
          </cell>
          <cell r="F828" t="str">
            <v>BOBST 104</v>
          </cell>
          <cell r="G828">
            <v>28</v>
          </cell>
          <cell r="H828" t="str">
            <v>No</v>
          </cell>
          <cell r="I828" t="str">
            <v>No</v>
          </cell>
          <cell r="J828" t="str">
            <v>No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</row>
        <row r="829">
          <cell r="A829" t="str">
            <v>FU0827</v>
          </cell>
          <cell r="B829" t="str">
            <v>Lasercom</v>
          </cell>
          <cell r="C829" t="str">
            <v>Lomba947</v>
          </cell>
          <cell r="D829" t="str">
            <v>Movi</v>
          </cell>
          <cell r="E829" t="str">
            <v>Scatole movi grandi</v>
          </cell>
          <cell r="F829" t="str">
            <v>BOBST 1260</v>
          </cell>
          <cell r="G829">
            <v>2</v>
          </cell>
          <cell r="H829" t="str">
            <v>No</v>
          </cell>
          <cell r="I829" t="str">
            <v>Si</v>
          </cell>
          <cell r="J829" t="str">
            <v>No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</row>
        <row r="830">
          <cell r="A830" t="str">
            <v>FU0828</v>
          </cell>
          <cell r="B830" t="str">
            <v>Lasercom</v>
          </cell>
          <cell r="C830" t="str">
            <v>Lomba757</v>
          </cell>
          <cell r="D830" t="str">
            <v>Pantytex</v>
          </cell>
          <cell r="E830" t="str">
            <v>Abbinati Bik Bok</v>
          </cell>
          <cell r="F830" t="str">
            <v>BOBST 1260</v>
          </cell>
          <cell r="G830">
            <v>5</v>
          </cell>
          <cell r="H830" t="str">
            <v>No</v>
          </cell>
          <cell r="I830" t="str">
            <v>Si</v>
          </cell>
          <cell r="J830" t="str">
            <v>No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</row>
        <row r="831">
          <cell r="A831" t="str">
            <v>FU0829</v>
          </cell>
          <cell r="B831" t="str">
            <v>Fusteltecnica</v>
          </cell>
          <cell r="C831" t="str">
            <v>M06584</v>
          </cell>
          <cell r="D831" t="str">
            <v>Pantytex</v>
          </cell>
          <cell r="E831" t="str">
            <v>Appendini wibra abbinati</v>
          </cell>
          <cell r="F831" t="str">
            <v>BOBST 104</v>
          </cell>
          <cell r="G831">
            <v>5</v>
          </cell>
          <cell r="H831" t="str">
            <v>Si</v>
          </cell>
          <cell r="I831" t="str">
            <v>No</v>
          </cell>
          <cell r="J831" t="str">
            <v>No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</row>
        <row r="832">
          <cell r="A832" t="str">
            <v>FU0830</v>
          </cell>
          <cell r="B832" t="str">
            <v>Fusteltecnica</v>
          </cell>
          <cell r="C832" t="str">
            <v>M06565</v>
          </cell>
          <cell r="D832" t="str">
            <v>Eire</v>
          </cell>
          <cell r="E832" t="str">
            <v>Appendini george</v>
          </cell>
          <cell r="F832" t="str">
            <v>BOBST 104</v>
          </cell>
          <cell r="G832">
            <v>6</v>
          </cell>
          <cell r="H832" t="str">
            <v>Si</v>
          </cell>
          <cell r="I832" t="str">
            <v>No</v>
          </cell>
          <cell r="J832" t="str">
            <v>No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</row>
        <row r="833">
          <cell r="A833" t="str">
            <v>FU0831</v>
          </cell>
          <cell r="B833" t="str">
            <v>Fusteltecnica</v>
          </cell>
          <cell r="C833" t="str">
            <v>M06603</v>
          </cell>
          <cell r="D833" t="str">
            <v>Essegel</v>
          </cell>
          <cell r="E833" t="str">
            <v>Astucci 10 ghiaccioli</v>
          </cell>
          <cell r="F833" t="str">
            <v>BOBST 1260</v>
          </cell>
          <cell r="G833">
            <v>3</v>
          </cell>
          <cell r="H833" t="str">
            <v>Si</v>
          </cell>
          <cell r="I833" t="str">
            <v>Si</v>
          </cell>
          <cell r="J833" t="str">
            <v>No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</row>
        <row r="834">
          <cell r="A834" t="str">
            <v>FU0832</v>
          </cell>
          <cell r="B834" t="str">
            <v>Fusteltecnica</v>
          </cell>
          <cell r="C834" t="str">
            <v>M06601</v>
          </cell>
          <cell r="D834" t="str">
            <v>Pantytex</v>
          </cell>
          <cell r="E834" t="str">
            <v>Astucci wibra d25</v>
          </cell>
          <cell r="F834" t="str">
            <v>BOBST 1260</v>
          </cell>
          <cell r="G834">
            <v>8</v>
          </cell>
          <cell r="H834" t="str">
            <v>Si</v>
          </cell>
          <cell r="I834" t="str">
            <v>Si</v>
          </cell>
          <cell r="J834" t="str">
            <v>No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</row>
        <row r="835">
          <cell r="A835" t="str">
            <v>FU0833</v>
          </cell>
          <cell r="B835" t="str">
            <v>Fusteltecnica</v>
          </cell>
          <cell r="C835" t="str">
            <v>E06415</v>
          </cell>
          <cell r="D835" t="str">
            <v>JBS</v>
          </cell>
          <cell r="E835" t="str">
            <v>Appendini decoy d30</v>
          </cell>
          <cell r="F835" t="str">
            <v>BOBST 1260</v>
          </cell>
          <cell r="G835">
            <v>8</v>
          </cell>
          <cell r="H835" t="str">
            <v>No</v>
          </cell>
          <cell r="I835" t="str">
            <v>Si</v>
          </cell>
          <cell r="J835" t="str">
            <v>No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</row>
        <row r="836">
          <cell r="A836" t="str">
            <v>FU0834</v>
          </cell>
          <cell r="B836" t="str">
            <v>Fusteltecnica</v>
          </cell>
          <cell r="C836" t="str">
            <v>E06434</v>
          </cell>
          <cell r="D836" t="str">
            <v>JBS</v>
          </cell>
          <cell r="E836" t="str">
            <v>Abbinato decoy 2017</v>
          </cell>
          <cell r="F836" t="str">
            <v>BOBST 1260</v>
          </cell>
          <cell r="G836">
            <v>6</v>
          </cell>
          <cell r="H836" t="str">
            <v>No</v>
          </cell>
          <cell r="I836" t="str">
            <v>Si</v>
          </cell>
          <cell r="J836" t="str">
            <v>No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</row>
        <row r="837">
          <cell r="A837" t="str">
            <v>FU0835</v>
          </cell>
          <cell r="B837" t="str">
            <v>Fusteltecnica</v>
          </cell>
          <cell r="C837" t="str">
            <v>Lomba763</v>
          </cell>
          <cell r="D837" t="str">
            <v>Pantytex</v>
          </cell>
          <cell r="E837" t="str">
            <v>Appendini hunkemoller 2x 2017</v>
          </cell>
          <cell r="F837" t="str">
            <v>BOBST 1260</v>
          </cell>
          <cell r="G837">
            <v>6</v>
          </cell>
          <cell r="H837" t="str">
            <v>No</v>
          </cell>
          <cell r="I837" t="str">
            <v>Si</v>
          </cell>
          <cell r="J837" t="str">
            <v>No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</row>
        <row r="838">
          <cell r="A838" t="str">
            <v>FU0836</v>
          </cell>
          <cell r="B838" t="str">
            <v>Fusteltecnica</v>
          </cell>
          <cell r="C838" t="str">
            <v>E06432</v>
          </cell>
          <cell r="D838" t="str">
            <v>JBS</v>
          </cell>
          <cell r="E838" t="str">
            <v>Buste decoy gambaletto 2017</v>
          </cell>
          <cell r="F838" t="str">
            <v>BOBST 1260</v>
          </cell>
          <cell r="G838">
            <v>4</v>
          </cell>
          <cell r="H838" t="str">
            <v>No</v>
          </cell>
          <cell r="I838" t="str">
            <v>Si</v>
          </cell>
          <cell r="J838" t="str">
            <v>No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</row>
        <row r="839">
          <cell r="A839" t="str">
            <v>FU0837</v>
          </cell>
          <cell r="B839" t="str">
            <v>Fusteltecnica</v>
          </cell>
          <cell r="C839" t="str">
            <v>M06612</v>
          </cell>
          <cell r="D839" t="str">
            <v>Pantytex</v>
          </cell>
          <cell r="E839" t="str">
            <v>Buste hunkemoller soffietto</v>
          </cell>
          <cell r="F839" t="str">
            <v>BOBST 104</v>
          </cell>
          <cell r="G839">
            <v>4</v>
          </cell>
          <cell r="H839" t="str">
            <v>Si</v>
          </cell>
          <cell r="I839" t="str">
            <v>No</v>
          </cell>
          <cell r="J839" t="str">
            <v>No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</row>
        <row r="840">
          <cell r="A840" t="str">
            <v>FU0838</v>
          </cell>
          <cell r="B840" t="str">
            <v>Foppa Fustelle</v>
          </cell>
          <cell r="C840" t="str">
            <v>20-02074</v>
          </cell>
          <cell r="D840" t="str">
            <v>Magazzini del caffè</v>
          </cell>
          <cell r="E840" t="str">
            <v>Astucci julius mezzo taglio 2017</v>
          </cell>
          <cell r="F840" t="str">
            <v>BOBST 104</v>
          </cell>
          <cell r="G840">
            <v>8</v>
          </cell>
          <cell r="H840" t="str">
            <v>Si</v>
          </cell>
          <cell r="I840" t="str">
            <v>No</v>
          </cell>
          <cell r="J840" t="str">
            <v>No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</row>
        <row r="841">
          <cell r="A841" t="str">
            <v>FU0839</v>
          </cell>
          <cell r="B841" t="str">
            <v>Lasercom</v>
          </cell>
          <cell r="C841" t="str">
            <v>Lomba765</v>
          </cell>
          <cell r="D841" t="str">
            <v>Tracy</v>
          </cell>
          <cell r="E841" t="str">
            <v>Appendini abbinati gemo 2017</v>
          </cell>
          <cell r="F841" t="str">
            <v>BOBST 1260</v>
          </cell>
          <cell r="G841">
            <v>6</v>
          </cell>
          <cell r="H841" t="str">
            <v>Si</v>
          </cell>
          <cell r="I841" t="str">
            <v>Si</v>
          </cell>
          <cell r="J841" t="str">
            <v>No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</row>
        <row r="842">
          <cell r="A842" t="str">
            <v>FU0840</v>
          </cell>
          <cell r="B842" t="str">
            <v>Fusteltecnica</v>
          </cell>
          <cell r="C842" t="str">
            <v>R02600</v>
          </cell>
          <cell r="D842" t="str">
            <v>JBS</v>
          </cell>
          <cell r="E842" t="str">
            <v>Buste cf large</v>
          </cell>
          <cell r="F842" t="str">
            <v>BOBST 1260</v>
          </cell>
          <cell r="G842">
            <v>4</v>
          </cell>
          <cell r="H842" t="str">
            <v>Si</v>
          </cell>
          <cell r="I842" t="str">
            <v>Si</v>
          </cell>
          <cell r="J842" t="str">
            <v>No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</row>
        <row r="843">
          <cell r="A843" t="str">
            <v>FU0841</v>
          </cell>
          <cell r="B843" t="str">
            <v>Fusteltecnica</v>
          </cell>
          <cell r="C843" t="str">
            <v>A05205</v>
          </cell>
          <cell r="D843" t="str">
            <v>Ilary</v>
          </cell>
          <cell r="E843" t="str">
            <v>Appendini le bourget</v>
          </cell>
          <cell r="F843" t="str">
            <v>BOBST 1260</v>
          </cell>
          <cell r="G843">
            <v>6</v>
          </cell>
          <cell r="H843" t="str">
            <v>Si</v>
          </cell>
          <cell r="I843" t="str">
            <v>Si</v>
          </cell>
          <cell r="J843" t="str">
            <v>No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</row>
        <row r="844">
          <cell r="A844" t="str">
            <v>FU0842</v>
          </cell>
          <cell r="B844" t="str">
            <v>Fusteltecnica</v>
          </cell>
          <cell r="C844" t="str">
            <v>M06564</v>
          </cell>
          <cell r="D844" t="str">
            <v>Pantytex</v>
          </cell>
          <cell r="E844" t="str">
            <v>Appendini tchibo d4</v>
          </cell>
          <cell r="F844" t="str">
            <v>BOBST 104</v>
          </cell>
          <cell r="G844">
            <v>6</v>
          </cell>
          <cell r="H844" t="str">
            <v>Si</v>
          </cell>
          <cell r="I844" t="str">
            <v>No</v>
          </cell>
          <cell r="J844" t="str">
            <v>No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</row>
        <row r="845">
          <cell r="A845" t="str">
            <v>FU0843</v>
          </cell>
          <cell r="B845" t="str">
            <v>Fusteltecnica</v>
          </cell>
          <cell r="C845" t="str">
            <v>B00932</v>
          </cell>
          <cell r="D845" t="str">
            <v>Tracy</v>
          </cell>
          <cell r="E845" t="str">
            <v>Appendini gemo dorso 15 2017</v>
          </cell>
          <cell r="F845" t="str">
            <v>BOBST 104</v>
          </cell>
          <cell r="G845">
            <v>12</v>
          </cell>
          <cell r="H845" t="str">
            <v>Si</v>
          </cell>
          <cell r="I845" t="str">
            <v>No</v>
          </cell>
          <cell r="J845" t="str">
            <v>No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</row>
        <row r="846">
          <cell r="A846" t="str">
            <v>FU0844</v>
          </cell>
          <cell r="B846" t="str">
            <v>Fusteltecnica</v>
          </cell>
          <cell r="C846" t="str">
            <v>A05239</v>
          </cell>
          <cell r="D846" t="str">
            <v>Tracy</v>
          </cell>
          <cell r="E846" t="str">
            <v>Appendini orchestra 2017</v>
          </cell>
          <cell r="F846" t="str">
            <v>BOBST 104</v>
          </cell>
          <cell r="G846">
            <v>6</v>
          </cell>
          <cell r="H846" t="str">
            <v>Si</v>
          </cell>
          <cell r="I846" t="str">
            <v>No</v>
          </cell>
          <cell r="J846" t="str">
            <v>No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</row>
        <row r="847">
          <cell r="A847" t="str">
            <v>FU0845</v>
          </cell>
          <cell r="B847" t="str">
            <v>Fusteltecnica</v>
          </cell>
          <cell r="C847" t="str">
            <v>E06459</v>
          </cell>
          <cell r="D847" t="str">
            <v>DM Gelati</v>
          </cell>
          <cell r="E847" t="str">
            <v>Astucci gelati dm</v>
          </cell>
          <cell r="F847" t="str">
            <v>BOBST 1260</v>
          </cell>
          <cell r="G847">
            <v>4</v>
          </cell>
          <cell r="H847" t="str">
            <v>Si</v>
          </cell>
          <cell r="I847" t="str">
            <v>Si</v>
          </cell>
          <cell r="J847" t="str">
            <v>No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</row>
        <row r="848">
          <cell r="A848" t="str">
            <v>FU0846</v>
          </cell>
          <cell r="B848" t="str">
            <v>Fusteltecnica</v>
          </cell>
          <cell r="C848" t="str">
            <v>M06722</v>
          </cell>
          <cell r="D848" t="str">
            <v>Tracy</v>
          </cell>
          <cell r="E848" t="str">
            <v>Solette neutre</v>
          </cell>
          <cell r="F848" t="str">
            <v>BOBST 104</v>
          </cell>
          <cell r="G848">
            <v>4</v>
          </cell>
          <cell r="H848" t="str">
            <v>No</v>
          </cell>
          <cell r="I848" t="str">
            <v>No</v>
          </cell>
          <cell r="J848" t="str">
            <v>No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</row>
        <row r="849">
          <cell r="A849" t="str">
            <v>FU0847</v>
          </cell>
          <cell r="B849" t="str">
            <v>Fusteltecnica</v>
          </cell>
          <cell r="C849" t="str">
            <v>E06478</v>
          </cell>
          <cell r="D849" t="str">
            <v>Pantytex</v>
          </cell>
          <cell r="E849" t="str">
            <v>Appendini hkm 100 den</v>
          </cell>
          <cell r="F849" t="str">
            <v>BOBST 1260</v>
          </cell>
          <cell r="G849">
            <v>4</v>
          </cell>
          <cell r="H849" t="str">
            <v>No</v>
          </cell>
          <cell r="I849" t="str">
            <v>Si</v>
          </cell>
          <cell r="J849" t="str">
            <v>No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</row>
        <row r="850">
          <cell r="A850" t="str">
            <v>FU0848</v>
          </cell>
          <cell r="B850" t="str">
            <v>Fusteltecnica</v>
          </cell>
          <cell r="C850" t="str">
            <v>E06481</v>
          </cell>
          <cell r="D850" t="str">
            <v>Tracy</v>
          </cell>
          <cell r="E850" t="str">
            <v>Appendini Cache Cache</v>
          </cell>
          <cell r="F850" t="str">
            <v>BOBST 1260</v>
          </cell>
          <cell r="G850">
            <v>4</v>
          </cell>
          <cell r="H850" t="str">
            <v>No</v>
          </cell>
          <cell r="I850" t="str">
            <v>Si</v>
          </cell>
          <cell r="J850" t="str">
            <v>No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</row>
        <row r="851">
          <cell r="A851" t="str">
            <v>FU0849</v>
          </cell>
          <cell r="B851" t="str">
            <v>Fusteltecnica</v>
          </cell>
          <cell r="C851" t="str">
            <v>M06791</v>
          </cell>
          <cell r="D851" t="str">
            <v>Pantytex</v>
          </cell>
          <cell r="E851" t="str">
            <v>Appendini wee</v>
          </cell>
          <cell r="F851" t="str">
            <v>BOBST 1260</v>
          </cell>
          <cell r="G851">
            <v>3</v>
          </cell>
          <cell r="H851" t="str">
            <v>No</v>
          </cell>
          <cell r="I851" t="str">
            <v>Si</v>
          </cell>
          <cell r="J851" t="str">
            <v>No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</row>
        <row r="852">
          <cell r="A852" t="str">
            <v>FU0850</v>
          </cell>
          <cell r="B852" t="str">
            <v>Fusteltecnica</v>
          </cell>
          <cell r="C852" t="str">
            <v>E06486</v>
          </cell>
          <cell r="D852" t="str">
            <v>Tracy</v>
          </cell>
          <cell r="E852" t="str">
            <v>Appendini bonetterie</v>
          </cell>
          <cell r="F852" t="str">
            <v>BOBST 104</v>
          </cell>
          <cell r="G852">
            <v>7</v>
          </cell>
          <cell r="H852" t="str">
            <v>Si</v>
          </cell>
          <cell r="I852" t="str">
            <v>No</v>
          </cell>
          <cell r="J852" t="str">
            <v>No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</row>
        <row r="853">
          <cell r="A853" t="str">
            <v>FU0851</v>
          </cell>
          <cell r="B853" t="str">
            <v>Fusteltecnica</v>
          </cell>
          <cell r="C853" t="str">
            <v>E06484</v>
          </cell>
          <cell r="D853" t="str">
            <v>Pantytex</v>
          </cell>
          <cell r="E853" t="str">
            <v>Buste Hema 2017 Disco (non usare)</v>
          </cell>
          <cell r="F853" t="str">
            <v>BOBST 104</v>
          </cell>
          <cell r="G853">
            <v>5</v>
          </cell>
          <cell r="H853" t="str">
            <v>Si</v>
          </cell>
          <cell r="I853" t="str">
            <v>No</v>
          </cell>
          <cell r="J853" t="str">
            <v>No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</row>
        <row r="854">
          <cell r="A854" t="str">
            <v>FU0852</v>
          </cell>
          <cell r="B854" t="str">
            <v>Fusteltecnica</v>
          </cell>
          <cell r="C854" t="str">
            <v>M06780</v>
          </cell>
          <cell r="D854" t="str">
            <v>Quaranta</v>
          </cell>
          <cell r="E854" t="str">
            <v>Expo jolly 2017</v>
          </cell>
          <cell r="F854" t="str">
            <v>BOBST 1260</v>
          </cell>
          <cell r="G854">
            <v>1</v>
          </cell>
          <cell r="H854" t="str">
            <v>No</v>
          </cell>
          <cell r="I854" t="str">
            <v>Si</v>
          </cell>
          <cell r="J854" t="str">
            <v>No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</row>
        <row r="855">
          <cell r="A855" t="str">
            <v>FU0853</v>
          </cell>
          <cell r="B855" t="str">
            <v>Lasercom</v>
          </cell>
          <cell r="C855" t="str">
            <v>Lomb767N</v>
          </cell>
          <cell r="D855" t="str">
            <v>Serimoda</v>
          </cell>
          <cell r="E855" t="str">
            <v>Abbinato serimoda</v>
          </cell>
          <cell r="F855" t="str">
            <v>BOBST 1260</v>
          </cell>
          <cell r="G855">
            <v>6</v>
          </cell>
          <cell r="H855" t="str">
            <v>No</v>
          </cell>
          <cell r="I855" t="str">
            <v>Si</v>
          </cell>
          <cell r="J855" t="str">
            <v>No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</row>
        <row r="856">
          <cell r="A856" t="str">
            <v>FU0854</v>
          </cell>
          <cell r="B856" t="str">
            <v>Lasercom</v>
          </cell>
          <cell r="C856" t="str">
            <v>Lomba773</v>
          </cell>
          <cell r="D856" t="str">
            <v>Mood</v>
          </cell>
          <cell r="E856" t="str">
            <v>Bauletti microonda</v>
          </cell>
          <cell r="F856" t="str">
            <v>BOBST 1260</v>
          </cell>
          <cell r="G856">
            <v>2</v>
          </cell>
          <cell r="H856" t="str">
            <v>No</v>
          </cell>
          <cell r="I856" t="str">
            <v>Si</v>
          </cell>
          <cell r="J856" t="str">
            <v>No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</row>
        <row r="857">
          <cell r="A857" t="str">
            <v>FU0855</v>
          </cell>
          <cell r="B857" t="str">
            <v>Fusteltecnica</v>
          </cell>
          <cell r="C857" t="str">
            <v>R08201</v>
          </cell>
          <cell r="D857" t="str">
            <v>CHS</v>
          </cell>
          <cell r="E857" t="str">
            <v>Shopper 1 bottiglia</v>
          </cell>
          <cell r="F857" t="str">
            <v>BOBST 1260</v>
          </cell>
          <cell r="G857">
            <v>1</v>
          </cell>
          <cell r="H857" t="str">
            <v>No</v>
          </cell>
          <cell r="I857" t="str">
            <v>Si</v>
          </cell>
          <cell r="J857" t="str">
            <v>No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</row>
        <row r="858">
          <cell r="A858" t="str">
            <v>FU0856</v>
          </cell>
          <cell r="B858" t="str">
            <v>Fusteltecnica</v>
          </cell>
          <cell r="C858" t="str">
            <v>E06485</v>
          </cell>
          <cell r="D858" t="str">
            <v>Pantytex</v>
          </cell>
          <cell r="E858" t="str">
            <v>Buste soffietto hema 2017</v>
          </cell>
          <cell r="F858" t="str">
            <v>BOBST 104</v>
          </cell>
          <cell r="G858">
            <v>4</v>
          </cell>
          <cell r="H858" t="str">
            <v>Si</v>
          </cell>
          <cell r="I858" t="str">
            <v>No</v>
          </cell>
          <cell r="J858" t="str">
            <v>No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</row>
        <row r="859">
          <cell r="A859" t="str">
            <v>FU0857</v>
          </cell>
          <cell r="B859" t="str">
            <v>Lasercom</v>
          </cell>
          <cell r="C859" t="str">
            <v>Lomba203</v>
          </cell>
          <cell r="D859" t="str">
            <v>Cizeta</v>
          </cell>
          <cell r="E859" t="str">
            <v>Scatole cz</v>
          </cell>
          <cell r="F859" t="str">
            <v>BOBST 1260</v>
          </cell>
          <cell r="G859">
            <v>6</v>
          </cell>
          <cell r="H859" t="str">
            <v>Si</v>
          </cell>
          <cell r="I859" t="str">
            <v>Si</v>
          </cell>
          <cell r="J859" t="str">
            <v>No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</row>
        <row r="860">
          <cell r="A860" t="str">
            <v>FU0858</v>
          </cell>
          <cell r="B860" t="str">
            <v>Fusteltecnica</v>
          </cell>
          <cell r="C860" t="str">
            <v>E06499</v>
          </cell>
          <cell r="D860" t="str">
            <v>Pantytex</v>
          </cell>
          <cell r="E860" t="str">
            <v>Appendini action 2017</v>
          </cell>
          <cell r="F860" t="str">
            <v>BOBST 1260</v>
          </cell>
          <cell r="G860">
            <v>10</v>
          </cell>
          <cell r="H860" t="str">
            <v>Si</v>
          </cell>
          <cell r="I860" t="str">
            <v>Si</v>
          </cell>
          <cell r="J860" t="str">
            <v>No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</row>
        <row r="861">
          <cell r="A861" t="str">
            <v>FU0859</v>
          </cell>
          <cell r="B861" t="str">
            <v>Lasercom</v>
          </cell>
          <cell r="C861" t="str">
            <v>Lomba770</v>
          </cell>
          <cell r="D861" t="str">
            <v>Pantytex</v>
          </cell>
          <cell r="E861" t="str">
            <v>Appendini hema fantasie 2017 d20</v>
          </cell>
          <cell r="F861" t="str">
            <v>BOBST 104</v>
          </cell>
          <cell r="G861">
            <v>8</v>
          </cell>
          <cell r="H861" t="str">
            <v>Si</v>
          </cell>
          <cell r="I861" t="str">
            <v>No</v>
          </cell>
          <cell r="J861" t="str">
            <v>No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</row>
        <row r="862">
          <cell r="A862" t="str">
            <v>FU0860</v>
          </cell>
          <cell r="B862" t="str">
            <v>Fusteltecnica</v>
          </cell>
          <cell r="C862" t="str">
            <v>R08175</v>
          </cell>
          <cell r="D862" t="str">
            <v>Pantytex</v>
          </cell>
          <cell r="E862" t="str">
            <v>Astucci hema 2017</v>
          </cell>
          <cell r="F862" t="str">
            <v>BOBST 1260</v>
          </cell>
          <cell r="G862">
            <v>6</v>
          </cell>
          <cell r="H862" t="str">
            <v>Si</v>
          </cell>
          <cell r="I862" t="str">
            <v>Si</v>
          </cell>
          <cell r="J862" t="str">
            <v>No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</row>
        <row r="863">
          <cell r="A863" t="str">
            <v>FU0861</v>
          </cell>
          <cell r="B863" t="str">
            <v>Fusteltecnica</v>
          </cell>
          <cell r="C863" t="str">
            <v>R08194</v>
          </cell>
          <cell r="D863" t="str">
            <v>Costa</v>
          </cell>
          <cell r="E863" t="str">
            <v>Fascette Vagabond</v>
          </cell>
          <cell r="F863" t="str">
            <v>BOBST 104</v>
          </cell>
          <cell r="G863">
            <v>18</v>
          </cell>
          <cell r="H863" t="str">
            <v>No</v>
          </cell>
          <cell r="I863" t="str">
            <v>No</v>
          </cell>
          <cell r="J863" t="str">
            <v>No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</row>
        <row r="864">
          <cell r="A864" t="str">
            <v>FU0862</v>
          </cell>
          <cell r="B864" t="str">
            <v>Lasercom</v>
          </cell>
          <cell r="C864" t="str">
            <v>Lomba774</v>
          </cell>
          <cell r="D864" t="str">
            <v>Girardi</v>
          </cell>
          <cell r="E864" t="str">
            <v>Astucci Leggings</v>
          </cell>
          <cell r="F864" t="str">
            <v>BOBST 1260</v>
          </cell>
          <cell r="G864">
            <v>2</v>
          </cell>
          <cell r="H864" t="str">
            <v>No</v>
          </cell>
          <cell r="I864" t="str">
            <v>Si</v>
          </cell>
          <cell r="J864" t="str">
            <v>No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</row>
        <row r="865">
          <cell r="A865" t="str">
            <v>FU0863</v>
          </cell>
          <cell r="B865" t="str">
            <v>Lasercom</v>
          </cell>
          <cell r="C865" t="str">
            <v>Lomba772</v>
          </cell>
          <cell r="D865" t="str">
            <v>Magazzini del Caffè</v>
          </cell>
          <cell r="E865" t="str">
            <v>Scatole bahia 50 2017</v>
          </cell>
          <cell r="F865" t="str">
            <v>BOBST 1260</v>
          </cell>
          <cell r="G865">
            <v>2</v>
          </cell>
          <cell r="H865" t="str">
            <v>No</v>
          </cell>
          <cell r="I865" t="str">
            <v>Si</v>
          </cell>
          <cell r="J865" t="str">
            <v>No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</row>
        <row r="866">
          <cell r="A866" t="str">
            <v>FU0864</v>
          </cell>
          <cell r="B866" t="str">
            <v>Lasercom</v>
          </cell>
          <cell r="C866" t="str">
            <v>Lomba775</v>
          </cell>
          <cell r="D866" t="str">
            <v>Battaglio</v>
          </cell>
          <cell r="E866" t="str">
            <v>Solette 3 orsi</v>
          </cell>
          <cell r="F866" t="str">
            <v>BOBST 104</v>
          </cell>
          <cell r="G866">
            <v>5</v>
          </cell>
          <cell r="H866" t="str">
            <v>No</v>
          </cell>
          <cell r="I866" t="str">
            <v>No</v>
          </cell>
          <cell r="J866" t="str">
            <v>No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</row>
        <row r="867">
          <cell r="A867" t="str">
            <v>FU0865</v>
          </cell>
          <cell r="B867" t="str">
            <v>Fusteltecnica</v>
          </cell>
          <cell r="C867" t="str">
            <v>M06707</v>
          </cell>
          <cell r="D867" t="str">
            <v>Pantytex</v>
          </cell>
          <cell r="E867" t="str">
            <v>Appendini fascino d30</v>
          </cell>
          <cell r="F867" t="str">
            <v>BOBST 104</v>
          </cell>
          <cell r="G867">
            <v>6</v>
          </cell>
          <cell r="H867" t="str">
            <v>Si</v>
          </cell>
          <cell r="I867" t="str">
            <v>No</v>
          </cell>
          <cell r="J867" t="str">
            <v>No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</row>
        <row r="868">
          <cell r="A868" t="str">
            <v>FU0866</v>
          </cell>
          <cell r="B868" t="str">
            <v>Fusteltecnica</v>
          </cell>
          <cell r="C868" t="str">
            <v>R08208</v>
          </cell>
          <cell r="D868" t="str">
            <v>Pantytex</v>
          </cell>
          <cell r="E868" t="str">
            <v>Abbinato maddison</v>
          </cell>
          <cell r="F868" t="str">
            <v>BOBST 104</v>
          </cell>
          <cell r="G868">
            <v>4</v>
          </cell>
          <cell r="H868" t="str">
            <v>No</v>
          </cell>
          <cell r="I868" t="str">
            <v>No</v>
          </cell>
          <cell r="J868" t="str">
            <v>No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</row>
        <row r="869">
          <cell r="A869" t="str">
            <v>FU0867</v>
          </cell>
          <cell r="B869" t="str">
            <v>Lasercom</v>
          </cell>
          <cell r="C869" t="str">
            <v>Lomba779</v>
          </cell>
          <cell r="D869" t="str">
            <v>Elettroplastica</v>
          </cell>
          <cell r="E869" t="str">
            <v>Abbinato dottor Frei</v>
          </cell>
          <cell r="F869" t="str">
            <v>BOBST 1260</v>
          </cell>
          <cell r="G869">
            <v>2</v>
          </cell>
          <cell r="H869" t="str">
            <v>No</v>
          </cell>
          <cell r="I869" t="str">
            <v>Si</v>
          </cell>
          <cell r="J869" t="str">
            <v>No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</row>
        <row r="870">
          <cell r="A870" t="str">
            <v>FU0868</v>
          </cell>
          <cell r="B870" t="str">
            <v>Fusteltecnica</v>
          </cell>
          <cell r="C870" t="str">
            <v>M06891</v>
          </cell>
          <cell r="D870" t="str">
            <v>Cinturificio Bresciano</v>
          </cell>
          <cell r="E870" t="str">
            <v>Coperchi neutri</v>
          </cell>
          <cell r="F870" t="str">
            <v>BOBST 1260</v>
          </cell>
          <cell r="G870">
            <v>2</v>
          </cell>
          <cell r="H870" t="str">
            <v>No</v>
          </cell>
          <cell r="I870" t="str">
            <v>Si</v>
          </cell>
          <cell r="J870" t="str">
            <v>No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</row>
        <row r="871">
          <cell r="A871" t="str">
            <v>FU0869</v>
          </cell>
          <cell r="B871" t="str">
            <v>Fusteltecnica</v>
          </cell>
          <cell r="C871" t="str">
            <v>M06890</v>
          </cell>
          <cell r="D871" t="str">
            <v>Cinturificio Bresciano</v>
          </cell>
          <cell r="E871" t="str">
            <v>Fondi neutri micro</v>
          </cell>
          <cell r="F871" t="str">
            <v>BOBST 1260</v>
          </cell>
          <cell r="G871">
            <v>2</v>
          </cell>
          <cell r="H871" t="str">
            <v>No</v>
          </cell>
          <cell r="I871" t="str">
            <v>Si</v>
          </cell>
          <cell r="J871" t="str">
            <v>No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</row>
        <row r="872">
          <cell r="A872" t="str">
            <v>FU0870</v>
          </cell>
          <cell r="B872" t="str">
            <v>Fusteltecnica</v>
          </cell>
          <cell r="C872" t="str">
            <v>M06602</v>
          </cell>
          <cell r="D872" t="str">
            <v>Pantytex</v>
          </cell>
          <cell r="E872" t="str">
            <v>Abbinato wibra neri</v>
          </cell>
          <cell r="F872" t="str">
            <v>BOBST 104</v>
          </cell>
          <cell r="G872">
            <v>4</v>
          </cell>
          <cell r="H872" t="str">
            <v>Si</v>
          </cell>
          <cell r="I872" t="str">
            <v>No</v>
          </cell>
          <cell r="J872" t="str">
            <v>No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</row>
        <row r="873">
          <cell r="A873" t="str">
            <v>FU0871</v>
          </cell>
          <cell r="B873" t="str">
            <v>Fusteltecnica</v>
          </cell>
          <cell r="C873" t="str">
            <v>E06507</v>
          </cell>
          <cell r="D873" t="str">
            <v>Gerards</v>
          </cell>
          <cell r="E873" t="str">
            <v>Cofanetto natale</v>
          </cell>
          <cell r="F873" t="str">
            <v>BOBST 104</v>
          </cell>
          <cell r="G873">
            <v>1</v>
          </cell>
          <cell r="H873" t="str">
            <v>No</v>
          </cell>
          <cell r="I873" t="str">
            <v>No</v>
          </cell>
          <cell r="J873" t="str">
            <v>No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</row>
        <row r="874">
          <cell r="A874" t="str">
            <v>FU0872</v>
          </cell>
          <cell r="B874" t="str">
            <v>Fusteltecnica</v>
          </cell>
          <cell r="C874" t="str">
            <v>R08168</v>
          </cell>
          <cell r="D874" t="str">
            <v>Gerards</v>
          </cell>
          <cell r="E874" t="str">
            <v>Profumo ambiente</v>
          </cell>
          <cell r="F874" t="str">
            <v>BOBST 104</v>
          </cell>
          <cell r="G874">
            <v>1</v>
          </cell>
          <cell r="H874" t="str">
            <v>No</v>
          </cell>
          <cell r="I874" t="str">
            <v>No</v>
          </cell>
          <cell r="J874" t="str">
            <v>No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</row>
        <row r="875">
          <cell r="A875" t="str">
            <v>FU0873</v>
          </cell>
          <cell r="B875" t="str">
            <v>Fusteltecnica</v>
          </cell>
          <cell r="C875" t="str">
            <v>R08309</v>
          </cell>
          <cell r="D875" t="str">
            <v>Quaranta</v>
          </cell>
          <cell r="E875" t="str">
            <v>Cavallotti torroncini</v>
          </cell>
          <cell r="F875" t="str">
            <v>BOBST 1260</v>
          </cell>
          <cell r="G875">
            <v>9</v>
          </cell>
          <cell r="H875" t="str">
            <v>No</v>
          </cell>
          <cell r="I875" t="str">
            <v>Si</v>
          </cell>
          <cell r="J875" t="str">
            <v>No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</row>
        <row r="876">
          <cell r="A876" t="str">
            <v>FU0874</v>
          </cell>
          <cell r="B876" t="str">
            <v>Fusteltecnica</v>
          </cell>
          <cell r="C876" t="str">
            <v>M06925</v>
          </cell>
          <cell r="D876" t="str">
            <v>Rcm</v>
          </cell>
          <cell r="E876" t="str">
            <v>Astuccio natale 2017</v>
          </cell>
          <cell r="F876" t="str">
            <v>BOBST 1260</v>
          </cell>
          <cell r="G876">
            <v>1</v>
          </cell>
          <cell r="H876" t="str">
            <v>No</v>
          </cell>
          <cell r="I876" t="str">
            <v>Si</v>
          </cell>
          <cell r="J876" t="str">
            <v>No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</row>
        <row r="877">
          <cell r="A877" t="str">
            <v>FU0875</v>
          </cell>
          <cell r="B877" t="str">
            <v>Fusteltecnica</v>
          </cell>
          <cell r="C877" t="str">
            <v>E06542</v>
          </cell>
          <cell r="D877" t="str">
            <v>Vegas</v>
          </cell>
          <cell r="E877" t="str">
            <v>Scatole automontanti</v>
          </cell>
          <cell r="F877" t="str">
            <v>BOBST 104</v>
          </cell>
          <cell r="G877">
            <v>2</v>
          </cell>
          <cell r="H877" t="str">
            <v>Si</v>
          </cell>
          <cell r="I877" t="str">
            <v>No</v>
          </cell>
          <cell r="J877" t="str">
            <v>No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</row>
        <row r="878">
          <cell r="A878" t="str">
            <v>FU0876</v>
          </cell>
          <cell r="B878" t="str">
            <v>Fusteltecnica</v>
          </cell>
          <cell r="C878" t="str">
            <v>E06554</v>
          </cell>
          <cell r="D878" t="str">
            <v>Pantytex</v>
          </cell>
          <cell r="E878" t="str">
            <v>Astucci ovg</v>
          </cell>
          <cell r="F878" t="str">
            <v>BOBST 1260</v>
          </cell>
          <cell r="G878">
            <v>4</v>
          </cell>
          <cell r="H878" t="str">
            <v>Si</v>
          </cell>
          <cell r="I878" t="str">
            <v>Si</v>
          </cell>
          <cell r="J878" t="str">
            <v>No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</row>
        <row r="879">
          <cell r="A879" t="str">
            <v>FU0877</v>
          </cell>
          <cell r="B879" t="str">
            <v>Fusteltecnica</v>
          </cell>
          <cell r="C879" t="str">
            <v>M06947</v>
          </cell>
          <cell r="D879" t="str">
            <v>Pantytex</v>
          </cell>
          <cell r="E879" t="str">
            <v>Appendini hkm abbinati</v>
          </cell>
          <cell r="F879" t="str">
            <v>BOBST 104</v>
          </cell>
          <cell r="G879">
            <v>6</v>
          </cell>
          <cell r="H879" t="str">
            <v>Si</v>
          </cell>
          <cell r="I879" t="str">
            <v>No</v>
          </cell>
          <cell r="J879" t="str">
            <v>No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</row>
        <row r="880">
          <cell r="A880" t="str">
            <v>FU0878</v>
          </cell>
          <cell r="B880" t="str">
            <v>Fusteltecnica</v>
          </cell>
          <cell r="C880" t="str">
            <v>M06866</v>
          </cell>
          <cell r="D880" t="str">
            <v>Tracy</v>
          </cell>
          <cell r="E880" t="str">
            <v>Appendini orchestra 9/2017</v>
          </cell>
          <cell r="F880" t="str">
            <v>BOBST 104</v>
          </cell>
          <cell r="G880">
            <v>4</v>
          </cell>
          <cell r="H880" t="str">
            <v>Si</v>
          </cell>
          <cell r="I880" t="str">
            <v>No</v>
          </cell>
          <cell r="J880" t="str">
            <v>No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</row>
        <row r="881">
          <cell r="A881" t="str">
            <v>FU0879</v>
          </cell>
          <cell r="B881" t="str">
            <v>Fusteltecnica</v>
          </cell>
          <cell r="C881" t="str">
            <v>E06532</v>
          </cell>
          <cell r="D881" t="str">
            <v>Quaranta</v>
          </cell>
          <cell r="E881" t="str">
            <v>Fasce stanislast</v>
          </cell>
          <cell r="F881" t="str">
            <v>BOBST 104</v>
          </cell>
          <cell r="G881">
            <v>20</v>
          </cell>
          <cell r="H881" t="str">
            <v>Si</v>
          </cell>
          <cell r="I881" t="str">
            <v>No</v>
          </cell>
          <cell r="J881" t="str">
            <v>No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</row>
        <row r="882">
          <cell r="A882" t="str">
            <v>FU0880</v>
          </cell>
          <cell r="B882" t="str">
            <v>Fusteltecnica</v>
          </cell>
          <cell r="C882" t="str">
            <v>E06600</v>
          </cell>
          <cell r="D882" t="str">
            <v>Pantytex</v>
          </cell>
          <cell r="E882" t="str">
            <v>Appendini C&amp;A Donna 2X</v>
          </cell>
          <cell r="F882" t="str">
            <v>BOBST 1260</v>
          </cell>
          <cell r="G882">
            <v>10</v>
          </cell>
          <cell r="H882" t="str">
            <v>Si</v>
          </cell>
          <cell r="I882" t="str">
            <v>Si</v>
          </cell>
          <cell r="J882" t="str">
            <v>No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</row>
        <row r="883">
          <cell r="A883" t="str">
            <v>FU0881</v>
          </cell>
          <cell r="B883" t="str">
            <v>Fusteltecnica</v>
          </cell>
          <cell r="C883" t="str">
            <v>M06950</v>
          </cell>
          <cell r="D883" t="str">
            <v>Pasta Lensi</v>
          </cell>
          <cell r="E883" t="str">
            <v>Hipp fattoria</v>
          </cell>
          <cell r="F883" t="str">
            <v>BOBST 104</v>
          </cell>
          <cell r="G883">
            <v>4</v>
          </cell>
          <cell r="H883" t="str">
            <v>Si</v>
          </cell>
          <cell r="I883" t="str">
            <v>No</v>
          </cell>
          <cell r="J883" t="str">
            <v>No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</row>
        <row r="884">
          <cell r="A884" t="str">
            <v>FU0882</v>
          </cell>
          <cell r="B884" t="str">
            <v>Fusteltecnica</v>
          </cell>
          <cell r="C884" t="str">
            <v>E06590</v>
          </cell>
          <cell r="D884" t="str">
            <v>Pantytex</v>
          </cell>
          <cell r="E884" t="str">
            <v>Cavallotti adesivi desiree</v>
          </cell>
          <cell r="F884" t="str">
            <v>BOBST 1260</v>
          </cell>
          <cell r="G884">
            <v>6</v>
          </cell>
          <cell r="H884" t="str">
            <v>No</v>
          </cell>
          <cell r="I884" t="str">
            <v>Si</v>
          </cell>
          <cell r="J884" t="str">
            <v>No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</row>
        <row r="885">
          <cell r="A885" t="str">
            <v>FU0883</v>
          </cell>
          <cell r="B885" t="str">
            <v>Lasercom</v>
          </cell>
          <cell r="C885" t="str">
            <v>Lom781_J</v>
          </cell>
          <cell r="D885" t="str">
            <v>Art Caffe</v>
          </cell>
          <cell r="E885" t="str">
            <v>Astucci 10 caps</v>
          </cell>
          <cell r="F885" t="str">
            <v>BOBST 1260</v>
          </cell>
          <cell r="G885">
            <v>4</v>
          </cell>
          <cell r="H885" t="str">
            <v>No</v>
          </cell>
          <cell r="I885" t="str">
            <v>Si</v>
          </cell>
          <cell r="J885" t="str">
            <v>No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</row>
        <row r="886">
          <cell r="A886" t="str">
            <v>FU0884</v>
          </cell>
          <cell r="B886" t="str">
            <v>Lasercom</v>
          </cell>
          <cell r="C886" t="str">
            <v>Lomba905f</v>
          </cell>
          <cell r="D886" t="str">
            <v>Feldi</v>
          </cell>
          <cell r="E886" t="str">
            <v>Scatola tesmed</v>
          </cell>
          <cell r="F886" t="str">
            <v>BOBST 1260</v>
          </cell>
          <cell r="G886">
            <v>2</v>
          </cell>
          <cell r="H886" t="str">
            <v>No</v>
          </cell>
          <cell r="I886" t="str">
            <v>Si</v>
          </cell>
          <cell r="J886" t="str">
            <v>No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</row>
        <row r="887">
          <cell r="A887" t="str">
            <v>FU0885</v>
          </cell>
          <cell r="B887" t="str">
            <v>Fusteltecnica</v>
          </cell>
          <cell r="C887" t="str">
            <v>M07049</v>
          </cell>
          <cell r="D887" t="str">
            <v>Gerards</v>
          </cell>
          <cell r="E887" t="str">
            <v>Pochette natale</v>
          </cell>
          <cell r="F887" t="str">
            <v>BOBST 1260</v>
          </cell>
          <cell r="G887">
            <v>2</v>
          </cell>
          <cell r="H887" t="str">
            <v>No</v>
          </cell>
          <cell r="I887" t="str">
            <v>Si</v>
          </cell>
          <cell r="J887" t="str">
            <v>No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</row>
        <row r="888">
          <cell r="A888" t="str">
            <v>FU0886</v>
          </cell>
          <cell r="B888" t="str">
            <v>Foppa Fustelle</v>
          </cell>
          <cell r="C888" t="str">
            <v>I515</v>
          </cell>
          <cell r="D888" t="str">
            <v>Pantytex</v>
          </cell>
          <cell r="E888" t="str">
            <v>Appendini c&amp;a genny bimbo 1x</v>
          </cell>
          <cell r="F888" t="str">
            <v>BOBST 1260</v>
          </cell>
          <cell r="G888">
            <v>10</v>
          </cell>
          <cell r="H888" t="str">
            <v>Si</v>
          </cell>
          <cell r="I888" t="str">
            <v>Si</v>
          </cell>
          <cell r="J888" t="str">
            <v>No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</row>
        <row r="889">
          <cell r="A889" t="str">
            <v>FU0887</v>
          </cell>
          <cell r="B889" t="str">
            <v>Foppa Fustelle</v>
          </cell>
          <cell r="C889" t="str">
            <v>I517</v>
          </cell>
          <cell r="D889" t="str">
            <v>Pantytex</v>
          </cell>
          <cell r="E889" t="str">
            <v>Appendini c&amp;a genny bimbo 2x</v>
          </cell>
          <cell r="F889" t="str">
            <v>BOBST 1260</v>
          </cell>
          <cell r="G889">
            <v>4</v>
          </cell>
          <cell r="H889" t="str">
            <v>Si</v>
          </cell>
          <cell r="I889" t="str">
            <v>Si</v>
          </cell>
          <cell r="J889" t="str">
            <v>No</v>
          </cell>
          <cell r="K889">
            <v>0</v>
          </cell>
          <cell r="L889" t="str">
            <v>No</v>
          </cell>
          <cell r="M889">
            <v>0</v>
          </cell>
          <cell r="N889">
            <v>0</v>
          </cell>
        </row>
        <row r="890">
          <cell r="A890" t="str">
            <v>FU0888</v>
          </cell>
          <cell r="B890" t="str">
            <v>Fusteltecnica</v>
          </cell>
          <cell r="C890" t="str">
            <v>M08087</v>
          </cell>
          <cell r="D890" t="str">
            <v>Pantytex</v>
          </cell>
          <cell r="E890" t="str">
            <v>Buste hema disco 2019</v>
          </cell>
          <cell r="F890" t="str">
            <v>BOBST 1260</v>
          </cell>
          <cell r="G890">
            <v>5</v>
          </cell>
          <cell r="H890" t="str">
            <v>Si</v>
          </cell>
          <cell r="I890" t="str">
            <v>Si</v>
          </cell>
          <cell r="J890" t="str">
            <v>No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</row>
        <row r="891">
          <cell r="A891" t="str">
            <v>FU0889</v>
          </cell>
          <cell r="B891" t="str">
            <v>Foppa Fustelle</v>
          </cell>
          <cell r="C891" t="str">
            <v>17-02580</v>
          </cell>
          <cell r="D891" t="str">
            <v>Poli</v>
          </cell>
          <cell r="E891" t="str">
            <v>Astucci poli automatici 2018</v>
          </cell>
          <cell r="F891" t="str">
            <v>BOBST 104</v>
          </cell>
          <cell r="G891">
            <v>6</v>
          </cell>
          <cell r="H891" t="str">
            <v>Si</v>
          </cell>
          <cell r="I891" t="str">
            <v>No</v>
          </cell>
          <cell r="J891" t="str">
            <v>No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</row>
        <row r="892">
          <cell r="A892" t="str">
            <v>FU0890</v>
          </cell>
          <cell r="B892" t="str">
            <v>Fusteltecnica</v>
          </cell>
          <cell r="C892" t="str">
            <v>E06605</v>
          </cell>
          <cell r="D892" t="str">
            <v>Sacma</v>
          </cell>
          <cell r="E892" t="str">
            <v>Maniglie lunghe</v>
          </cell>
          <cell r="F892" t="str">
            <v>BOBST 104</v>
          </cell>
          <cell r="G892">
            <v>9</v>
          </cell>
          <cell r="H892" t="str">
            <v>Si</v>
          </cell>
          <cell r="I892" t="str">
            <v>No</v>
          </cell>
          <cell r="J892" t="str">
            <v>No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</row>
        <row r="893">
          <cell r="A893" t="str">
            <v>FU0891</v>
          </cell>
          <cell r="B893" t="str">
            <v>Fusteltecnica</v>
          </cell>
          <cell r="C893" t="str">
            <v>M07048</v>
          </cell>
          <cell r="D893" t="str">
            <v>Gerards</v>
          </cell>
          <cell r="E893" t="str">
            <v>Pendagli natale</v>
          </cell>
          <cell r="F893" t="str">
            <v>BOBST 1260</v>
          </cell>
          <cell r="G893">
            <v>6</v>
          </cell>
          <cell r="H893" t="str">
            <v>No</v>
          </cell>
          <cell r="I893" t="str">
            <v>Si</v>
          </cell>
          <cell r="J893" t="str">
            <v>No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</row>
        <row r="894">
          <cell r="A894" t="str">
            <v>FU0892</v>
          </cell>
          <cell r="B894" t="str">
            <v>Fusteltecnica</v>
          </cell>
          <cell r="C894" t="str">
            <v>M07084</v>
          </cell>
          <cell r="D894" t="str">
            <v>Pantytex</v>
          </cell>
          <cell r="E894" t="str">
            <v>Appendini bik bok 2017</v>
          </cell>
          <cell r="F894" t="str">
            <v>BOBST 1260</v>
          </cell>
          <cell r="G894">
            <v>2</v>
          </cell>
          <cell r="H894" t="str">
            <v>No</v>
          </cell>
          <cell r="I894" t="str">
            <v>Si</v>
          </cell>
          <cell r="J894" t="str">
            <v>No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</row>
        <row r="895">
          <cell r="A895" t="str">
            <v>FU0893</v>
          </cell>
          <cell r="B895" t="str">
            <v>Fusteltecnica</v>
          </cell>
          <cell r="C895" t="str">
            <v>E066060</v>
          </cell>
          <cell r="D895" t="str">
            <v>Gta</v>
          </cell>
          <cell r="E895" t="str">
            <v>Astucci dolci goloserie</v>
          </cell>
          <cell r="F895" t="str">
            <v>BOBST 1260</v>
          </cell>
          <cell r="G895">
            <v>1</v>
          </cell>
          <cell r="H895" t="str">
            <v>No</v>
          </cell>
          <cell r="I895" t="str">
            <v>Si</v>
          </cell>
          <cell r="J895" t="str">
            <v>No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</row>
        <row r="896">
          <cell r="A896" t="str">
            <v>FU0894</v>
          </cell>
          <cell r="B896" t="str">
            <v>Lasercom</v>
          </cell>
          <cell r="C896" t="str">
            <v>Lomba783</v>
          </cell>
          <cell r="D896" t="str">
            <v>Pantytex</v>
          </cell>
          <cell r="E896" t="str">
            <v>Astucci C&amp;A 2018</v>
          </cell>
          <cell r="F896" t="str">
            <v>BOBST 1260</v>
          </cell>
          <cell r="G896">
            <v>4</v>
          </cell>
          <cell r="H896" t="str">
            <v>No</v>
          </cell>
          <cell r="I896" t="str">
            <v>Si</v>
          </cell>
          <cell r="J896" t="str">
            <v>No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</row>
        <row r="897">
          <cell r="A897" t="str">
            <v>FU0895</v>
          </cell>
          <cell r="B897" t="str">
            <v>Fusteltecnica</v>
          </cell>
          <cell r="C897" t="str">
            <v>M07054</v>
          </cell>
          <cell r="D897" t="str">
            <v>Gaettarelli</v>
          </cell>
          <cell r="E897" t="str">
            <v>Fasce pasta 2018</v>
          </cell>
          <cell r="F897" t="str">
            <v>BOBST 104</v>
          </cell>
          <cell r="G897">
            <v>3</v>
          </cell>
          <cell r="H897" t="str">
            <v>Si</v>
          </cell>
          <cell r="I897" t="str">
            <v>No</v>
          </cell>
          <cell r="J897" t="str">
            <v>No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</row>
        <row r="898">
          <cell r="A898" t="str">
            <v>FU0896</v>
          </cell>
          <cell r="B898">
            <v>0</v>
          </cell>
          <cell r="C898" t="str">
            <v>-</v>
          </cell>
          <cell r="D898">
            <v>0</v>
          </cell>
          <cell r="E898">
            <v>0</v>
          </cell>
          <cell r="F898" t="str">
            <v>BOBST 104</v>
          </cell>
          <cell r="G898">
            <v>0</v>
          </cell>
          <cell r="H898" t="str">
            <v>No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</row>
        <row r="899">
          <cell r="A899" t="str">
            <v>FU0897</v>
          </cell>
          <cell r="B899" t="str">
            <v>Fusteltecnica</v>
          </cell>
          <cell r="C899" t="str">
            <v>E06622</v>
          </cell>
          <cell r="D899" t="str">
            <v>Red line</v>
          </cell>
          <cell r="E899" t="str">
            <v>Pochette Cuore</v>
          </cell>
          <cell r="F899" t="str">
            <v>BOBST 104</v>
          </cell>
          <cell r="G899">
            <v>4</v>
          </cell>
          <cell r="H899" t="str">
            <v>No</v>
          </cell>
          <cell r="I899" t="str">
            <v>No</v>
          </cell>
          <cell r="J899" t="str">
            <v>No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</row>
        <row r="900">
          <cell r="A900" t="str">
            <v>FU0898</v>
          </cell>
          <cell r="B900" t="str">
            <v>Fusteltecnica</v>
          </cell>
          <cell r="C900" t="str">
            <v>M07051</v>
          </cell>
          <cell r="D900" t="str">
            <v>Pantytex</v>
          </cell>
          <cell r="E900" t="str">
            <v>Appendini C&amp;A 2018</v>
          </cell>
          <cell r="F900" t="str">
            <v>BOBST 1260</v>
          </cell>
          <cell r="G900">
            <v>2</v>
          </cell>
          <cell r="H900" t="str">
            <v>No</v>
          </cell>
          <cell r="I900" t="str">
            <v>Si</v>
          </cell>
          <cell r="J900" t="str">
            <v>No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</row>
        <row r="901">
          <cell r="A901" t="str">
            <v>FU0899</v>
          </cell>
          <cell r="B901" t="str">
            <v>Fusteltecnica</v>
          </cell>
          <cell r="C901" t="str">
            <v>M07131</v>
          </cell>
          <cell r="D901" t="str">
            <v>O.Erre</v>
          </cell>
          <cell r="E901" t="str">
            <v>Imballo 15/6</v>
          </cell>
          <cell r="F901" t="str">
            <v>BOBST 1260</v>
          </cell>
          <cell r="G901">
            <v>2</v>
          </cell>
          <cell r="H901" t="str">
            <v>No</v>
          </cell>
          <cell r="I901" t="str">
            <v>Si</v>
          </cell>
          <cell r="J901" t="str">
            <v>No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</row>
        <row r="902">
          <cell r="A902" t="str">
            <v>FU0900</v>
          </cell>
          <cell r="B902" t="str">
            <v>Fusteltecnica</v>
          </cell>
          <cell r="C902" t="str">
            <v>E06648</v>
          </cell>
          <cell r="D902" t="str">
            <v>Pantytex</v>
          </cell>
          <cell r="E902" t="str">
            <v>Buste soffietto hema 2018</v>
          </cell>
          <cell r="F902" t="str">
            <v>BOBST 104</v>
          </cell>
          <cell r="G902">
            <v>4</v>
          </cell>
          <cell r="H902" t="str">
            <v>Si</v>
          </cell>
          <cell r="I902" t="str">
            <v>No</v>
          </cell>
          <cell r="J902" t="str">
            <v>No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</row>
        <row r="903">
          <cell r="A903" t="str">
            <v>FU0901</v>
          </cell>
          <cell r="B903" t="str">
            <v>Fusteltecnica</v>
          </cell>
          <cell r="C903" t="str">
            <v>M07132</v>
          </cell>
          <cell r="D903" t="str">
            <v>Baggini</v>
          </cell>
          <cell r="E903" t="str">
            <v>Coperchio scatola blu alta</v>
          </cell>
          <cell r="F903" t="str">
            <v>BOBST 1260</v>
          </cell>
          <cell r="G903">
            <v>1</v>
          </cell>
          <cell r="H903" t="str">
            <v>No</v>
          </cell>
          <cell r="I903" t="str">
            <v>Si</v>
          </cell>
          <cell r="J903" t="str">
            <v>No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</row>
        <row r="904">
          <cell r="A904" t="str">
            <v>FU0902</v>
          </cell>
          <cell r="B904" t="str">
            <v>Lasercom</v>
          </cell>
          <cell r="C904" t="str">
            <v>Lomba791</v>
          </cell>
          <cell r="D904" t="str">
            <v>Bredasole</v>
          </cell>
          <cell r="E904" t="str">
            <v>Scatola 3 bottiglie</v>
          </cell>
          <cell r="F904" t="str">
            <v>BOBST 1260</v>
          </cell>
          <cell r="G904">
            <v>1</v>
          </cell>
          <cell r="H904" t="str">
            <v>No</v>
          </cell>
          <cell r="I904" t="str">
            <v>Si</v>
          </cell>
          <cell r="J904" t="str">
            <v>No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</row>
        <row r="905">
          <cell r="A905" t="str">
            <v>FU0903</v>
          </cell>
          <cell r="B905" t="str">
            <v>Foppa Fustelle</v>
          </cell>
          <cell r="C905" t="str">
            <v>17-03389</v>
          </cell>
          <cell r="D905" t="str">
            <v>Ecomec</v>
          </cell>
          <cell r="E905" t="str">
            <v>Scatola capsule</v>
          </cell>
          <cell r="F905" t="str">
            <v>BOBST 1260</v>
          </cell>
          <cell r="G905">
            <v>2</v>
          </cell>
          <cell r="H905" t="str">
            <v>No</v>
          </cell>
          <cell r="I905" t="str">
            <v>Si</v>
          </cell>
          <cell r="J905" t="str">
            <v>No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</row>
        <row r="906">
          <cell r="A906" t="str">
            <v>FU0904</v>
          </cell>
          <cell r="B906" t="str">
            <v>Fusteltecnica</v>
          </cell>
          <cell r="C906" t="str">
            <v>E06632</v>
          </cell>
          <cell r="D906" t="str">
            <v>Manor</v>
          </cell>
          <cell r="E906" t="str">
            <v>Cavallotto Manor 2018 - DC1</v>
          </cell>
          <cell r="F906" t="str">
            <v>BOBST 1260</v>
          </cell>
          <cell r="G906">
            <v>14</v>
          </cell>
          <cell r="H906" t="str">
            <v>No</v>
          </cell>
          <cell r="I906" t="str">
            <v>Si</v>
          </cell>
          <cell r="J906" t="str">
            <v>No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</row>
        <row r="907">
          <cell r="A907" t="str">
            <v>FU0905</v>
          </cell>
          <cell r="B907" t="str">
            <v>Fusteltecnica</v>
          </cell>
          <cell r="C907" t="str">
            <v>E06630</v>
          </cell>
          <cell r="D907" t="str">
            <v>Manor</v>
          </cell>
          <cell r="E907" t="str">
            <v>Appendini Manor 2018 - DC4</v>
          </cell>
          <cell r="F907" t="str">
            <v>BOBST 1260</v>
          </cell>
          <cell r="G907">
            <v>6</v>
          </cell>
          <cell r="H907" t="str">
            <v>Si</v>
          </cell>
          <cell r="I907" t="str">
            <v>Si</v>
          </cell>
          <cell r="J907" t="str">
            <v>No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</row>
        <row r="908">
          <cell r="A908" t="str">
            <v>FU0906</v>
          </cell>
          <cell r="B908" t="str">
            <v>Fusteltecnica</v>
          </cell>
          <cell r="C908" t="str">
            <v>E06631</v>
          </cell>
          <cell r="D908" t="str">
            <v>Manor</v>
          </cell>
          <cell r="E908" t="str">
            <v>Sagomati Neutri - DC08</v>
          </cell>
          <cell r="F908" t="str">
            <v>BOBST 1260</v>
          </cell>
          <cell r="G908">
            <v>10</v>
          </cell>
          <cell r="H908" t="str">
            <v>No</v>
          </cell>
          <cell r="I908" t="str">
            <v>Si</v>
          </cell>
          <cell r="J908" t="str">
            <v>No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</row>
        <row r="909">
          <cell r="A909" t="str">
            <v>FU0907</v>
          </cell>
          <cell r="B909" t="str">
            <v>Lasercom</v>
          </cell>
          <cell r="C909" t="str">
            <v>Lomba792</v>
          </cell>
          <cell r="D909" t="str">
            <v>Valledoro</v>
          </cell>
          <cell r="E909" t="str">
            <v>Espositore mini zulu</v>
          </cell>
          <cell r="F909" t="str">
            <v>BOBST 1260</v>
          </cell>
          <cell r="G909">
            <v>2</v>
          </cell>
          <cell r="H909" t="str">
            <v>No</v>
          </cell>
          <cell r="I909" t="str">
            <v>Si</v>
          </cell>
          <cell r="J909" t="str">
            <v>No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</row>
        <row r="910">
          <cell r="A910" t="str">
            <v>FU0908</v>
          </cell>
          <cell r="B910" t="str">
            <v>Lasercom</v>
          </cell>
          <cell r="C910" t="str">
            <v>Lomba786</v>
          </cell>
          <cell r="D910" t="str">
            <v>Battaglio</v>
          </cell>
          <cell r="E910" t="str">
            <v>Cavallotti Vinciguerra</v>
          </cell>
          <cell r="F910" t="str">
            <v>BOBST 104</v>
          </cell>
          <cell r="G910">
            <v>10</v>
          </cell>
          <cell r="H910" t="str">
            <v>No</v>
          </cell>
          <cell r="I910" t="str">
            <v>No</v>
          </cell>
          <cell r="J910" t="str">
            <v>No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</row>
        <row r="911">
          <cell r="A911" t="str">
            <v>FU0909</v>
          </cell>
          <cell r="B911" t="str">
            <v>Fusteltecnica</v>
          </cell>
          <cell r="C911" t="str">
            <v>E06641</v>
          </cell>
          <cell r="D911" t="str">
            <v>Albisetti</v>
          </cell>
          <cell r="E911" t="str">
            <v>Cravatte westwood 2018</v>
          </cell>
          <cell r="F911" t="str">
            <v>BOBST 104</v>
          </cell>
          <cell r="G911">
            <v>4</v>
          </cell>
          <cell r="H911" t="str">
            <v>No</v>
          </cell>
          <cell r="I911" t="str">
            <v>No</v>
          </cell>
          <cell r="J911" t="str">
            <v>No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</row>
        <row r="912">
          <cell r="A912" t="str">
            <v>FU0910</v>
          </cell>
          <cell r="B912" t="str">
            <v>Fusteltecnica</v>
          </cell>
          <cell r="C912" t="str">
            <v>E06633</v>
          </cell>
          <cell r="D912" t="str">
            <v>Manor</v>
          </cell>
          <cell r="E912" t="str">
            <v>Inserti Manor</v>
          </cell>
          <cell r="F912" t="str">
            <v>BOBST 104</v>
          </cell>
          <cell r="G912">
            <v>5</v>
          </cell>
          <cell r="H912" t="str">
            <v>Si</v>
          </cell>
          <cell r="I912" t="str">
            <v>No</v>
          </cell>
          <cell r="J912" t="str">
            <v>No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</row>
        <row r="913">
          <cell r="A913" t="str">
            <v>FU0911</v>
          </cell>
          <cell r="B913" t="str">
            <v>Fusteltecnica</v>
          </cell>
          <cell r="C913" t="str">
            <v>E06696</v>
          </cell>
          <cell r="D913" t="str">
            <v>Manor</v>
          </cell>
          <cell r="E913" t="str">
            <v>Sagomati neutri dc09</v>
          </cell>
          <cell r="F913" t="str">
            <v>BOBST 1260</v>
          </cell>
          <cell r="G913">
            <v>4</v>
          </cell>
          <cell r="H913" t="str">
            <v>No</v>
          </cell>
          <cell r="I913" t="str">
            <v>Si</v>
          </cell>
          <cell r="J913" t="str">
            <v>No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</row>
        <row r="914">
          <cell r="A914" t="str">
            <v>FU0912</v>
          </cell>
          <cell r="B914" t="str">
            <v>Fusteltecnica</v>
          </cell>
          <cell r="C914" t="str">
            <v>M07234</v>
          </cell>
          <cell r="D914" t="str">
            <v>Serimoda</v>
          </cell>
          <cell r="E914" t="str">
            <v>Fascette abbinate</v>
          </cell>
          <cell r="F914" t="str">
            <v>BOBST 1260</v>
          </cell>
          <cell r="G914">
            <v>12</v>
          </cell>
          <cell r="H914" t="str">
            <v>No</v>
          </cell>
          <cell r="I914" t="str">
            <v>Si</v>
          </cell>
          <cell r="J914" t="str">
            <v>No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</row>
        <row r="915">
          <cell r="A915" t="str">
            <v>FU0913</v>
          </cell>
          <cell r="B915" t="str">
            <v>Lasercom</v>
          </cell>
          <cell r="C915" t="str">
            <v>Lomba796</v>
          </cell>
          <cell r="D915" t="str">
            <v>Rcm</v>
          </cell>
          <cell r="E915" t="str">
            <v>Interni microonda astucci nee nr. 57</v>
          </cell>
          <cell r="F915" t="str">
            <v>BOBST 1260</v>
          </cell>
          <cell r="G915">
            <v>10</v>
          </cell>
          <cell r="H915" t="str">
            <v>No</v>
          </cell>
          <cell r="I915" t="str">
            <v>Si</v>
          </cell>
          <cell r="J915" t="str">
            <v>No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</row>
        <row r="916">
          <cell r="A916" t="str">
            <v>FU0914</v>
          </cell>
          <cell r="B916" t="str">
            <v>Fusteltecnica</v>
          </cell>
          <cell r="C916" t="str">
            <v>E06726</v>
          </cell>
          <cell r="D916" t="str">
            <v>Pantytex</v>
          </cell>
          <cell r="E916" t="str">
            <v>Tirelle polya g15</v>
          </cell>
          <cell r="F916" t="str">
            <v>BOBST 104</v>
          </cell>
          <cell r="G916">
            <v>16</v>
          </cell>
          <cell r="H916" t="str">
            <v>No</v>
          </cell>
          <cell r="I916" t="str">
            <v>No</v>
          </cell>
          <cell r="J916" t="str">
            <v>No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</row>
        <row r="917">
          <cell r="A917" t="str">
            <v>FU0915</v>
          </cell>
          <cell r="B917" t="str">
            <v>Fusteltecnica</v>
          </cell>
          <cell r="C917" t="str">
            <v>E06634</v>
          </cell>
          <cell r="D917" t="str">
            <v>Manor</v>
          </cell>
          <cell r="E917" t="str">
            <v>Gambaletto Inserti</v>
          </cell>
          <cell r="F917" t="str">
            <v>BOBST 104</v>
          </cell>
          <cell r="G917">
            <v>6</v>
          </cell>
          <cell r="H917" t="str">
            <v>Si</v>
          </cell>
          <cell r="I917" t="str">
            <v>No</v>
          </cell>
          <cell r="J917" t="str">
            <v>No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</row>
        <row r="918">
          <cell r="A918" t="str">
            <v>FU0916</v>
          </cell>
          <cell r="B918" t="str">
            <v>Lasercom</v>
          </cell>
          <cell r="C918" t="str">
            <v>Lomba799</v>
          </cell>
          <cell r="D918" t="str">
            <v>Pantytex</v>
          </cell>
          <cell r="E918" t="str">
            <v>Scatola azzurra</v>
          </cell>
          <cell r="F918" t="str">
            <v>BOBST 1260</v>
          </cell>
          <cell r="G918">
            <v>2</v>
          </cell>
          <cell r="H918" t="str">
            <v>Si</v>
          </cell>
          <cell r="I918" t="str">
            <v>Si</v>
          </cell>
          <cell r="J918" t="str">
            <v>No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</row>
        <row r="919">
          <cell r="A919" t="str">
            <v>FU0917</v>
          </cell>
          <cell r="B919" t="str">
            <v>Fusteltecnica</v>
          </cell>
          <cell r="C919" t="str">
            <v>M07215</v>
          </cell>
          <cell r="D919" t="str">
            <v>Elettroplastica</v>
          </cell>
          <cell r="E919" t="str">
            <v>Scatola te50</v>
          </cell>
          <cell r="F919" t="str">
            <v>BOBST 1260</v>
          </cell>
          <cell r="G919">
            <v>1</v>
          </cell>
          <cell r="H919" t="str">
            <v>Si</v>
          </cell>
          <cell r="I919" t="str">
            <v>Si</v>
          </cell>
          <cell r="J919" t="str">
            <v>No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</row>
        <row r="920">
          <cell r="A920" t="str">
            <v>FU0918</v>
          </cell>
          <cell r="B920" t="str">
            <v>Fusteltecnica</v>
          </cell>
          <cell r="C920" t="str">
            <v>E06730</v>
          </cell>
          <cell r="D920" t="str">
            <v>Cosmai</v>
          </cell>
          <cell r="E920" t="str">
            <v>Scatola regalo</v>
          </cell>
          <cell r="F920" t="str">
            <v>BOBST 1260</v>
          </cell>
          <cell r="G920">
            <v>1</v>
          </cell>
          <cell r="H920" t="str">
            <v>Si</v>
          </cell>
          <cell r="I920" t="str">
            <v>Si</v>
          </cell>
          <cell r="J920" t="str">
            <v>No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</row>
        <row r="921">
          <cell r="A921" t="str">
            <v>FU0919</v>
          </cell>
          <cell r="B921" t="str">
            <v>Fusteltecnica</v>
          </cell>
          <cell r="C921" t="str">
            <v>E06735</v>
          </cell>
          <cell r="D921" t="str">
            <v>Eire</v>
          </cell>
          <cell r="E921" t="str">
            <v>Inserti cecilia</v>
          </cell>
          <cell r="F921" t="str">
            <v>BOBST 104</v>
          </cell>
          <cell r="G921">
            <v>4</v>
          </cell>
          <cell r="H921" t="str">
            <v>Si</v>
          </cell>
          <cell r="I921" t="str">
            <v>No</v>
          </cell>
          <cell r="J921" t="str">
            <v>No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</row>
        <row r="922">
          <cell r="A922" t="str">
            <v>FU0920</v>
          </cell>
          <cell r="B922" t="str">
            <v>Fusteltecnica</v>
          </cell>
          <cell r="C922" t="str">
            <v>E06629</v>
          </cell>
          <cell r="D922" t="str">
            <v>Manor</v>
          </cell>
          <cell r="E922" t="str">
            <v>Sagomati Piede - DC7</v>
          </cell>
          <cell r="F922" t="str">
            <v>BOBST 1260</v>
          </cell>
          <cell r="G922">
            <v>8</v>
          </cell>
          <cell r="H922" t="str">
            <v>Si</v>
          </cell>
          <cell r="I922" t="str">
            <v>Si</v>
          </cell>
          <cell r="J922" t="str">
            <v>No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</row>
        <row r="923">
          <cell r="A923" t="str">
            <v>FU0921</v>
          </cell>
          <cell r="B923" t="str">
            <v>Fusteltecnica</v>
          </cell>
          <cell r="C923" t="str">
            <v>E06649</v>
          </cell>
          <cell r="D923" t="str">
            <v>Pantytex</v>
          </cell>
          <cell r="E923" t="str">
            <v>Appendini tchibo 11/2017</v>
          </cell>
          <cell r="F923" t="str">
            <v>BOBST 1260</v>
          </cell>
          <cell r="G923">
            <v>6</v>
          </cell>
          <cell r="H923" t="str">
            <v>Si</v>
          </cell>
          <cell r="I923" t="str">
            <v>Si</v>
          </cell>
          <cell r="J923" t="str">
            <v>No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</row>
        <row r="924">
          <cell r="A924" t="str">
            <v>FU0922</v>
          </cell>
          <cell r="B924" t="str">
            <v>Fusteltecnica</v>
          </cell>
          <cell r="C924" t="str">
            <v>M07151</v>
          </cell>
          <cell r="D924" t="str">
            <v>Kdm</v>
          </cell>
          <cell r="E924" t="str">
            <v>Astucci pasta cannabis</v>
          </cell>
          <cell r="F924" t="str">
            <v>BOBST 104</v>
          </cell>
          <cell r="G924">
            <v>3</v>
          </cell>
          <cell r="H924" t="str">
            <v>Si</v>
          </cell>
          <cell r="I924" t="str">
            <v>No</v>
          </cell>
          <cell r="J924" t="str">
            <v>No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</row>
        <row r="925">
          <cell r="A925" t="str">
            <v>FU0923</v>
          </cell>
          <cell r="B925" t="str">
            <v>Fusteltecnica</v>
          </cell>
          <cell r="C925" t="str">
            <v>E06664</v>
          </cell>
          <cell r="D925" t="str">
            <v>Manor</v>
          </cell>
          <cell r="E925" t="str">
            <v>Appendini manor kids</v>
          </cell>
          <cell r="F925" t="str">
            <v>BOBST 1260</v>
          </cell>
          <cell r="G925">
            <v>4</v>
          </cell>
          <cell r="H925" t="str">
            <v>Si</v>
          </cell>
          <cell r="I925" t="str">
            <v>Si</v>
          </cell>
          <cell r="J925" t="str">
            <v>No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</row>
        <row r="926">
          <cell r="A926" t="str">
            <v>FU0924</v>
          </cell>
          <cell r="B926" t="str">
            <v>Fusteltecnica</v>
          </cell>
          <cell r="C926" t="str">
            <v>M07050</v>
          </cell>
          <cell r="D926" t="str">
            <v>Pantytex</v>
          </cell>
          <cell r="E926" t="str">
            <v>Appendini sagomati c&amp;a</v>
          </cell>
          <cell r="F926" t="str">
            <v>BOBST 104</v>
          </cell>
          <cell r="G926">
            <v>9</v>
          </cell>
          <cell r="H926" t="str">
            <v>Si</v>
          </cell>
          <cell r="I926" t="str">
            <v>No</v>
          </cell>
          <cell r="J926" t="str">
            <v>No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</row>
        <row r="927">
          <cell r="A927" t="str">
            <v>FU0925</v>
          </cell>
          <cell r="B927" t="str">
            <v>Fusteltecnica</v>
          </cell>
          <cell r="C927" t="str">
            <v>M07149</v>
          </cell>
          <cell r="D927" t="str">
            <v>JBS</v>
          </cell>
          <cell r="E927" t="str">
            <v>Appendini decoy gambaletto 2x</v>
          </cell>
          <cell r="F927" t="str">
            <v>BOBST 1260</v>
          </cell>
          <cell r="G927">
            <v>12</v>
          </cell>
          <cell r="H927" t="str">
            <v>Si</v>
          </cell>
          <cell r="I927" t="str">
            <v>Si</v>
          </cell>
          <cell r="J927" t="str">
            <v>No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</row>
        <row r="928">
          <cell r="A928" t="str">
            <v>FU0926</v>
          </cell>
          <cell r="B928" t="str">
            <v>Fusteltecnica</v>
          </cell>
          <cell r="C928" t="str">
            <v>M07150</v>
          </cell>
          <cell r="D928" t="str">
            <v>Tracy</v>
          </cell>
          <cell r="E928" t="str">
            <v>Appendini gemo 2018</v>
          </cell>
          <cell r="F928" t="str">
            <v>BOBST 1260</v>
          </cell>
          <cell r="G928">
            <v>6</v>
          </cell>
          <cell r="H928" t="str">
            <v>Si</v>
          </cell>
          <cell r="I928" t="str">
            <v>Si</v>
          </cell>
          <cell r="J928" t="str">
            <v>No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</row>
        <row r="929">
          <cell r="A929" t="str">
            <v>FU0927</v>
          </cell>
          <cell r="B929" t="str">
            <v>Foppa Fustelle</v>
          </cell>
          <cell r="C929" t="str">
            <v>17-04174</v>
          </cell>
          <cell r="D929" t="str">
            <v>Pantytex</v>
          </cell>
          <cell r="E929" t="str">
            <v>Appendini wibra 2018 abbinati</v>
          </cell>
          <cell r="F929" t="str">
            <v>BOBST 104</v>
          </cell>
          <cell r="G929">
            <v>8</v>
          </cell>
          <cell r="H929" t="str">
            <v>Si</v>
          </cell>
          <cell r="I929" t="str">
            <v>No</v>
          </cell>
          <cell r="J929" t="str">
            <v>No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</row>
        <row r="930">
          <cell r="A930" t="str">
            <v>FU0928</v>
          </cell>
          <cell r="B930" t="str">
            <v>Fusteltecnica</v>
          </cell>
          <cell r="C930" t="str">
            <v>E06697</v>
          </cell>
          <cell r="D930" t="str">
            <v>Eire</v>
          </cell>
          <cell r="E930" t="str">
            <v>Inserti tchibo gambaletto 2018</v>
          </cell>
          <cell r="F930" t="str">
            <v>BOBST 104</v>
          </cell>
          <cell r="G930">
            <v>7</v>
          </cell>
          <cell r="H930" t="str">
            <v>Si</v>
          </cell>
          <cell r="I930" t="str">
            <v>No</v>
          </cell>
          <cell r="J930" t="str">
            <v>No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</row>
        <row r="931">
          <cell r="A931" t="str">
            <v>FU0929</v>
          </cell>
          <cell r="B931" t="str">
            <v>Lasercom</v>
          </cell>
          <cell r="C931" t="str">
            <v>Lomba202</v>
          </cell>
          <cell r="D931" t="str">
            <v>Girardi</v>
          </cell>
          <cell r="E931" t="str">
            <v>Astucci body</v>
          </cell>
          <cell r="F931" t="str">
            <v>BOBST 1260</v>
          </cell>
          <cell r="G931">
            <v>4</v>
          </cell>
          <cell r="H931" t="str">
            <v>Si</v>
          </cell>
          <cell r="I931" t="str">
            <v>Si</v>
          </cell>
          <cell r="J931" t="str">
            <v>No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</row>
        <row r="932">
          <cell r="A932" t="str">
            <v>FU0930</v>
          </cell>
          <cell r="B932" t="str">
            <v>Foppa Fustelle</v>
          </cell>
          <cell r="C932" t="str">
            <v>17-04373</v>
          </cell>
          <cell r="D932" t="str">
            <v>Pantytex</v>
          </cell>
          <cell r="E932" t="str">
            <v>Appendini ca d30 2x</v>
          </cell>
          <cell r="F932" t="str">
            <v>BOBST 1260</v>
          </cell>
          <cell r="G932">
            <v>4</v>
          </cell>
          <cell r="H932" t="str">
            <v>Si</v>
          </cell>
          <cell r="I932" t="str">
            <v>Si</v>
          </cell>
          <cell r="J932" t="str">
            <v>No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</row>
        <row r="933">
          <cell r="A933" t="str">
            <v>FU0931</v>
          </cell>
          <cell r="B933" t="str">
            <v>Fusteltecnica</v>
          </cell>
          <cell r="C933" t="str">
            <v>E06501</v>
          </cell>
          <cell r="D933" t="str">
            <v>Cosmai</v>
          </cell>
          <cell r="E933" t="str">
            <v>Astucci 10 capsule</v>
          </cell>
          <cell r="F933" t="str">
            <v>BOBST 1260</v>
          </cell>
          <cell r="G933">
            <v>6</v>
          </cell>
          <cell r="H933" t="str">
            <v>Si</v>
          </cell>
          <cell r="I933" t="str">
            <v>Si</v>
          </cell>
          <cell r="J933" t="str">
            <v>No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</row>
        <row r="934">
          <cell r="A934" t="str">
            <v>FU0932</v>
          </cell>
          <cell r="B934" t="str">
            <v>Fusteltecnica</v>
          </cell>
          <cell r="C934" t="str">
            <v>M07280</v>
          </cell>
          <cell r="D934" t="str">
            <v>Gerards</v>
          </cell>
          <cell r="E934" t="str">
            <v>Astucci calmsense abbinato piccolo</v>
          </cell>
          <cell r="F934" t="str">
            <v>BOBST 104</v>
          </cell>
          <cell r="G934">
            <v>3</v>
          </cell>
          <cell r="H934" t="str">
            <v>Si</v>
          </cell>
          <cell r="I934" t="str">
            <v>No</v>
          </cell>
          <cell r="J934" t="str">
            <v>No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</row>
        <row r="935">
          <cell r="A935" t="str">
            <v>FU0933</v>
          </cell>
          <cell r="B935" t="str">
            <v>Fusteltecnica</v>
          </cell>
          <cell r="C935" t="str">
            <v>E06740</v>
          </cell>
          <cell r="D935" t="str">
            <v>Gerards</v>
          </cell>
          <cell r="E935" t="str">
            <v>Astucci calmsense abbinato grande</v>
          </cell>
          <cell r="F935" t="str">
            <v>BOBST 104</v>
          </cell>
          <cell r="G935">
            <v>5</v>
          </cell>
          <cell r="H935" t="str">
            <v>Si</v>
          </cell>
          <cell r="I935" t="str">
            <v>No</v>
          </cell>
          <cell r="J935" t="str">
            <v>No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</row>
        <row r="936">
          <cell r="A936" t="str">
            <v>FU0934</v>
          </cell>
          <cell r="B936" t="str">
            <v>Lasercom</v>
          </cell>
          <cell r="C936" t="str">
            <v>Lomba802</v>
          </cell>
          <cell r="D936" t="str">
            <v>Pantytex</v>
          </cell>
          <cell r="E936" t="str">
            <v>Cavallotti genny I164</v>
          </cell>
          <cell r="F936" t="str">
            <v>BOBST 1260</v>
          </cell>
          <cell r="G936">
            <v>8</v>
          </cell>
          <cell r="H936" t="str">
            <v>No</v>
          </cell>
          <cell r="I936" t="str">
            <v>Si</v>
          </cell>
          <cell r="J936" t="str">
            <v>No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</row>
        <row r="937">
          <cell r="A937" t="str">
            <v>FU0935</v>
          </cell>
          <cell r="B937" t="str">
            <v>Lasercom</v>
          </cell>
          <cell r="C937" t="str">
            <v>Lomba801</v>
          </cell>
          <cell r="D937" t="str">
            <v>Pantytex</v>
          </cell>
          <cell r="E937" t="str">
            <v>Sagomati neutri genny</v>
          </cell>
          <cell r="F937" t="str">
            <v>BOBST 1260</v>
          </cell>
          <cell r="G937">
            <v>8</v>
          </cell>
          <cell r="H937" t="str">
            <v>No</v>
          </cell>
          <cell r="I937" t="str">
            <v>Si</v>
          </cell>
          <cell r="J937" t="str">
            <v>No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</row>
        <row r="938">
          <cell r="A938" t="str">
            <v>FU0936</v>
          </cell>
          <cell r="B938" t="str">
            <v>Lasercom</v>
          </cell>
          <cell r="C938" t="str">
            <v>Lomba 803</v>
          </cell>
          <cell r="D938" t="str">
            <v>Tracy</v>
          </cell>
          <cell r="E938" t="str">
            <v>Sagomati Bonetterie</v>
          </cell>
          <cell r="F938" t="str">
            <v>BOBST 1260</v>
          </cell>
          <cell r="G938">
            <v>5</v>
          </cell>
          <cell r="H938" t="str">
            <v>No</v>
          </cell>
          <cell r="I938" t="str">
            <v>Si</v>
          </cell>
          <cell r="J938" t="str">
            <v>No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</row>
        <row r="939">
          <cell r="A939" t="str">
            <v>FU0937</v>
          </cell>
          <cell r="B939" t="str">
            <v>Fusteltecnica</v>
          </cell>
          <cell r="C939" t="str">
            <v>E06433</v>
          </cell>
          <cell r="D939" t="str">
            <v>JBS</v>
          </cell>
          <cell r="E939" t="str">
            <v>Appendini con solettad decoy 2018</v>
          </cell>
          <cell r="F939" t="str">
            <v>BOBST 1260</v>
          </cell>
          <cell r="G939">
            <v>2</v>
          </cell>
          <cell r="H939" t="str">
            <v>No</v>
          </cell>
          <cell r="I939" t="str">
            <v>Si</v>
          </cell>
          <cell r="J939" t="str">
            <v>No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</row>
        <row r="940">
          <cell r="A940" t="str">
            <v>FU0938</v>
          </cell>
          <cell r="B940" t="str">
            <v>Fusteltecnica</v>
          </cell>
          <cell r="C940" t="str">
            <v>M08088</v>
          </cell>
          <cell r="D940" t="str">
            <v>Pantytex</v>
          </cell>
          <cell r="E940" t="str">
            <v>Buste hema soffietto medie 2019</v>
          </cell>
          <cell r="F940" t="str">
            <v>BOBST 1260</v>
          </cell>
          <cell r="G940">
            <v>4</v>
          </cell>
          <cell r="H940" t="str">
            <v>Si</v>
          </cell>
          <cell r="I940" t="str">
            <v>Si</v>
          </cell>
          <cell r="J940" t="str">
            <v>No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</row>
        <row r="941">
          <cell r="A941" t="str">
            <v>FU0939</v>
          </cell>
          <cell r="B941" t="str">
            <v>Lasercom</v>
          </cell>
          <cell r="C941" t="str">
            <v>Lomba804</v>
          </cell>
          <cell r="D941" t="str">
            <v>Girardi</v>
          </cell>
          <cell r="E941" t="str">
            <v>Abbinato inserti aperti + gambaletti</v>
          </cell>
          <cell r="F941" t="str">
            <v>BOBST 104</v>
          </cell>
          <cell r="G941">
            <v>5</v>
          </cell>
          <cell r="H941" t="str">
            <v>Si</v>
          </cell>
          <cell r="I941" t="str">
            <v>No</v>
          </cell>
          <cell r="J941" t="str">
            <v>No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</row>
        <row r="942">
          <cell r="A942" t="str">
            <v>FU0940</v>
          </cell>
          <cell r="B942" t="str">
            <v>Lasercom</v>
          </cell>
          <cell r="C942" t="str">
            <v>Lomba806</v>
          </cell>
          <cell r="D942" t="str">
            <v>Magazzini del Caffè</v>
          </cell>
          <cell r="E942" t="str">
            <v>Astucci capsuleria 2018</v>
          </cell>
          <cell r="F942" t="str">
            <v>BOBST 1260</v>
          </cell>
          <cell r="G942">
            <v>2</v>
          </cell>
          <cell r="H942" t="str">
            <v>No</v>
          </cell>
          <cell r="I942" t="str">
            <v>Si</v>
          </cell>
          <cell r="J942" t="str">
            <v>No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</row>
        <row r="943">
          <cell r="A943" t="str">
            <v>FU0941</v>
          </cell>
          <cell r="B943" t="str">
            <v>Lasercom</v>
          </cell>
          <cell r="C943" t="str">
            <v>Lomba807</v>
          </cell>
          <cell r="D943" t="str">
            <v>Mabel</v>
          </cell>
          <cell r="E943" t="str">
            <v>Scatola resy</v>
          </cell>
          <cell r="F943" t="str">
            <v>BOBST 1260</v>
          </cell>
          <cell r="G943">
            <v>1</v>
          </cell>
          <cell r="H943" t="str">
            <v>No</v>
          </cell>
          <cell r="I943" t="str">
            <v>Si</v>
          </cell>
          <cell r="J943" t="str">
            <v>No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</row>
        <row r="944">
          <cell r="A944" t="str">
            <v>FU0942</v>
          </cell>
          <cell r="B944" t="str">
            <v>Lasercom</v>
          </cell>
          <cell r="C944" t="str">
            <v>Lomba808</v>
          </cell>
          <cell r="D944" t="str">
            <v>Mabel</v>
          </cell>
          <cell r="E944" t="str">
            <v>Cavallotti resy</v>
          </cell>
          <cell r="F944" t="str">
            <v>BOBST 104</v>
          </cell>
          <cell r="G944">
            <v>25</v>
          </cell>
          <cell r="H944" t="str">
            <v>No</v>
          </cell>
          <cell r="I944" t="str">
            <v>No</v>
          </cell>
          <cell r="J944" t="str">
            <v>No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</row>
        <row r="945">
          <cell r="A945" t="str">
            <v>FU0943</v>
          </cell>
          <cell r="B945" t="str">
            <v>Lasercom</v>
          </cell>
          <cell r="C945" t="str">
            <v>Lomba812</v>
          </cell>
          <cell r="D945" t="str">
            <v>Manor</v>
          </cell>
          <cell r="E945" t="str">
            <v>Appendini dc06</v>
          </cell>
          <cell r="F945" t="str">
            <v>BOBST 1260</v>
          </cell>
          <cell r="G945">
            <v>2</v>
          </cell>
          <cell r="H945" t="str">
            <v>No</v>
          </cell>
          <cell r="I945" t="str">
            <v>Si</v>
          </cell>
          <cell r="J945" t="str">
            <v>No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</row>
        <row r="946">
          <cell r="A946" t="str">
            <v>FU0944</v>
          </cell>
          <cell r="B946">
            <v>0</v>
          </cell>
          <cell r="C946" t="str">
            <v>-</v>
          </cell>
          <cell r="D946">
            <v>0</v>
          </cell>
          <cell r="E946">
            <v>0</v>
          </cell>
          <cell r="F946" t="str">
            <v>BOBST 104</v>
          </cell>
          <cell r="G946">
            <v>0</v>
          </cell>
          <cell r="H946" t="str">
            <v>Si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</row>
        <row r="947">
          <cell r="A947" t="str">
            <v>FU0945</v>
          </cell>
          <cell r="B947" t="str">
            <v>Fusteltecnica</v>
          </cell>
          <cell r="C947" t="str">
            <v>E06784</v>
          </cell>
          <cell r="D947" t="str">
            <v>JBS</v>
          </cell>
          <cell r="E947" t="str">
            <v>Buste fakta gambaletto 2018</v>
          </cell>
          <cell r="F947" t="str">
            <v>BOBST 1260</v>
          </cell>
          <cell r="G947">
            <v>6</v>
          </cell>
          <cell r="H947" t="str">
            <v>Si</v>
          </cell>
          <cell r="I947" t="str">
            <v>Si</v>
          </cell>
          <cell r="J947" t="str">
            <v>No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</row>
        <row r="948">
          <cell r="A948" t="str">
            <v>FU0946</v>
          </cell>
          <cell r="B948" t="str">
            <v>Fusteltecnica</v>
          </cell>
          <cell r="C948" t="str">
            <v>E06785</v>
          </cell>
          <cell r="D948" t="str">
            <v>JBS</v>
          </cell>
          <cell r="E948" t="str">
            <v>Buste fakta collant 2018</v>
          </cell>
          <cell r="F948" t="str">
            <v>BOBST 104</v>
          </cell>
          <cell r="G948">
            <v>4</v>
          </cell>
          <cell r="H948" t="str">
            <v>Si</v>
          </cell>
          <cell r="I948" t="str">
            <v>No</v>
          </cell>
          <cell r="J948" t="str">
            <v>No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</row>
        <row r="949">
          <cell r="A949" t="str">
            <v>FU0947</v>
          </cell>
          <cell r="B949" t="str">
            <v>Fusteltecnica</v>
          </cell>
          <cell r="C949" t="str">
            <v>M04472</v>
          </cell>
          <cell r="D949" t="str">
            <v>Pantytex</v>
          </cell>
          <cell r="E949" t="str">
            <v>Appendini polya g12</v>
          </cell>
          <cell r="F949" t="str">
            <v>BOBST 1260</v>
          </cell>
          <cell r="G949">
            <v>4</v>
          </cell>
          <cell r="H949" t="str">
            <v>Si</v>
          </cell>
          <cell r="I949" t="str">
            <v>Si</v>
          </cell>
          <cell r="J949" t="str">
            <v>No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</row>
        <row r="950">
          <cell r="A950" t="str">
            <v>FU0948</v>
          </cell>
          <cell r="B950" t="str">
            <v>Fusteltecnica</v>
          </cell>
          <cell r="C950" t="str">
            <v>R08676</v>
          </cell>
          <cell r="D950" t="str">
            <v>Gerards</v>
          </cell>
          <cell r="E950" t="str">
            <v>Astucci calmsense ristampa</v>
          </cell>
          <cell r="F950" t="str">
            <v>BOBST 104</v>
          </cell>
          <cell r="G950">
            <v>2</v>
          </cell>
          <cell r="H950" t="str">
            <v>No</v>
          </cell>
          <cell r="I950" t="str">
            <v>No</v>
          </cell>
          <cell r="J950" t="str">
            <v>No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</row>
        <row r="951">
          <cell r="A951" t="str">
            <v>FU0949</v>
          </cell>
          <cell r="B951" t="str">
            <v>Fusteltecnica</v>
          </cell>
          <cell r="C951" t="str">
            <v>E06763</v>
          </cell>
          <cell r="D951" t="str">
            <v>Gerards</v>
          </cell>
          <cell r="E951" t="str">
            <v>Espositore slim active</v>
          </cell>
          <cell r="F951" t="str">
            <v>BOBST 104</v>
          </cell>
          <cell r="G951">
            <v>1</v>
          </cell>
          <cell r="H951" t="str">
            <v>No</v>
          </cell>
          <cell r="I951" t="str">
            <v>No</v>
          </cell>
          <cell r="J951" t="str">
            <v>No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</row>
        <row r="952">
          <cell r="A952" t="str">
            <v>FU0950</v>
          </cell>
          <cell r="B952" t="str">
            <v>Fusteltecnica</v>
          </cell>
          <cell r="C952" t="str">
            <v>E06839</v>
          </cell>
          <cell r="D952" t="str">
            <v>DM Gelati</v>
          </cell>
          <cell r="E952" t="str">
            <v>Astucci 30 ghiaccioli</v>
          </cell>
          <cell r="F952" t="str">
            <v>BOBST 1260</v>
          </cell>
          <cell r="G952">
            <v>2</v>
          </cell>
          <cell r="H952" t="str">
            <v>No</v>
          </cell>
          <cell r="I952" t="str">
            <v>Si</v>
          </cell>
          <cell r="J952" t="str">
            <v>No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</row>
        <row r="953">
          <cell r="A953" t="str">
            <v>FU0951</v>
          </cell>
          <cell r="B953" t="str">
            <v>Fusteltecnica</v>
          </cell>
          <cell r="C953" t="str">
            <v>E06840</v>
          </cell>
          <cell r="D953" t="str">
            <v>DM Gelati</v>
          </cell>
          <cell r="E953" t="str">
            <v>Astucci 24 ghiaccioli sbagliata</v>
          </cell>
          <cell r="F953" t="str">
            <v>BOBST 1260</v>
          </cell>
          <cell r="G953">
            <v>2</v>
          </cell>
          <cell r="H953" t="str">
            <v>No</v>
          </cell>
          <cell r="I953" t="str">
            <v>Si</v>
          </cell>
          <cell r="J953" t="str">
            <v>No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</row>
        <row r="954">
          <cell r="A954" t="str">
            <v>FU0952</v>
          </cell>
          <cell r="B954" t="str">
            <v>Fusteltecnica</v>
          </cell>
          <cell r="C954" t="str">
            <v>E06798</v>
          </cell>
          <cell r="D954" t="str">
            <v>Pistrinum Turris</v>
          </cell>
          <cell r="E954" t="str">
            <v>Scatola colomba</v>
          </cell>
          <cell r="F954" t="str">
            <v>BOBST 104</v>
          </cell>
          <cell r="G954">
            <v>1</v>
          </cell>
          <cell r="H954" t="str">
            <v>Si</v>
          </cell>
          <cell r="I954" t="str">
            <v>No</v>
          </cell>
          <cell r="J954" t="str">
            <v>No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</row>
        <row r="955">
          <cell r="A955" t="str">
            <v>FU0953</v>
          </cell>
          <cell r="B955" t="str">
            <v>Fusteltecnica</v>
          </cell>
          <cell r="C955" t="str">
            <v>E06762</v>
          </cell>
          <cell r="D955" t="str">
            <v>Gerards</v>
          </cell>
          <cell r="E955" t="str">
            <v>Astucci slim active</v>
          </cell>
          <cell r="F955" t="str">
            <v>BOBST 104</v>
          </cell>
          <cell r="G955">
            <v>3</v>
          </cell>
          <cell r="H955" t="str">
            <v>Si</v>
          </cell>
          <cell r="I955" t="str">
            <v>No</v>
          </cell>
          <cell r="J955" t="str">
            <v>No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</row>
        <row r="956">
          <cell r="A956" t="str">
            <v>FU0954</v>
          </cell>
          <cell r="B956" t="str">
            <v>Fusteltecnica</v>
          </cell>
          <cell r="C956" t="str">
            <v>E06806</v>
          </cell>
          <cell r="D956" t="str">
            <v>Toninelli</v>
          </cell>
          <cell r="E956" t="str">
            <v>Astucci pirkka grandi</v>
          </cell>
          <cell r="F956" t="str">
            <v>BOBST 1260</v>
          </cell>
          <cell r="G956">
            <v>9</v>
          </cell>
          <cell r="H956" t="str">
            <v>Si</v>
          </cell>
          <cell r="I956" t="str">
            <v>Si</v>
          </cell>
          <cell r="J956" t="str">
            <v>No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</row>
        <row r="957">
          <cell r="A957" t="str">
            <v>FU0955</v>
          </cell>
          <cell r="B957" t="str">
            <v>Fusteltecnica</v>
          </cell>
          <cell r="C957" t="str">
            <v>E06805</v>
          </cell>
          <cell r="D957" t="str">
            <v>Toninelli</v>
          </cell>
          <cell r="E957" t="str">
            <v>Astucci pirkka piccoli</v>
          </cell>
          <cell r="F957" t="str">
            <v>BOBST 104</v>
          </cell>
          <cell r="G957">
            <v>16</v>
          </cell>
          <cell r="H957" t="str">
            <v>Si</v>
          </cell>
          <cell r="I957" t="str">
            <v>No</v>
          </cell>
          <cell r="J957" t="str">
            <v>No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</row>
        <row r="958">
          <cell r="A958" t="str">
            <v>FU0956</v>
          </cell>
          <cell r="B958" t="str">
            <v>Fusteltecnica</v>
          </cell>
          <cell r="C958" t="str">
            <v>E06821</v>
          </cell>
          <cell r="D958" t="str">
            <v>Gerards</v>
          </cell>
          <cell r="E958" t="str">
            <v>Kit regalo mini size</v>
          </cell>
          <cell r="F958" t="str">
            <v>BOBST 104</v>
          </cell>
          <cell r="G958">
            <v>4</v>
          </cell>
          <cell r="H958" t="str">
            <v>Si</v>
          </cell>
          <cell r="I958" t="str">
            <v>No</v>
          </cell>
          <cell r="J958" t="str">
            <v>No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</row>
        <row r="959">
          <cell r="A959" t="str">
            <v>FU0957</v>
          </cell>
          <cell r="B959" t="str">
            <v>Fusteltecnica</v>
          </cell>
          <cell r="C959" t="str">
            <v>E06818</v>
          </cell>
          <cell r="D959" t="str">
            <v>Gerards</v>
          </cell>
          <cell r="E959" t="str">
            <v>Depliant gerards</v>
          </cell>
          <cell r="F959" t="str">
            <v>BOBST 104</v>
          </cell>
          <cell r="G959">
            <v>4</v>
          </cell>
          <cell r="H959" t="str">
            <v>No</v>
          </cell>
          <cell r="I959" t="str">
            <v>No</v>
          </cell>
          <cell r="J959" t="str">
            <v>No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</row>
        <row r="960">
          <cell r="A960" t="str">
            <v>FU0958</v>
          </cell>
          <cell r="B960" t="str">
            <v>Fusteltecnica</v>
          </cell>
          <cell r="C960" t="str">
            <v>M06073</v>
          </cell>
          <cell r="D960" t="str">
            <v>D&amp;G</v>
          </cell>
          <cell r="E960" t="str">
            <v>Bauletto macaron blister</v>
          </cell>
          <cell r="F960" t="str">
            <v>BOBST 1260</v>
          </cell>
          <cell r="G960">
            <v>1</v>
          </cell>
          <cell r="H960" t="str">
            <v>No</v>
          </cell>
          <cell r="I960" t="str">
            <v>Si</v>
          </cell>
          <cell r="J960" t="str">
            <v>No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</row>
        <row r="961">
          <cell r="A961" t="str">
            <v>FU0959</v>
          </cell>
          <cell r="B961" t="str">
            <v>Fusteltecnica</v>
          </cell>
          <cell r="C961" t="str">
            <v>R08848</v>
          </cell>
          <cell r="D961" t="str">
            <v>Pantytex</v>
          </cell>
          <cell r="E961" t="str">
            <v>Appendini polya 4 primato</v>
          </cell>
          <cell r="F961" t="str">
            <v>BOBST 1260</v>
          </cell>
          <cell r="G961">
            <v>4</v>
          </cell>
          <cell r="H961" t="str">
            <v>No</v>
          </cell>
          <cell r="I961" t="str">
            <v>Si</v>
          </cell>
          <cell r="J961" t="str">
            <v>No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</row>
        <row r="962">
          <cell r="A962" t="str">
            <v>FU0960</v>
          </cell>
          <cell r="B962" t="str">
            <v>Fusteltecnica</v>
          </cell>
          <cell r="C962" t="str">
            <v>M07535</v>
          </cell>
          <cell r="D962" t="str">
            <v>Edo gelati</v>
          </cell>
          <cell r="E962" t="str">
            <v>Astucci 6 coni</v>
          </cell>
          <cell r="F962" t="str">
            <v>BOBST 1260</v>
          </cell>
          <cell r="G962">
            <v>4</v>
          </cell>
          <cell r="H962" t="str">
            <v>Si</v>
          </cell>
          <cell r="I962" t="str">
            <v>Si</v>
          </cell>
          <cell r="J962" t="str">
            <v>No</v>
          </cell>
          <cell r="K962">
            <v>0</v>
          </cell>
          <cell r="L962" t="str">
            <v>No</v>
          </cell>
          <cell r="M962">
            <v>0</v>
          </cell>
          <cell r="N962">
            <v>0</v>
          </cell>
        </row>
        <row r="963">
          <cell r="A963" t="str">
            <v>FU0961</v>
          </cell>
          <cell r="B963" t="str">
            <v>Foppa Fustelle</v>
          </cell>
          <cell r="C963" t="str">
            <v>18-00497</v>
          </cell>
          <cell r="D963" t="str">
            <v>Lineaverde</v>
          </cell>
          <cell r="E963" t="str">
            <v>Fasce zuppa</v>
          </cell>
          <cell r="F963" t="str">
            <v>BOBST 104</v>
          </cell>
          <cell r="G963">
            <v>10</v>
          </cell>
          <cell r="H963" t="str">
            <v>Si</v>
          </cell>
          <cell r="I963" t="str">
            <v>No</v>
          </cell>
          <cell r="J963" t="str">
            <v>No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</row>
        <row r="964">
          <cell r="A964" t="str">
            <v>FU0962</v>
          </cell>
          <cell r="B964" t="str">
            <v>Lasercom</v>
          </cell>
          <cell r="C964" t="str">
            <v>Lomba817</v>
          </cell>
          <cell r="D964" t="str">
            <v>Moka efti</v>
          </cell>
          <cell r="E964" t="str">
            <v>Efticiok 50 buste</v>
          </cell>
          <cell r="F964" t="str">
            <v>BOBST 104</v>
          </cell>
          <cell r="G964">
            <v>2</v>
          </cell>
          <cell r="H964" t="str">
            <v>No</v>
          </cell>
          <cell r="I964" t="str">
            <v>No</v>
          </cell>
          <cell r="J964" t="str">
            <v>No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</row>
        <row r="965">
          <cell r="A965" t="str">
            <v>FU0963</v>
          </cell>
          <cell r="B965" t="str">
            <v>Fusteltecnica</v>
          </cell>
          <cell r="C965" t="str">
            <v>E06738</v>
          </cell>
          <cell r="D965" t="str">
            <v>Pasqualini</v>
          </cell>
          <cell r="E965" t="str">
            <v>Astucci 10 capsule</v>
          </cell>
          <cell r="F965" t="str">
            <v>BOBST 1260</v>
          </cell>
          <cell r="G965">
            <v>4</v>
          </cell>
          <cell r="H965" t="str">
            <v>No</v>
          </cell>
          <cell r="I965" t="str">
            <v>Si</v>
          </cell>
          <cell r="J965" t="str">
            <v>No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</row>
        <row r="966">
          <cell r="A966" t="str">
            <v>FU0964</v>
          </cell>
          <cell r="B966" t="str">
            <v>Lasercom</v>
          </cell>
          <cell r="C966" t="str">
            <v>Lomba822</v>
          </cell>
          <cell r="D966" t="str">
            <v>Battaglio</v>
          </cell>
          <cell r="E966" t="str">
            <v>Fascette 3 orsi mod 41</v>
          </cell>
          <cell r="F966" t="str">
            <v>BOBST 1260</v>
          </cell>
          <cell r="G966">
            <v>14</v>
          </cell>
          <cell r="H966" t="str">
            <v>No</v>
          </cell>
          <cell r="I966" t="str">
            <v>Si</v>
          </cell>
          <cell r="J966" t="str">
            <v>No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</row>
        <row r="967">
          <cell r="A967" t="str">
            <v>FU0965</v>
          </cell>
          <cell r="B967" t="str">
            <v>Lasercom</v>
          </cell>
          <cell r="C967" t="str">
            <v>Lomba825</v>
          </cell>
          <cell r="D967" t="str">
            <v>O.Erre</v>
          </cell>
          <cell r="E967" t="str">
            <v>Scatola compact 200</v>
          </cell>
          <cell r="F967" t="str">
            <v>BOBST 1260</v>
          </cell>
          <cell r="G967">
            <v>1</v>
          </cell>
          <cell r="H967" t="str">
            <v>No</v>
          </cell>
          <cell r="I967" t="str">
            <v>Si</v>
          </cell>
          <cell r="J967" t="str">
            <v>No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</row>
        <row r="968">
          <cell r="A968" t="str">
            <v>FU0966</v>
          </cell>
          <cell r="B968" t="str">
            <v>Lasercom</v>
          </cell>
          <cell r="C968" t="str">
            <v>Lomj818</v>
          </cell>
          <cell r="D968" t="str">
            <v>Magazzini del Caffè</v>
          </cell>
          <cell r="E968" t="str">
            <v>Astucci 50 capsule Magazzini del Caffè</v>
          </cell>
          <cell r="F968" t="str">
            <v>BOBST 1260</v>
          </cell>
          <cell r="G968">
            <v>4</v>
          </cell>
          <cell r="H968" t="str">
            <v>Si</v>
          </cell>
          <cell r="I968" t="str">
            <v>Si</v>
          </cell>
          <cell r="J968" t="str">
            <v>No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</row>
        <row r="969">
          <cell r="A969" t="str">
            <v>FU0967</v>
          </cell>
          <cell r="B969" t="str">
            <v>Fusteltecnica</v>
          </cell>
          <cell r="C969" t="str">
            <v>E06852</v>
          </cell>
          <cell r="D969" t="str">
            <v>Pantytex</v>
          </cell>
          <cell r="E969" t="str">
            <v>Astucci tchibo 2018</v>
          </cell>
          <cell r="F969" t="str">
            <v>BOBST 104</v>
          </cell>
          <cell r="G969">
            <v>8</v>
          </cell>
          <cell r="H969" t="str">
            <v>Si</v>
          </cell>
          <cell r="I969" t="str">
            <v>No</v>
          </cell>
          <cell r="J969" t="str">
            <v>No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</row>
        <row r="970">
          <cell r="A970" t="str">
            <v>FU0968</v>
          </cell>
          <cell r="B970" t="str">
            <v>Fusteltecnica</v>
          </cell>
          <cell r="C970" t="str">
            <v>E06904</v>
          </cell>
          <cell r="D970" t="str">
            <v>Gelcream</v>
          </cell>
          <cell r="E970" t="str">
            <v>Astucci mini fandb</v>
          </cell>
          <cell r="F970" t="str">
            <v>BOBST 1260</v>
          </cell>
          <cell r="G970">
            <v>4</v>
          </cell>
          <cell r="H970" t="str">
            <v>No</v>
          </cell>
          <cell r="I970" t="str">
            <v>Si</v>
          </cell>
          <cell r="J970" t="str">
            <v>No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</row>
        <row r="971">
          <cell r="A971" t="str">
            <v>FU0969</v>
          </cell>
          <cell r="B971" t="str">
            <v>Fusteltecnica</v>
          </cell>
          <cell r="C971" t="str">
            <v>E06891</v>
          </cell>
          <cell r="D971" t="str">
            <v>Westwood</v>
          </cell>
          <cell r="E971" t="str">
            <v>Scatola Poncho</v>
          </cell>
          <cell r="F971" t="str">
            <v>BOBST 1260</v>
          </cell>
          <cell r="G971">
            <v>1</v>
          </cell>
          <cell r="H971" t="str">
            <v>No</v>
          </cell>
          <cell r="I971" t="str">
            <v>Si</v>
          </cell>
          <cell r="J971" t="str">
            <v>No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</row>
        <row r="972">
          <cell r="A972" t="str">
            <v>FU0970</v>
          </cell>
          <cell r="B972" t="str">
            <v>Fusteltecnica</v>
          </cell>
          <cell r="C972" t="str">
            <v>E06892</v>
          </cell>
          <cell r="D972" t="str">
            <v>Westwood</v>
          </cell>
          <cell r="E972" t="str">
            <v>Aletta Scatola Poncho</v>
          </cell>
          <cell r="F972" t="str">
            <v>BOBST 1260</v>
          </cell>
          <cell r="G972">
            <v>2</v>
          </cell>
          <cell r="H972" t="str">
            <v>No</v>
          </cell>
          <cell r="I972" t="str">
            <v>Si</v>
          </cell>
          <cell r="J972" t="str">
            <v>No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</row>
        <row r="973">
          <cell r="A973" t="str">
            <v>FU0971</v>
          </cell>
          <cell r="B973" t="str">
            <v>Fusteltecnica</v>
          </cell>
          <cell r="C973" t="str">
            <v>E06912</v>
          </cell>
          <cell r="D973" t="str">
            <v>Fandb</v>
          </cell>
          <cell r="E973" t="str">
            <v>Astucci smooties bio premium ACAI</v>
          </cell>
          <cell r="F973" t="str">
            <v>BOBST 1260</v>
          </cell>
          <cell r="G973">
            <v>4</v>
          </cell>
          <cell r="H973" t="str">
            <v>No</v>
          </cell>
          <cell r="I973" t="str">
            <v>Si</v>
          </cell>
          <cell r="J973" t="str">
            <v>No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</row>
        <row r="974">
          <cell r="A974" t="str">
            <v>FU0972</v>
          </cell>
          <cell r="B974" t="str">
            <v>Fusteltecnica</v>
          </cell>
          <cell r="C974" t="str">
            <v>R08861</v>
          </cell>
          <cell r="D974" t="str">
            <v>Gallo</v>
          </cell>
          <cell r="E974" t="str">
            <v>Fascette nere</v>
          </cell>
          <cell r="F974" t="str">
            <v>BOBST 1260</v>
          </cell>
          <cell r="G974">
            <v>6</v>
          </cell>
          <cell r="H974" t="str">
            <v>No</v>
          </cell>
          <cell r="I974" t="str">
            <v>Si</v>
          </cell>
          <cell r="J974" t="str">
            <v>No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</row>
        <row r="975">
          <cell r="A975" t="str">
            <v>FU0973</v>
          </cell>
          <cell r="B975" t="str">
            <v>Foppa Fustelle</v>
          </cell>
          <cell r="C975" t="str">
            <v>18-02330</v>
          </cell>
          <cell r="D975" t="str">
            <v>Pantytex</v>
          </cell>
          <cell r="E975" t="str">
            <v>Appendini c&amp;a donna cascata 1x 2018</v>
          </cell>
          <cell r="F975" t="str">
            <v>BOBST 1260</v>
          </cell>
          <cell r="G975">
            <v>6</v>
          </cell>
          <cell r="H975" t="str">
            <v>No</v>
          </cell>
          <cell r="I975" t="str">
            <v>Si</v>
          </cell>
          <cell r="J975" t="str">
            <v>No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</row>
        <row r="976">
          <cell r="A976" t="str">
            <v>FU0974</v>
          </cell>
          <cell r="B976" t="str">
            <v>Fusteltecnica</v>
          </cell>
          <cell r="C976" t="str">
            <v>M07714</v>
          </cell>
          <cell r="D976" t="str">
            <v>Gallo</v>
          </cell>
          <cell r="E976" t="str">
            <v>Pagine carta</v>
          </cell>
          <cell r="F976" t="str">
            <v>BOBST 104</v>
          </cell>
          <cell r="G976">
            <v>4</v>
          </cell>
          <cell r="H976" t="str">
            <v>No</v>
          </cell>
          <cell r="I976" t="str">
            <v>No</v>
          </cell>
          <cell r="J976" t="str">
            <v>No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</row>
        <row r="977">
          <cell r="A977" t="str">
            <v>FU0975</v>
          </cell>
          <cell r="B977" t="str">
            <v>Fusteltecnica</v>
          </cell>
          <cell r="C977" t="str">
            <v>E06287</v>
          </cell>
          <cell r="D977" t="str">
            <v>D&amp;G</v>
          </cell>
          <cell r="E977" t="str">
            <v>Scatole mignon 15 + 20</v>
          </cell>
          <cell r="F977" t="str">
            <v>BOBST 1260</v>
          </cell>
          <cell r="G977">
            <v>2</v>
          </cell>
          <cell r="H977" t="str">
            <v>No</v>
          </cell>
          <cell r="I977" t="str">
            <v>Si</v>
          </cell>
          <cell r="J977" t="str">
            <v>No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</row>
        <row r="978">
          <cell r="A978" t="str">
            <v>FU0976</v>
          </cell>
          <cell r="B978" t="str">
            <v>Lasercom</v>
          </cell>
          <cell r="C978" t="str">
            <v>Lomba831</v>
          </cell>
          <cell r="D978" t="str">
            <v>Pantytex</v>
          </cell>
          <cell r="E978" t="str">
            <v>Polya g12 dalè</v>
          </cell>
          <cell r="F978" t="str">
            <v>BOBST 1260</v>
          </cell>
          <cell r="G978">
            <v>4</v>
          </cell>
          <cell r="H978" t="str">
            <v>Si</v>
          </cell>
          <cell r="I978" t="str">
            <v>Si</v>
          </cell>
          <cell r="J978" t="str">
            <v>No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</row>
        <row r="979">
          <cell r="A979" t="str">
            <v>FU0977</v>
          </cell>
          <cell r="B979" t="str">
            <v>Lasercom</v>
          </cell>
          <cell r="C979" t="str">
            <v>Lomba832</v>
          </cell>
          <cell r="D979" t="str">
            <v>Sacma</v>
          </cell>
          <cell r="E979" t="str">
            <v>Maniglie lunghe 2018</v>
          </cell>
          <cell r="F979" t="str">
            <v>BOBST 104</v>
          </cell>
          <cell r="G979">
            <v>18</v>
          </cell>
          <cell r="H979" t="str">
            <v>Si</v>
          </cell>
          <cell r="I979" t="str">
            <v>No</v>
          </cell>
          <cell r="J979" t="str">
            <v>No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</row>
        <row r="980">
          <cell r="A980" t="str">
            <v>FU0978</v>
          </cell>
          <cell r="B980" t="str">
            <v>Fusteltecnica</v>
          </cell>
          <cell r="C980" t="str">
            <v>M07727</v>
          </cell>
          <cell r="D980" t="str">
            <v>Revenge</v>
          </cell>
          <cell r="E980" t="str">
            <v>Appendini donna</v>
          </cell>
          <cell r="F980" t="str">
            <v>BOBST 1260</v>
          </cell>
          <cell r="G980">
            <v>12</v>
          </cell>
          <cell r="H980" t="str">
            <v>No</v>
          </cell>
          <cell r="I980" t="str">
            <v>Si</v>
          </cell>
          <cell r="J980" t="str">
            <v>No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</row>
        <row r="981">
          <cell r="A981" t="str">
            <v>FU0979</v>
          </cell>
          <cell r="B981" t="str">
            <v>Fusteltecnica</v>
          </cell>
          <cell r="C981" t="str">
            <v>M07726</v>
          </cell>
          <cell r="D981" t="str">
            <v>Revenge</v>
          </cell>
          <cell r="E981" t="str">
            <v>Appendini bambino</v>
          </cell>
          <cell r="F981" t="str">
            <v>BOBST 104</v>
          </cell>
          <cell r="G981">
            <v>16</v>
          </cell>
          <cell r="H981" t="str">
            <v>No</v>
          </cell>
          <cell r="I981" t="str">
            <v>No</v>
          </cell>
          <cell r="J981" t="str">
            <v>No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</row>
        <row r="982">
          <cell r="A982" t="str">
            <v>FU0980</v>
          </cell>
          <cell r="B982" t="str">
            <v>Fusteltecnica</v>
          </cell>
          <cell r="C982" t="str">
            <v>R08896</v>
          </cell>
          <cell r="D982" t="str">
            <v>Revenge</v>
          </cell>
          <cell r="E982" t="str">
            <v>Appendini tecnici</v>
          </cell>
          <cell r="F982" t="str">
            <v>BOBST 1260</v>
          </cell>
          <cell r="G982">
            <v>6</v>
          </cell>
          <cell r="H982" t="str">
            <v>No</v>
          </cell>
          <cell r="I982" t="str">
            <v>Si</v>
          </cell>
          <cell r="J982" t="str">
            <v>No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</row>
        <row r="983">
          <cell r="A983" t="str">
            <v>FU0981</v>
          </cell>
          <cell r="B983" t="str">
            <v>Fusteltecnica</v>
          </cell>
          <cell r="C983" t="str">
            <v>R08684</v>
          </cell>
          <cell r="D983" t="str">
            <v>Ilary</v>
          </cell>
          <cell r="E983" t="str">
            <v>Interno Mc kinley piccolo</v>
          </cell>
          <cell r="F983" t="str">
            <v>BOBST 1260</v>
          </cell>
          <cell r="G983">
            <v>4</v>
          </cell>
          <cell r="H983" t="str">
            <v>No</v>
          </cell>
          <cell r="I983" t="str">
            <v>Si</v>
          </cell>
          <cell r="J983" t="str">
            <v>No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</row>
        <row r="984">
          <cell r="A984" t="str">
            <v>FU0982</v>
          </cell>
          <cell r="B984" t="str">
            <v>Fusteltecnica</v>
          </cell>
          <cell r="C984" t="str">
            <v>R08682</v>
          </cell>
          <cell r="D984" t="str">
            <v>Ilary</v>
          </cell>
          <cell r="E984" t="str">
            <v>Astucci Mc Kinley grandi</v>
          </cell>
          <cell r="F984" t="str">
            <v>BOBST 104</v>
          </cell>
          <cell r="G984">
            <v>4</v>
          </cell>
          <cell r="H984" t="str">
            <v>Si</v>
          </cell>
          <cell r="I984" t="str">
            <v>No</v>
          </cell>
          <cell r="J984" t="str">
            <v>No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</row>
        <row r="985">
          <cell r="A985" t="str">
            <v>FU0983</v>
          </cell>
          <cell r="B985" t="str">
            <v>Fusteltecnica</v>
          </cell>
          <cell r="C985" t="str">
            <v>R08683</v>
          </cell>
          <cell r="D985" t="str">
            <v>Ilary</v>
          </cell>
          <cell r="E985" t="str">
            <v>Astucci Mc Kinley piccoli</v>
          </cell>
          <cell r="F985" t="str">
            <v>BOBST 104</v>
          </cell>
          <cell r="G985">
            <v>4</v>
          </cell>
          <cell r="H985" t="str">
            <v>Si</v>
          </cell>
          <cell r="I985" t="str">
            <v>No</v>
          </cell>
          <cell r="J985" t="str">
            <v>No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</row>
        <row r="986">
          <cell r="A986" t="str">
            <v>FU0984</v>
          </cell>
          <cell r="B986" t="str">
            <v>Fusteltecnica</v>
          </cell>
          <cell r="C986" t="str">
            <v>E06920</v>
          </cell>
          <cell r="D986" t="str">
            <v>Tracy</v>
          </cell>
          <cell r="E986" t="str">
            <v>Appendini gemo gambaletto</v>
          </cell>
          <cell r="F986" t="str">
            <v>BOBST 104</v>
          </cell>
          <cell r="G986">
            <v>6</v>
          </cell>
          <cell r="H986" t="str">
            <v>Si</v>
          </cell>
          <cell r="I986" t="str">
            <v>No</v>
          </cell>
          <cell r="J986" t="str">
            <v>No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</row>
        <row r="987">
          <cell r="A987" t="str">
            <v>FU0985</v>
          </cell>
          <cell r="B987" t="str">
            <v>Fusteltecnica</v>
          </cell>
          <cell r="C987" t="str">
            <v>M07745</v>
          </cell>
          <cell r="D987" t="str">
            <v>Genny</v>
          </cell>
          <cell r="E987" t="str">
            <v>Contenitore genny AK</v>
          </cell>
          <cell r="F987" t="str">
            <v>BOBST 1260</v>
          </cell>
          <cell r="G987">
            <v>1</v>
          </cell>
          <cell r="H987" t="str">
            <v>No</v>
          </cell>
          <cell r="I987" t="str">
            <v>Si</v>
          </cell>
          <cell r="J987" t="str">
            <v>No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</row>
        <row r="988">
          <cell r="A988" t="str">
            <v>FU0986</v>
          </cell>
          <cell r="B988" t="str">
            <v>Fusteltecnica</v>
          </cell>
          <cell r="C988" t="str">
            <v>E06948</v>
          </cell>
          <cell r="D988" t="str">
            <v>Tracy</v>
          </cell>
          <cell r="E988" t="str">
            <v>Appendini jennyfer 2x dorso 4</v>
          </cell>
          <cell r="F988" t="str">
            <v>BOBST 1260</v>
          </cell>
          <cell r="G988">
            <v>4</v>
          </cell>
          <cell r="H988" t="str">
            <v>No</v>
          </cell>
          <cell r="I988" t="str">
            <v>Si</v>
          </cell>
          <cell r="J988" t="str">
            <v>No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</row>
        <row r="989">
          <cell r="A989" t="str">
            <v>FU0987</v>
          </cell>
          <cell r="B989" t="str">
            <v>Lasercom</v>
          </cell>
          <cell r="C989" t="str">
            <v>Lomba834</v>
          </cell>
          <cell r="D989" t="str">
            <v>Rcm</v>
          </cell>
          <cell r="E989" t="str">
            <v>Astucci nuriderma toniderma</v>
          </cell>
          <cell r="F989" t="str">
            <v>BOBST 1260</v>
          </cell>
          <cell r="G989">
            <v>6</v>
          </cell>
          <cell r="H989" t="str">
            <v>No</v>
          </cell>
          <cell r="I989" t="str">
            <v>Si</v>
          </cell>
          <cell r="J989" t="str">
            <v>No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</row>
        <row r="990">
          <cell r="A990" t="str">
            <v>FU0988</v>
          </cell>
          <cell r="B990" t="str">
            <v>Lasercom</v>
          </cell>
          <cell r="C990" t="str">
            <v>Lomba833</v>
          </cell>
          <cell r="D990" t="str">
            <v>Elettroplastica</v>
          </cell>
          <cell r="E990" t="str">
            <v>Scatola turbomini</v>
          </cell>
          <cell r="F990" t="str">
            <v>BOBST 1260</v>
          </cell>
          <cell r="G990">
            <v>2</v>
          </cell>
          <cell r="H990" t="str">
            <v>No</v>
          </cell>
          <cell r="I990" t="str">
            <v>Si</v>
          </cell>
          <cell r="J990" t="str">
            <v>No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</row>
        <row r="991">
          <cell r="A991" t="str">
            <v>FU0989</v>
          </cell>
          <cell r="B991" t="str">
            <v>Fusteltecnica</v>
          </cell>
          <cell r="C991" t="str">
            <v>M07744</v>
          </cell>
          <cell r="D991" t="str">
            <v>Pantytex</v>
          </cell>
          <cell r="E991" t="str">
            <v>Abbinato wibra astucci</v>
          </cell>
          <cell r="F991" t="str">
            <v>BOBST 104</v>
          </cell>
          <cell r="G991">
            <v>12</v>
          </cell>
          <cell r="H991" t="str">
            <v>Si</v>
          </cell>
          <cell r="I991" t="str">
            <v>No</v>
          </cell>
          <cell r="J991" t="str">
            <v>No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</row>
        <row r="992">
          <cell r="A992" t="str">
            <v>FU0990</v>
          </cell>
          <cell r="B992" t="str">
            <v>Foppa Fustelle</v>
          </cell>
          <cell r="C992" t="str">
            <v>18-02330</v>
          </cell>
          <cell r="D992" t="str">
            <v>Pantytex</v>
          </cell>
          <cell r="E992" t="str">
            <v>Appendini c&amp;a donna cascata 1x 2018</v>
          </cell>
          <cell r="F992" t="str">
            <v>BOBST 104</v>
          </cell>
          <cell r="G992">
            <v>10</v>
          </cell>
          <cell r="H992" t="str">
            <v>Si</v>
          </cell>
          <cell r="I992" t="str">
            <v>No</v>
          </cell>
          <cell r="J992" t="str">
            <v>No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</row>
        <row r="993">
          <cell r="A993" t="str">
            <v>FU0991</v>
          </cell>
          <cell r="B993" t="str">
            <v>Lasercom</v>
          </cell>
          <cell r="C993" t="str">
            <v>Lomba836</v>
          </cell>
          <cell r="D993" t="str">
            <v>Pantytex</v>
          </cell>
          <cell r="E993" t="str">
            <v>Appendini hkm golden lady</v>
          </cell>
          <cell r="F993" t="str">
            <v>BOBST 104</v>
          </cell>
          <cell r="G993">
            <v>4</v>
          </cell>
          <cell r="H993" t="str">
            <v>No</v>
          </cell>
          <cell r="I993" t="str">
            <v>No</v>
          </cell>
          <cell r="J993" t="str">
            <v>No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</row>
        <row r="994">
          <cell r="A994" t="str">
            <v>FU0992</v>
          </cell>
          <cell r="B994" t="str">
            <v>Fusteltecnica</v>
          </cell>
          <cell r="C994" t="str">
            <v>R08931</v>
          </cell>
          <cell r="D994" t="str">
            <v>Pantytex</v>
          </cell>
          <cell r="E994" t="str">
            <v>Appendini manor dc04 d25</v>
          </cell>
          <cell r="F994" t="str">
            <v>BOBST 104</v>
          </cell>
          <cell r="G994">
            <v>4</v>
          </cell>
          <cell r="H994" t="str">
            <v>No</v>
          </cell>
          <cell r="I994" t="str">
            <v>No</v>
          </cell>
          <cell r="J994" t="str">
            <v>No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</row>
        <row r="995">
          <cell r="A995" t="str">
            <v>FU0993</v>
          </cell>
          <cell r="B995" t="str">
            <v>Fusteltecnica</v>
          </cell>
          <cell r="C995" t="str">
            <v>M07762</v>
          </cell>
          <cell r="D995" t="str">
            <v>DM Gelati</v>
          </cell>
          <cell r="E995" t="str">
            <v>Astucci 24 ghiaccioli nuove</v>
          </cell>
          <cell r="F995" t="str">
            <v>BOBST 1260</v>
          </cell>
          <cell r="G995">
            <v>2</v>
          </cell>
          <cell r="H995" t="str">
            <v>No</v>
          </cell>
          <cell r="I995" t="str">
            <v>Si</v>
          </cell>
          <cell r="J995" t="str">
            <v>No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</row>
        <row r="996">
          <cell r="A996" t="str">
            <v>FU0994</v>
          </cell>
          <cell r="B996" t="str">
            <v>Lasercom</v>
          </cell>
          <cell r="C996" t="str">
            <v>Lomb429</v>
          </cell>
          <cell r="D996" t="str">
            <v>JBS</v>
          </cell>
          <cell r="E996" t="str">
            <v>Cavallotti Seamless</v>
          </cell>
          <cell r="F996" t="str">
            <v>BOBST 104</v>
          </cell>
          <cell r="G996">
            <v>6</v>
          </cell>
          <cell r="H996" t="str">
            <v>No</v>
          </cell>
          <cell r="I996" t="str">
            <v>No</v>
          </cell>
          <cell r="J996" t="str">
            <v>No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</row>
        <row r="997">
          <cell r="A997" t="str">
            <v>FU0995</v>
          </cell>
          <cell r="B997" t="str">
            <v>Lasercom</v>
          </cell>
          <cell r="C997" t="str">
            <v>Lomba261</v>
          </cell>
          <cell r="D997" t="str">
            <v>Eire</v>
          </cell>
          <cell r="E997" t="str">
            <v>Astucci Jollinesse</v>
          </cell>
          <cell r="F997" t="str">
            <v>BOBST 104</v>
          </cell>
          <cell r="G997">
            <v>6</v>
          </cell>
          <cell r="H997" t="str">
            <v>Si</v>
          </cell>
          <cell r="I997" t="str">
            <v>No</v>
          </cell>
          <cell r="J997" t="str">
            <v>No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</row>
        <row r="998">
          <cell r="A998" t="str">
            <v>FU0996</v>
          </cell>
          <cell r="B998" t="str">
            <v>Fusteltecnica</v>
          </cell>
          <cell r="C998" t="str">
            <v>M01478</v>
          </cell>
          <cell r="D998" t="str">
            <v>Eire</v>
          </cell>
          <cell r="E998" t="str">
            <v>Astucci + Cartoncino Bellinda</v>
          </cell>
          <cell r="F998" t="str">
            <v>BOBST 104</v>
          </cell>
          <cell r="G998">
            <v>12</v>
          </cell>
          <cell r="H998" t="str">
            <v>Si</v>
          </cell>
          <cell r="I998" t="str">
            <v>No</v>
          </cell>
          <cell r="J998" t="str">
            <v>No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</row>
        <row r="999">
          <cell r="A999" t="str">
            <v>FU0997</v>
          </cell>
          <cell r="B999" t="str">
            <v>Lasercom</v>
          </cell>
          <cell r="C999" t="str">
            <v>Lomba221</v>
          </cell>
          <cell r="D999" t="str">
            <v>Love and Bra</v>
          </cell>
          <cell r="E999" t="str">
            <v>Astucci Queen Collection Piccoli</v>
          </cell>
          <cell r="F999" t="str">
            <v>BOBST 104</v>
          </cell>
          <cell r="G999">
            <v>6</v>
          </cell>
          <cell r="H999" t="str">
            <v>Si</v>
          </cell>
          <cell r="I999" t="str">
            <v>No</v>
          </cell>
          <cell r="J999" t="str">
            <v>No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</row>
        <row r="1000">
          <cell r="A1000" t="str">
            <v>FU0998</v>
          </cell>
          <cell r="B1000" t="str">
            <v>Fusteltecnica</v>
          </cell>
          <cell r="C1000" t="str">
            <v>R03430</v>
          </cell>
          <cell r="D1000" t="str">
            <v>Eire</v>
          </cell>
          <cell r="E1000" t="str">
            <v>Tirelle Tchibo h2</v>
          </cell>
          <cell r="F1000" t="str">
            <v>BOBST 104</v>
          </cell>
          <cell r="G1000">
            <v>8</v>
          </cell>
          <cell r="H1000" t="str">
            <v>Si</v>
          </cell>
          <cell r="I1000" t="str">
            <v>No</v>
          </cell>
          <cell r="J1000" t="str">
            <v>No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</row>
        <row r="1001">
          <cell r="A1001" t="str">
            <v>FU0999</v>
          </cell>
          <cell r="B1001" t="str">
            <v>Lasercom</v>
          </cell>
          <cell r="C1001" t="str">
            <v>Lomba391</v>
          </cell>
          <cell r="D1001" t="str">
            <v>Gandola</v>
          </cell>
          <cell r="E1001" t="str">
            <v>Espositore Pocy</v>
          </cell>
          <cell r="F1001" t="str">
            <v>BOBST 104</v>
          </cell>
          <cell r="G1001">
            <v>2</v>
          </cell>
          <cell r="H1001" t="str">
            <v>No</v>
          </cell>
          <cell r="I1001" t="str">
            <v>No</v>
          </cell>
          <cell r="J1001" t="str">
            <v>No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</row>
        <row r="1002">
          <cell r="A1002" t="str">
            <v>FU1000</v>
          </cell>
          <cell r="B1002" t="str">
            <v>Lasercom</v>
          </cell>
          <cell r="C1002" t="str">
            <v>Lomba369</v>
          </cell>
          <cell r="D1002" t="str">
            <v>Dolci Calze</v>
          </cell>
          <cell r="E1002" t="str">
            <v>Astucci H3</v>
          </cell>
          <cell r="F1002" t="str">
            <v>BOBST 104</v>
          </cell>
          <cell r="G1002">
            <v>3</v>
          </cell>
          <cell r="H1002" t="str">
            <v>No</v>
          </cell>
          <cell r="I1002" t="str">
            <v>No</v>
          </cell>
          <cell r="J1002" t="str">
            <v>No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</row>
        <row r="1003">
          <cell r="A1003" t="str">
            <v>FU1001</v>
          </cell>
          <cell r="B1003" t="str">
            <v>Lasercom</v>
          </cell>
          <cell r="C1003" t="str">
            <v>Lomb282</v>
          </cell>
          <cell r="D1003" t="str">
            <v>Antica Fratta</v>
          </cell>
          <cell r="E1003" t="str">
            <v>2 Bottiglie</v>
          </cell>
          <cell r="F1003" t="str">
            <v>BOBST 104</v>
          </cell>
          <cell r="G1003">
            <v>1</v>
          </cell>
          <cell r="H1003" t="str">
            <v>No</v>
          </cell>
          <cell r="I1003" t="str">
            <v>No</v>
          </cell>
          <cell r="J1003" t="str">
            <v>No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</row>
        <row r="1004">
          <cell r="A1004" t="str">
            <v>FU1002</v>
          </cell>
          <cell r="B1004" t="str">
            <v>Lasercom</v>
          </cell>
          <cell r="C1004" t="str">
            <v>Lomba205</v>
          </cell>
          <cell r="D1004" t="str">
            <v>Elettroplastica</v>
          </cell>
          <cell r="E1004" t="str">
            <v>Tunnel Imetec</v>
          </cell>
          <cell r="F1004" t="str">
            <v>BOBST 104</v>
          </cell>
          <cell r="G1004">
            <v>2</v>
          </cell>
          <cell r="H1004" t="str">
            <v>No</v>
          </cell>
          <cell r="I1004" t="str">
            <v>No</v>
          </cell>
          <cell r="J1004" t="str">
            <v>No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</row>
        <row r="1005">
          <cell r="A1005" t="str">
            <v>FU1003</v>
          </cell>
          <cell r="B1005" t="str">
            <v>Fusteltecnica</v>
          </cell>
          <cell r="C1005" t="str">
            <v>E03534</v>
          </cell>
          <cell r="D1005" t="str">
            <v>Pantytex</v>
          </cell>
          <cell r="E1005" t="str">
            <v>Inserti Bonita</v>
          </cell>
          <cell r="F1005" t="str">
            <v>BOBST 104</v>
          </cell>
          <cell r="G1005">
            <v>4</v>
          </cell>
          <cell r="H1005" t="str">
            <v>Si</v>
          </cell>
          <cell r="I1005" t="str">
            <v>No</v>
          </cell>
          <cell r="J1005" t="str">
            <v>No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</row>
        <row r="1006">
          <cell r="A1006" t="str">
            <v>FU1004</v>
          </cell>
          <cell r="B1006" t="str">
            <v>Fusteltecnica</v>
          </cell>
          <cell r="C1006" t="str">
            <v>R00815</v>
          </cell>
          <cell r="D1006" t="str">
            <v>Eire</v>
          </cell>
          <cell r="E1006" t="str">
            <v>Appendini DM 2x</v>
          </cell>
          <cell r="F1006" t="str">
            <v>BOBST 104</v>
          </cell>
          <cell r="G1006">
            <v>9</v>
          </cell>
          <cell r="H1006" t="str">
            <v>Si</v>
          </cell>
          <cell r="I1006" t="str">
            <v>No</v>
          </cell>
          <cell r="J1006" t="str">
            <v>No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</row>
        <row r="1007">
          <cell r="A1007" t="str">
            <v>FU1005</v>
          </cell>
          <cell r="B1007" t="str">
            <v>Lasercom</v>
          </cell>
          <cell r="C1007" t="str">
            <v>Lomba286</v>
          </cell>
          <cell r="D1007" t="str">
            <v>Ercos</v>
          </cell>
          <cell r="E1007" t="str">
            <v>Contenitore Astucci</v>
          </cell>
          <cell r="F1007" t="str">
            <v>BOBST 104</v>
          </cell>
          <cell r="G1007">
            <v>2</v>
          </cell>
          <cell r="H1007" t="str">
            <v>No</v>
          </cell>
          <cell r="I1007" t="str">
            <v>No</v>
          </cell>
          <cell r="J1007" t="str">
            <v>No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</row>
        <row r="1008">
          <cell r="A1008" t="str">
            <v>FU1006</v>
          </cell>
          <cell r="B1008" t="str">
            <v>Lasercom</v>
          </cell>
          <cell r="C1008" t="str">
            <v>Lomba66</v>
          </cell>
          <cell r="D1008" t="str">
            <v>Miva</v>
          </cell>
          <cell r="E1008" t="str">
            <v>Inserti Fabiani Piccolo</v>
          </cell>
          <cell r="F1008" t="str">
            <v>BOBST 104</v>
          </cell>
          <cell r="G1008">
            <v>8</v>
          </cell>
          <cell r="H1008" t="str">
            <v>No</v>
          </cell>
          <cell r="I1008" t="str">
            <v>No</v>
          </cell>
          <cell r="J1008" t="str">
            <v>No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</row>
        <row r="1009">
          <cell r="A1009" t="str">
            <v>FU1007</v>
          </cell>
          <cell r="B1009" t="str">
            <v>Fusteltecnica</v>
          </cell>
          <cell r="C1009" t="str">
            <v>G18571</v>
          </cell>
          <cell r="D1009" t="str">
            <v>Cizeta</v>
          </cell>
          <cell r="E1009" t="str">
            <v>Inserti Pancera</v>
          </cell>
          <cell r="F1009" t="str">
            <v>BOBST 104</v>
          </cell>
          <cell r="G1009">
            <v>3</v>
          </cell>
          <cell r="H1009" t="str">
            <v>No</v>
          </cell>
          <cell r="I1009" t="str">
            <v>No</v>
          </cell>
          <cell r="J1009" t="str">
            <v>No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</row>
        <row r="1010">
          <cell r="A1010" t="str">
            <v>FU1008</v>
          </cell>
          <cell r="B1010" t="str">
            <v>Fusteltecnica</v>
          </cell>
          <cell r="C1010" t="str">
            <v>M07763</v>
          </cell>
          <cell r="D1010" t="str">
            <v>Valledoro</v>
          </cell>
          <cell r="E1010" t="str">
            <v>Fasce estruso formaggio</v>
          </cell>
          <cell r="F1010" t="str">
            <v>BOBST 1260</v>
          </cell>
          <cell r="G1010">
            <v>3</v>
          </cell>
          <cell r="H1010" t="str">
            <v>No</v>
          </cell>
          <cell r="I1010" t="str">
            <v>Si</v>
          </cell>
          <cell r="J1010" t="str">
            <v>No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</row>
        <row r="1011">
          <cell r="A1011" t="str">
            <v>FU1009</v>
          </cell>
          <cell r="B1011" t="str">
            <v>Lasercom</v>
          </cell>
          <cell r="C1011" t="str">
            <v>Lomba479</v>
          </cell>
          <cell r="D1011" t="str">
            <v>Cravattificio Conti</v>
          </cell>
          <cell r="E1011" t="str">
            <v>Scatole Cravatte di Classe</v>
          </cell>
          <cell r="F1011" t="str">
            <v>BOBST 1260</v>
          </cell>
          <cell r="G1011">
            <v>1</v>
          </cell>
          <cell r="H1011" t="str">
            <v>Si</v>
          </cell>
          <cell r="I1011" t="str">
            <v>Si</v>
          </cell>
          <cell r="J1011" t="str">
            <v>No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</row>
        <row r="1012">
          <cell r="A1012" t="str">
            <v>FU1010</v>
          </cell>
          <cell r="B1012" t="str">
            <v>Fusteltecnica</v>
          </cell>
          <cell r="C1012" t="str">
            <v>G20764</v>
          </cell>
          <cell r="D1012" t="str">
            <v>Prontofoods</v>
          </cell>
          <cell r="E1012" t="str">
            <v>Astucci 18 Cialde</v>
          </cell>
          <cell r="F1012" t="str">
            <v>BOBST 104</v>
          </cell>
          <cell r="G1012">
            <v>2</v>
          </cell>
          <cell r="H1012" t="str">
            <v>Si</v>
          </cell>
          <cell r="I1012" t="str">
            <v>No</v>
          </cell>
          <cell r="J1012" t="str">
            <v>No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</row>
        <row r="1013">
          <cell r="A1013" t="str">
            <v>FU1011</v>
          </cell>
          <cell r="B1013" t="str">
            <v>Lasercom</v>
          </cell>
          <cell r="C1013" t="str">
            <v>Lomba835</v>
          </cell>
          <cell r="D1013" t="str">
            <v>Tracy</v>
          </cell>
          <cell r="E1013" t="str">
            <v>Appendini collant bonetterie</v>
          </cell>
          <cell r="F1013" t="str">
            <v>BOBST 104</v>
          </cell>
          <cell r="G1013">
            <v>4</v>
          </cell>
          <cell r="H1013" t="str">
            <v>Si</v>
          </cell>
          <cell r="I1013" t="str">
            <v>No</v>
          </cell>
          <cell r="J1013" t="str">
            <v>No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</row>
        <row r="1014">
          <cell r="A1014" t="str">
            <v>FU1012</v>
          </cell>
          <cell r="B1014" t="str">
            <v>Lasercom</v>
          </cell>
          <cell r="C1014" t="str">
            <v>Lomba837</v>
          </cell>
          <cell r="D1014" t="str">
            <v>Tracy</v>
          </cell>
          <cell r="E1014" t="str">
            <v>Cavallotti bonetterie</v>
          </cell>
          <cell r="F1014" t="str">
            <v>BOBST 1260</v>
          </cell>
          <cell r="G1014">
            <v>8</v>
          </cell>
          <cell r="H1014" t="str">
            <v>No</v>
          </cell>
          <cell r="I1014" t="str">
            <v>Si</v>
          </cell>
          <cell r="J1014" t="str">
            <v>No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</row>
        <row r="1015">
          <cell r="A1015" t="str">
            <v>FU1013</v>
          </cell>
          <cell r="B1015" t="str">
            <v>Lasercom</v>
          </cell>
          <cell r="C1015" t="str">
            <v>Lomba843</v>
          </cell>
          <cell r="D1015" t="str">
            <v>Pantytex</v>
          </cell>
          <cell r="E1015" t="str">
            <v>Abbinato C&amp;A josef kretching</v>
          </cell>
          <cell r="F1015" t="str">
            <v>BOBST 1260</v>
          </cell>
          <cell r="G1015">
            <v>7</v>
          </cell>
          <cell r="H1015" t="str">
            <v>No</v>
          </cell>
          <cell r="I1015" t="str">
            <v>Si</v>
          </cell>
          <cell r="J1015" t="str">
            <v>No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</row>
        <row r="1016">
          <cell r="A1016" t="str">
            <v>FU1014</v>
          </cell>
          <cell r="B1016" t="str">
            <v>Fusteltecnica</v>
          </cell>
          <cell r="C1016" t="str">
            <v>R08894</v>
          </cell>
          <cell r="D1016" t="str">
            <v>Elettroplastica</v>
          </cell>
          <cell r="E1016" t="str">
            <v>TL155</v>
          </cell>
          <cell r="F1016" t="str">
            <v>BOBST 1260</v>
          </cell>
          <cell r="G1016">
            <v>1</v>
          </cell>
          <cell r="H1016" t="str">
            <v>No</v>
          </cell>
          <cell r="I1016" t="str">
            <v>Si</v>
          </cell>
          <cell r="J1016" t="str">
            <v>No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</row>
        <row r="1017">
          <cell r="A1017" t="str">
            <v>FU1015</v>
          </cell>
          <cell r="B1017" t="str">
            <v>Lasercom</v>
          </cell>
          <cell r="C1017" t="str">
            <v>Lomba839</v>
          </cell>
          <cell r="D1017" t="str">
            <v>Elettroplastica</v>
          </cell>
          <cell r="E1017" t="str">
            <v>TL156</v>
          </cell>
          <cell r="F1017" t="str">
            <v>BOBST 1260</v>
          </cell>
          <cell r="G1017">
            <v>1</v>
          </cell>
          <cell r="H1017" t="str">
            <v>No</v>
          </cell>
          <cell r="I1017" t="str">
            <v>Si</v>
          </cell>
          <cell r="J1017" t="str">
            <v>No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</row>
        <row r="1018">
          <cell r="A1018" t="str">
            <v>FU1016</v>
          </cell>
          <cell r="B1018" t="str">
            <v>Fusteltecnica</v>
          </cell>
          <cell r="C1018" t="str">
            <v>M07764</v>
          </cell>
          <cell r="D1018" t="str">
            <v>Magazzini del Caffè</v>
          </cell>
          <cell r="E1018" t="str">
            <v>Astucci julius meinl 28 caps</v>
          </cell>
          <cell r="F1018" t="str">
            <v>BOBST 1260</v>
          </cell>
          <cell r="G1018">
            <v>4</v>
          </cell>
          <cell r="H1018" t="str">
            <v>Si</v>
          </cell>
          <cell r="I1018" t="str">
            <v>Si</v>
          </cell>
          <cell r="J1018" t="str">
            <v>No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</row>
        <row r="1019">
          <cell r="A1019" t="str">
            <v>FU1017</v>
          </cell>
          <cell r="B1019" t="str">
            <v>Fusteltecnica</v>
          </cell>
          <cell r="C1019" t="str">
            <v>R08932</v>
          </cell>
          <cell r="D1019" t="str">
            <v>Tracy</v>
          </cell>
          <cell r="E1019" t="str">
            <v>Appendini orchestra abbinati</v>
          </cell>
          <cell r="F1019" t="str">
            <v>BOBST 104</v>
          </cell>
          <cell r="G1019">
            <v>10</v>
          </cell>
          <cell r="H1019" t="str">
            <v>Si</v>
          </cell>
          <cell r="I1019" t="str">
            <v>No</v>
          </cell>
          <cell r="J1019" t="str">
            <v>No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</row>
        <row r="1020">
          <cell r="A1020" t="str">
            <v>FU1018</v>
          </cell>
          <cell r="B1020" t="str">
            <v>Lasercom</v>
          </cell>
          <cell r="C1020" t="str">
            <v>Lomba838</v>
          </cell>
          <cell r="D1020" t="str">
            <v>Elettroplastica</v>
          </cell>
          <cell r="E1020" t="str">
            <v>TL152</v>
          </cell>
          <cell r="F1020" t="str">
            <v>BOBST 1260</v>
          </cell>
          <cell r="G1020">
            <v>1</v>
          </cell>
          <cell r="H1020" t="str">
            <v>No</v>
          </cell>
          <cell r="I1020" t="str">
            <v>Si</v>
          </cell>
          <cell r="J1020" t="str">
            <v>No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</row>
        <row r="1021">
          <cell r="A1021" t="str">
            <v>FU1019</v>
          </cell>
          <cell r="B1021" t="str">
            <v>Lasercom</v>
          </cell>
          <cell r="C1021" t="str">
            <v>Lomba840</v>
          </cell>
          <cell r="D1021" t="str">
            <v>Elettroplastica</v>
          </cell>
          <cell r="E1021" t="str">
            <v>TL159 - TL160</v>
          </cell>
          <cell r="F1021" t="str">
            <v>BOBST 1260</v>
          </cell>
          <cell r="G1021">
            <v>1</v>
          </cell>
          <cell r="H1021" t="str">
            <v>No</v>
          </cell>
          <cell r="I1021" t="str">
            <v>Si</v>
          </cell>
          <cell r="J1021" t="str">
            <v>No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</row>
        <row r="1022">
          <cell r="A1022" t="str">
            <v>FU1020</v>
          </cell>
          <cell r="B1022" t="str">
            <v>Lasercom</v>
          </cell>
          <cell r="C1022" t="str">
            <v>Lomba845</v>
          </cell>
          <cell r="D1022" t="str">
            <v>Tradigo</v>
          </cell>
          <cell r="E1022" t="str">
            <v>Abbinato lacci per scarpe</v>
          </cell>
          <cell r="F1022" t="str">
            <v>BOBST 104</v>
          </cell>
          <cell r="G1022">
            <v>7</v>
          </cell>
          <cell r="H1022" t="str">
            <v>No</v>
          </cell>
          <cell r="I1022" t="str">
            <v>No</v>
          </cell>
          <cell r="J1022" t="str">
            <v>No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</row>
        <row r="1023">
          <cell r="A1023" t="str">
            <v>FU1021</v>
          </cell>
          <cell r="B1023" t="str">
            <v>Lasercom</v>
          </cell>
          <cell r="C1023" t="str">
            <v>Lomba844</v>
          </cell>
          <cell r="D1023" t="str">
            <v>Vegas</v>
          </cell>
          <cell r="E1023" t="str">
            <v>Appendini accappi h28 2018</v>
          </cell>
          <cell r="F1023" t="str">
            <v>BOBST 1260</v>
          </cell>
          <cell r="G1023">
            <v>4</v>
          </cell>
          <cell r="H1023" t="str">
            <v>No</v>
          </cell>
          <cell r="I1023" t="str">
            <v>Si</v>
          </cell>
          <cell r="J1023" t="str">
            <v>No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</row>
        <row r="1024">
          <cell r="A1024" t="str">
            <v>FU1022</v>
          </cell>
          <cell r="B1024" t="str">
            <v>Fusteltecnica</v>
          </cell>
          <cell r="C1024" t="str">
            <v>M07827</v>
          </cell>
          <cell r="D1024" t="str">
            <v>Girardi</v>
          </cell>
          <cell r="E1024" t="str">
            <v>Tirelle adesive girardi</v>
          </cell>
          <cell r="F1024" t="str">
            <v>BOBST 104</v>
          </cell>
          <cell r="G1024">
            <v>15</v>
          </cell>
          <cell r="H1024" t="str">
            <v>Si</v>
          </cell>
          <cell r="I1024" t="str">
            <v>No</v>
          </cell>
          <cell r="J1024" t="str">
            <v>No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</row>
        <row r="1025">
          <cell r="A1025" t="str">
            <v>FU1023</v>
          </cell>
          <cell r="B1025" t="str">
            <v>Fusteltecnica</v>
          </cell>
          <cell r="C1025" t="str">
            <v>M07838</v>
          </cell>
          <cell r="D1025" t="str">
            <v>Tracy</v>
          </cell>
          <cell r="E1025" t="str">
            <v>Appendini breal</v>
          </cell>
          <cell r="F1025" t="str">
            <v>BOBST 1260</v>
          </cell>
          <cell r="G1025">
            <v>4</v>
          </cell>
          <cell r="H1025" t="str">
            <v>No</v>
          </cell>
          <cell r="I1025" t="str">
            <v>Si</v>
          </cell>
          <cell r="J1025" t="str">
            <v>No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</row>
        <row r="1026">
          <cell r="A1026" t="str">
            <v>FU1024</v>
          </cell>
          <cell r="B1026" t="str">
            <v>Lasercom</v>
          </cell>
          <cell r="C1026" t="str">
            <v>Lomba847</v>
          </cell>
          <cell r="D1026" t="str">
            <v>Rcm</v>
          </cell>
          <cell r="E1026" t="str">
            <v>Astucci linange</v>
          </cell>
          <cell r="F1026" t="str">
            <v>BOBST 1260</v>
          </cell>
          <cell r="G1026">
            <v>4</v>
          </cell>
          <cell r="H1026" t="str">
            <v>No</v>
          </cell>
          <cell r="I1026" t="str">
            <v>Si</v>
          </cell>
          <cell r="J1026" t="str">
            <v>No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</row>
        <row r="1027">
          <cell r="A1027" t="str">
            <v>FU1025</v>
          </cell>
          <cell r="B1027" t="str">
            <v>Lasercom</v>
          </cell>
          <cell r="C1027" t="str">
            <v>Lomba849</v>
          </cell>
          <cell r="D1027" t="str">
            <v>Gianferrari</v>
          </cell>
          <cell r="E1027" t="str">
            <v>Astucci calze regalo</v>
          </cell>
          <cell r="F1027" t="str">
            <v>BOBST 1260</v>
          </cell>
          <cell r="G1027">
            <v>2</v>
          </cell>
          <cell r="H1027" t="str">
            <v>No</v>
          </cell>
          <cell r="I1027" t="str">
            <v>Si</v>
          </cell>
          <cell r="J1027" t="str">
            <v>No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</row>
        <row r="1028">
          <cell r="A1028" t="str">
            <v>FU1026</v>
          </cell>
          <cell r="B1028" t="str">
            <v>Lasercom</v>
          </cell>
          <cell r="C1028" t="str">
            <v>Lomba848</v>
          </cell>
          <cell r="D1028" t="str">
            <v>Gaettarelli</v>
          </cell>
          <cell r="E1028" t="str">
            <v>Scatole chef secret</v>
          </cell>
          <cell r="F1028" t="str">
            <v>BOBST 1260</v>
          </cell>
          <cell r="G1028">
            <v>3</v>
          </cell>
          <cell r="H1028" t="str">
            <v>No</v>
          </cell>
          <cell r="I1028" t="str">
            <v>Si</v>
          </cell>
          <cell r="J1028" t="str">
            <v>No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</row>
        <row r="1029">
          <cell r="A1029" t="str">
            <v>FU1027</v>
          </cell>
          <cell r="B1029" t="str">
            <v>Fusteltecnica</v>
          </cell>
          <cell r="C1029" t="str">
            <v>m07870</v>
          </cell>
          <cell r="D1029" t="str">
            <v>Pasqualini</v>
          </cell>
          <cell r="E1029" t="str">
            <v>Astucci 16 capsule</v>
          </cell>
          <cell r="F1029" t="str">
            <v>BOBST 1260</v>
          </cell>
          <cell r="G1029">
            <v>5</v>
          </cell>
          <cell r="H1029" t="str">
            <v>No</v>
          </cell>
          <cell r="I1029" t="str">
            <v>Si</v>
          </cell>
          <cell r="J1029" t="str">
            <v>No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</row>
        <row r="1030">
          <cell r="A1030" t="str">
            <v>FU1028</v>
          </cell>
          <cell r="B1030" t="str">
            <v>Lasercom</v>
          </cell>
          <cell r="C1030" t="str">
            <v>Lomba850</v>
          </cell>
          <cell r="D1030" t="str">
            <v>Rcm</v>
          </cell>
          <cell r="E1030" t="str">
            <v>Interni microonda astucci nee</v>
          </cell>
          <cell r="F1030" t="str">
            <v>BOBST 1260</v>
          </cell>
          <cell r="G1030">
            <v>16</v>
          </cell>
          <cell r="H1030" t="str">
            <v>No</v>
          </cell>
          <cell r="I1030" t="str">
            <v>Si</v>
          </cell>
          <cell r="J1030" t="str">
            <v>No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</row>
        <row r="1031">
          <cell r="A1031" t="str">
            <v>FU1029</v>
          </cell>
          <cell r="B1031" t="str">
            <v>Fusteltecnica</v>
          </cell>
          <cell r="C1031" t="str">
            <v>M07911</v>
          </cell>
          <cell r="D1031" t="str">
            <v>D&amp;G</v>
          </cell>
          <cell r="E1031" t="str">
            <v>Astucci vasocottura 2018</v>
          </cell>
          <cell r="F1031" t="str">
            <v>BOBST 1260</v>
          </cell>
          <cell r="G1031">
            <v>1</v>
          </cell>
          <cell r="H1031" t="str">
            <v>No</v>
          </cell>
          <cell r="I1031" t="str">
            <v>Si</v>
          </cell>
          <cell r="J1031" t="str">
            <v>No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</row>
        <row r="1032">
          <cell r="A1032" t="str">
            <v>FU1030</v>
          </cell>
          <cell r="B1032" t="str">
            <v>Lasercom</v>
          </cell>
          <cell r="C1032" t="str">
            <v>Lomba854</v>
          </cell>
          <cell r="D1032" t="str">
            <v>Elettroplastica</v>
          </cell>
          <cell r="E1032" t="str">
            <v>Scatola tl300</v>
          </cell>
          <cell r="F1032" t="str">
            <v>BOBST 1260</v>
          </cell>
          <cell r="G1032">
            <v>1</v>
          </cell>
          <cell r="H1032" t="str">
            <v>No</v>
          </cell>
          <cell r="I1032" t="str">
            <v>Si</v>
          </cell>
          <cell r="J1032" t="str">
            <v>No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</row>
        <row r="1033">
          <cell r="A1033" t="str">
            <v>FU1031</v>
          </cell>
          <cell r="B1033" t="str">
            <v>Fusteltecnica</v>
          </cell>
          <cell r="C1033" t="str">
            <v>R09057</v>
          </cell>
          <cell r="D1033" t="str">
            <v>Tracy</v>
          </cell>
          <cell r="E1033" t="str">
            <v>Astucci cache cache</v>
          </cell>
          <cell r="F1033" t="str">
            <v>BOBST 104</v>
          </cell>
          <cell r="G1033">
            <v>5</v>
          </cell>
          <cell r="H1033" t="str">
            <v>Si</v>
          </cell>
          <cell r="I1033" t="str">
            <v>No</v>
          </cell>
          <cell r="J1033" t="str">
            <v>No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</row>
        <row r="1034">
          <cell r="A1034" t="str">
            <v>FU1032</v>
          </cell>
          <cell r="B1034" t="str">
            <v>Fusteltecnica</v>
          </cell>
          <cell r="C1034" t="str">
            <v>E07015</v>
          </cell>
          <cell r="D1034" t="str">
            <v>Pantytex</v>
          </cell>
          <cell r="E1034" t="str">
            <v>Appendini hema bimba 2018 stretti</v>
          </cell>
          <cell r="F1034" t="str">
            <v>BOBST 1260</v>
          </cell>
          <cell r="G1034">
            <v>8</v>
          </cell>
          <cell r="H1034" t="str">
            <v>Si</v>
          </cell>
          <cell r="I1034" t="str">
            <v>Si</v>
          </cell>
          <cell r="J1034" t="str">
            <v>No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</row>
        <row r="1035">
          <cell r="A1035" t="str">
            <v>FU1033</v>
          </cell>
          <cell r="B1035" t="str">
            <v>Fusteltecnica</v>
          </cell>
          <cell r="C1035" t="str">
            <v>M07933</v>
          </cell>
          <cell r="D1035" t="str">
            <v>Doringel</v>
          </cell>
          <cell r="E1035" t="str">
            <v>Scatole ghiaccioli abbinate</v>
          </cell>
          <cell r="F1035" t="str">
            <v>BOBST 104</v>
          </cell>
          <cell r="G1035">
            <v>3</v>
          </cell>
          <cell r="H1035" t="str">
            <v>Si</v>
          </cell>
          <cell r="I1035" t="str">
            <v>No</v>
          </cell>
          <cell r="J1035" t="str">
            <v>No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</row>
        <row r="1036">
          <cell r="A1036" t="str">
            <v>FU1034</v>
          </cell>
          <cell r="B1036" t="str">
            <v>Lasercom</v>
          </cell>
          <cell r="C1036" t="str">
            <v>Lomba853</v>
          </cell>
          <cell r="D1036" t="str">
            <v>Gallo</v>
          </cell>
          <cell r="E1036" t="str">
            <v>Solette abbinate</v>
          </cell>
          <cell r="F1036" t="str">
            <v>BOBST 1260</v>
          </cell>
          <cell r="G1036">
            <v>6</v>
          </cell>
          <cell r="H1036" t="str">
            <v>No</v>
          </cell>
          <cell r="I1036" t="str">
            <v>Si</v>
          </cell>
          <cell r="J1036" t="str">
            <v>No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</row>
        <row r="1037">
          <cell r="A1037" t="str">
            <v>FU1035</v>
          </cell>
          <cell r="B1037" t="str">
            <v>Fusteltecnica</v>
          </cell>
          <cell r="C1037" t="str">
            <v>R09131</v>
          </cell>
          <cell r="D1037" t="str">
            <v>Quaranta</v>
          </cell>
          <cell r="E1037" t="str">
            <v>Astucci fluo</v>
          </cell>
          <cell r="F1037" t="str">
            <v>BOBST 1260</v>
          </cell>
          <cell r="G1037">
            <v>3</v>
          </cell>
          <cell r="H1037" t="str">
            <v>No</v>
          </cell>
          <cell r="I1037" t="str">
            <v>Si</v>
          </cell>
          <cell r="J1037" t="str">
            <v>No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</row>
        <row r="1038">
          <cell r="A1038" t="str">
            <v>FU1036</v>
          </cell>
          <cell r="B1038" t="str">
            <v>Fusteltecnica</v>
          </cell>
          <cell r="C1038" t="str">
            <v>E07054</v>
          </cell>
          <cell r="D1038" t="str">
            <v>Tracy</v>
          </cell>
          <cell r="E1038" t="str">
            <v>Astucci cache cache 9/2018 diametro 8</v>
          </cell>
          <cell r="F1038" t="str">
            <v>BOBST 1260</v>
          </cell>
          <cell r="G1038">
            <v>4</v>
          </cell>
          <cell r="H1038" t="str">
            <v>No</v>
          </cell>
          <cell r="I1038" t="str">
            <v>Si</v>
          </cell>
          <cell r="J1038" t="str">
            <v>No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</row>
        <row r="1039">
          <cell r="A1039" t="str">
            <v>FU1037</v>
          </cell>
          <cell r="B1039" t="str">
            <v>Lasercom</v>
          </cell>
          <cell r="C1039" t="str">
            <v>Lomba856</v>
          </cell>
          <cell r="D1039" t="str">
            <v>Battaglio</v>
          </cell>
          <cell r="E1039" t="str">
            <v>Abbinato cavallotti 3 orsi ideafissa</v>
          </cell>
          <cell r="F1039" t="str">
            <v>BOBST 1260</v>
          </cell>
          <cell r="G1039">
            <v>21</v>
          </cell>
          <cell r="H1039" t="str">
            <v>No</v>
          </cell>
          <cell r="I1039" t="str">
            <v>Si</v>
          </cell>
          <cell r="J1039" t="str">
            <v>No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</row>
        <row r="1040">
          <cell r="A1040" t="str">
            <v>FU1038</v>
          </cell>
          <cell r="B1040" t="str">
            <v>Fusteltecnica</v>
          </cell>
          <cell r="C1040" t="str">
            <v>R09103</v>
          </cell>
          <cell r="D1040" t="str">
            <v>Pastificio Ghigi</v>
          </cell>
          <cell r="E1040" t="str">
            <v>Astucci mezze maniche conad ghigi</v>
          </cell>
          <cell r="F1040" t="str">
            <v>BOBST 104</v>
          </cell>
          <cell r="G1040">
            <v>4</v>
          </cell>
          <cell r="H1040" t="str">
            <v>Si</v>
          </cell>
          <cell r="I1040" t="str">
            <v>No</v>
          </cell>
          <cell r="J1040" t="str">
            <v>No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</row>
        <row r="1041">
          <cell r="A1041" t="str">
            <v>FU1039</v>
          </cell>
          <cell r="B1041" t="str">
            <v>Fusteltecnica</v>
          </cell>
          <cell r="C1041" t="str">
            <v>R09102</v>
          </cell>
          <cell r="D1041" t="str">
            <v>Pastificio Ghigi</v>
          </cell>
          <cell r="E1041" t="str">
            <v>Astucci fusilli conad ghigi</v>
          </cell>
          <cell r="F1041" t="str">
            <v>BOBST 104</v>
          </cell>
          <cell r="G1041">
            <v>4</v>
          </cell>
          <cell r="H1041" t="str">
            <v>Si</v>
          </cell>
          <cell r="I1041" t="str">
            <v>No</v>
          </cell>
          <cell r="J1041" t="str">
            <v>No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</row>
        <row r="1042">
          <cell r="A1042" t="str">
            <v>FU1040</v>
          </cell>
          <cell r="B1042" t="str">
            <v>Fusteltecnica</v>
          </cell>
          <cell r="C1042" t="str">
            <v>R09105</v>
          </cell>
          <cell r="D1042" t="str">
            <v>Pastificio Ghigi</v>
          </cell>
          <cell r="E1042" t="str">
            <v>Astucci spaghetti conad ghigi</v>
          </cell>
          <cell r="F1042" t="str">
            <v>BOBST 1260</v>
          </cell>
          <cell r="G1042">
            <v>6</v>
          </cell>
          <cell r="H1042" t="str">
            <v>Si</v>
          </cell>
          <cell r="I1042" t="str">
            <v>Si</v>
          </cell>
          <cell r="J1042" t="str">
            <v>No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</row>
        <row r="1043">
          <cell r="A1043" t="str">
            <v>FU1041</v>
          </cell>
          <cell r="B1043" t="str">
            <v>Fusteltecnica</v>
          </cell>
          <cell r="C1043" t="str">
            <v>R09104</v>
          </cell>
          <cell r="D1043" t="str">
            <v>Pastificio Ghigi</v>
          </cell>
          <cell r="E1043" t="str">
            <v>Astucci penne conad ghigi</v>
          </cell>
          <cell r="F1043" t="str">
            <v>BOBST 1260</v>
          </cell>
          <cell r="G1043">
            <v>4</v>
          </cell>
          <cell r="H1043" t="str">
            <v>Si</v>
          </cell>
          <cell r="I1043" t="str">
            <v>Si</v>
          </cell>
          <cell r="J1043" t="str">
            <v>No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</row>
        <row r="1044">
          <cell r="A1044" t="str">
            <v>FU1042</v>
          </cell>
          <cell r="B1044" t="str">
            <v>Fusteltecnica</v>
          </cell>
          <cell r="C1044" t="str">
            <v>M07913</v>
          </cell>
          <cell r="D1044" t="str">
            <v>Revenge</v>
          </cell>
          <cell r="E1044" t="str">
            <v>Appendini bimbo revenge</v>
          </cell>
          <cell r="F1044" t="str">
            <v>BOBST 1260</v>
          </cell>
          <cell r="G1044">
            <v>4</v>
          </cell>
          <cell r="H1044" t="str">
            <v>No</v>
          </cell>
          <cell r="I1044" t="str">
            <v>Si</v>
          </cell>
          <cell r="J1044" t="str">
            <v>No</v>
          </cell>
          <cell r="K1044">
            <v>0</v>
          </cell>
          <cell r="L1044" t="str">
            <v>Si</v>
          </cell>
          <cell r="M1044" t="str">
            <v>Diana Pro 114</v>
          </cell>
          <cell r="N1044" t="str">
            <v>Appendini</v>
          </cell>
        </row>
        <row r="1045">
          <cell r="A1045" t="str">
            <v>FU1043</v>
          </cell>
          <cell r="B1045" t="str">
            <v>Fusteltecnica</v>
          </cell>
          <cell r="C1045" t="str">
            <v>M07914</v>
          </cell>
          <cell r="D1045" t="str">
            <v>Revenge</v>
          </cell>
          <cell r="E1045" t="str">
            <v>Appendini uomo rvenge</v>
          </cell>
          <cell r="F1045" t="str">
            <v>BOBST 1260</v>
          </cell>
          <cell r="G1045">
            <v>4</v>
          </cell>
          <cell r="H1045" t="str">
            <v>No</v>
          </cell>
          <cell r="I1045" t="str">
            <v>Si</v>
          </cell>
          <cell r="J1045" t="str">
            <v>No</v>
          </cell>
          <cell r="K1045">
            <v>0</v>
          </cell>
          <cell r="L1045" t="str">
            <v>Si</v>
          </cell>
          <cell r="M1045" t="str">
            <v>Diana Pro 114</v>
          </cell>
          <cell r="N1045" t="str">
            <v>Appendini</v>
          </cell>
        </row>
        <row r="1046">
          <cell r="A1046" t="str">
            <v>FU1044</v>
          </cell>
          <cell r="B1046" t="str">
            <v>Fusteltecnica</v>
          </cell>
          <cell r="C1046" t="str">
            <v>M08043</v>
          </cell>
          <cell r="D1046" t="str">
            <v>Poli</v>
          </cell>
          <cell r="E1046" t="str">
            <v>Astucci 50 capsule</v>
          </cell>
          <cell r="F1046" t="str">
            <v>BOBST 1260</v>
          </cell>
          <cell r="G1046">
            <v>4</v>
          </cell>
          <cell r="H1046" t="str">
            <v>Si</v>
          </cell>
          <cell r="I1046" t="str">
            <v>Si</v>
          </cell>
          <cell r="J1046" t="str">
            <v>No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</row>
        <row r="1047">
          <cell r="A1047" t="str">
            <v>FU1045</v>
          </cell>
          <cell r="B1047" t="str">
            <v>Lasercom</v>
          </cell>
          <cell r="C1047" t="str">
            <v>Lombc858</v>
          </cell>
          <cell r="D1047" t="str">
            <v>Pantytex</v>
          </cell>
          <cell r="E1047" t="str">
            <v>Inserti inogami</v>
          </cell>
          <cell r="F1047" t="str">
            <v>BOBST 104</v>
          </cell>
          <cell r="G1047">
            <v>3</v>
          </cell>
          <cell r="H1047" t="str">
            <v>Si</v>
          </cell>
          <cell r="I1047" t="str">
            <v>No</v>
          </cell>
          <cell r="J1047" t="str">
            <v>No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</row>
        <row r="1048">
          <cell r="A1048" t="str">
            <v>FU1046</v>
          </cell>
          <cell r="B1048" t="str">
            <v>Fusteltecnica</v>
          </cell>
          <cell r="C1048" t="str">
            <v>E07103</v>
          </cell>
          <cell r="D1048" t="str">
            <v>Movi</v>
          </cell>
          <cell r="E1048" t="str">
            <v>Astucci lacci per scarpe</v>
          </cell>
          <cell r="F1048" t="str">
            <v>BOBST 1260</v>
          </cell>
          <cell r="G1048">
            <v>4</v>
          </cell>
          <cell r="H1048" t="str">
            <v>No</v>
          </cell>
          <cell r="I1048" t="str">
            <v>Si</v>
          </cell>
          <cell r="J1048" t="str">
            <v>No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</row>
        <row r="1049">
          <cell r="A1049" t="str">
            <v>FU1047</v>
          </cell>
          <cell r="B1049" t="str">
            <v>Fusteltecnica</v>
          </cell>
          <cell r="C1049" t="str">
            <v>K14450</v>
          </cell>
          <cell r="D1049" t="str">
            <v>Genny</v>
          </cell>
          <cell r="E1049" t="str">
            <v>Cartellini azzurri</v>
          </cell>
          <cell r="F1049" t="str">
            <v>BOBST 104</v>
          </cell>
          <cell r="G1049">
            <v>18</v>
          </cell>
          <cell r="H1049" t="str">
            <v>No</v>
          </cell>
          <cell r="I1049" t="str">
            <v>No</v>
          </cell>
          <cell r="J1049" t="str">
            <v>No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</row>
        <row r="1050">
          <cell r="A1050" t="str">
            <v>FU1048</v>
          </cell>
          <cell r="B1050" t="str">
            <v>Fusteltecnica</v>
          </cell>
          <cell r="C1050" t="str">
            <v>M08118</v>
          </cell>
          <cell r="D1050" t="str">
            <v>Gallo</v>
          </cell>
          <cell r="E1050" t="str">
            <v>Coperchi scatola MA100721</v>
          </cell>
          <cell r="F1050" t="str">
            <v>BOBST 1260</v>
          </cell>
          <cell r="G1050">
            <v>2</v>
          </cell>
          <cell r="H1050" t="str">
            <v>No</v>
          </cell>
          <cell r="I1050" t="str">
            <v>Si</v>
          </cell>
          <cell r="J1050" t="str">
            <v>No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</row>
        <row r="1051">
          <cell r="A1051" t="str">
            <v>FU1049</v>
          </cell>
          <cell r="B1051" t="str">
            <v>Fusteltecnica</v>
          </cell>
          <cell r="C1051" t="str">
            <v>M08132</v>
          </cell>
          <cell r="D1051" t="str">
            <v>O.Erre</v>
          </cell>
          <cell r="E1051" t="str">
            <v>Scatola imballo tb10 tb12</v>
          </cell>
          <cell r="F1051" t="str">
            <v>BOBST 1260</v>
          </cell>
          <cell r="G1051">
            <v>2</v>
          </cell>
          <cell r="H1051" t="str">
            <v>No</v>
          </cell>
          <cell r="I1051" t="str">
            <v>Si</v>
          </cell>
          <cell r="J1051" t="str">
            <v>No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</row>
        <row r="1052">
          <cell r="A1052" t="str">
            <v>FU1050</v>
          </cell>
          <cell r="B1052" t="str">
            <v>Lasercom</v>
          </cell>
          <cell r="C1052" t="str">
            <v>Lomba859</v>
          </cell>
          <cell r="D1052" t="str">
            <v>Pantytex</v>
          </cell>
          <cell r="E1052" t="str">
            <v>Sagomati neutri ovali</v>
          </cell>
          <cell r="F1052" t="str">
            <v>BOBST 1260</v>
          </cell>
          <cell r="G1052">
            <v>8</v>
          </cell>
          <cell r="H1052" t="str">
            <v>No</v>
          </cell>
          <cell r="I1052" t="str">
            <v>Si</v>
          </cell>
          <cell r="J1052" t="str">
            <v>No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</row>
        <row r="1053">
          <cell r="A1053" t="str">
            <v>FU1051</v>
          </cell>
          <cell r="B1053" t="str">
            <v>Fusteltecnica</v>
          </cell>
          <cell r="C1053" t="str">
            <v>E07150</v>
          </cell>
          <cell r="D1053" t="str">
            <v>Genny</v>
          </cell>
          <cell r="E1053" t="str">
            <v>Inserti ak gambaletto</v>
          </cell>
          <cell r="F1053" t="str">
            <v>BOBST 104</v>
          </cell>
          <cell r="G1053">
            <v>7</v>
          </cell>
          <cell r="H1053" t="str">
            <v>No</v>
          </cell>
          <cell r="I1053" t="str">
            <v>No</v>
          </cell>
          <cell r="J1053" t="str">
            <v>No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</row>
        <row r="1054">
          <cell r="A1054" t="str">
            <v>FU1052</v>
          </cell>
          <cell r="B1054" t="str">
            <v>Fusteltecnica</v>
          </cell>
          <cell r="C1054" t="str">
            <v>E07099</v>
          </cell>
          <cell r="D1054" t="str">
            <v>Vegas</v>
          </cell>
          <cell r="E1054" t="str">
            <v>Astucci dorso 40</v>
          </cell>
          <cell r="F1054" t="str">
            <v>BOBST 1260</v>
          </cell>
          <cell r="G1054">
            <v>2</v>
          </cell>
          <cell r="H1054" t="str">
            <v>No</v>
          </cell>
          <cell r="I1054" t="str">
            <v>Si</v>
          </cell>
          <cell r="J1054" t="str">
            <v>No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</row>
        <row r="1055">
          <cell r="A1055" t="str">
            <v>FU1053</v>
          </cell>
          <cell r="B1055" t="str">
            <v>Fusteltecnica</v>
          </cell>
          <cell r="C1055" t="str">
            <v>E07182</v>
          </cell>
          <cell r="D1055" t="str">
            <v>D&amp;G</v>
          </cell>
          <cell r="E1055" t="str">
            <v>Panettone 2018</v>
          </cell>
          <cell r="F1055" t="str">
            <v>BOBST 1260</v>
          </cell>
          <cell r="G1055">
            <v>1</v>
          </cell>
          <cell r="H1055" t="str">
            <v>No</v>
          </cell>
          <cell r="I1055" t="str">
            <v>Si</v>
          </cell>
          <cell r="J1055" t="str">
            <v>No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</row>
        <row r="1056">
          <cell r="A1056" t="str">
            <v>FU1054</v>
          </cell>
          <cell r="B1056" t="str">
            <v>Fusteltecnica</v>
          </cell>
          <cell r="C1056" t="str">
            <v>E07119</v>
          </cell>
          <cell r="D1056" t="str">
            <v>Pastificio Ghigi</v>
          </cell>
          <cell r="E1056" t="str">
            <v>Astucci aldi spaghetti</v>
          </cell>
          <cell r="F1056" t="str">
            <v>BOBST 104</v>
          </cell>
          <cell r="G1056">
            <v>8</v>
          </cell>
          <cell r="H1056" t="str">
            <v>Si</v>
          </cell>
          <cell r="I1056" t="str">
            <v>No</v>
          </cell>
          <cell r="J1056" t="str">
            <v>No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</row>
        <row r="1057">
          <cell r="A1057" t="str">
            <v>FU1055</v>
          </cell>
          <cell r="B1057" t="str">
            <v>Fusteltecnica</v>
          </cell>
          <cell r="C1057" t="str">
            <v>E07149</v>
          </cell>
          <cell r="D1057" t="str">
            <v>Rcm</v>
          </cell>
          <cell r="E1057" t="str">
            <v>Astucci be care everline 2019</v>
          </cell>
          <cell r="F1057" t="str">
            <v>BOBST 104</v>
          </cell>
          <cell r="G1057">
            <v>2</v>
          </cell>
          <cell r="H1057" t="str">
            <v>Si</v>
          </cell>
          <cell r="I1057" t="str">
            <v>No</v>
          </cell>
          <cell r="J1057" t="str">
            <v>No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</row>
        <row r="1058">
          <cell r="A1058" t="str">
            <v>FU1056</v>
          </cell>
          <cell r="B1058" t="str">
            <v>Fusteltecnica</v>
          </cell>
          <cell r="C1058" t="str">
            <v>R09309</v>
          </cell>
          <cell r="D1058" t="str">
            <v>D&amp;G</v>
          </cell>
          <cell r="E1058" t="str">
            <v>Fasce panettone d &amp; g 2018</v>
          </cell>
          <cell r="F1058" t="str">
            <v>BOBST 1260</v>
          </cell>
          <cell r="G1058">
            <v>6</v>
          </cell>
          <cell r="H1058" t="str">
            <v>No</v>
          </cell>
          <cell r="I1058" t="str">
            <v>Si</v>
          </cell>
          <cell r="J1058" t="str">
            <v>No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</row>
        <row r="1059">
          <cell r="A1059" t="str">
            <v>FU1057</v>
          </cell>
          <cell r="B1059" t="str">
            <v>Fusteltecnica</v>
          </cell>
          <cell r="C1059" t="str">
            <v>R09301</v>
          </cell>
          <cell r="D1059" t="str">
            <v>Pantytex</v>
          </cell>
          <cell r="E1059" t="str">
            <v>Appendini c&amp;a autoreggenti</v>
          </cell>
          <cell r="F1059" t="str">
            <v>BOBST 1260</v>
          </cell>
          <cell r="G1059">
            <v>4</v>
          </cell>
          <cell r="H1059" t="str">
            <v>No</v>
          </cell>
          <cell r="I1059" t="str">
            <v>Si</v>
          </cell>
          <cell r="J1059" t="str">
            <v>No</v>
          </cell>
          <cell r="K1059">
            <v>0</v>
          </cell>
          <cell r="L1059" t="str">
            <v>No</v>
          </cell>
          <cell r="M1059">
            <v>0</v>
          </cell>
          <cell r="N1059">
            <v>0</v>
          </cell>
        </row>
        <row r="1060">
          <cell r="A1060" t="str">
            <v>FU1058</v>
          </cell>
          <cell r="B1060" t="str">
            <v>Lasercom</v>
          </cell>
          <cell r="C1060" t="str">
            <v>Lomb863n</v>
          </cell>
          <cell r="D1060" t="str">
            <v>Tracy</v>
          </cell>
          <cell r="E1060" t="str">
            <v>Astucci cache cache dorso 25</v>
          </cell>
          <cell r="F1060" t="str">
            <v>BOBST 1260</v>
          </cell>
          <cell r="G1060">
            <v>4</v>
          </cell>
          <cell r="H1060" t="str">
            <v>No</v>
          </cell>
          <cell r="I1060" t="str">
            <v>Si</v>
          </cell>
          <cell r="J1060" t="str">
            <v>No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</row>
        <row r="1061">
          <cell r="A1061" t="str">
            <v>FU1059</v>
          </cell>
          <cell r="B1061" t="str">
            <v>Lasercom</v>
          </cell>
          <cell r="C1061" t="str">
            <v>Lomba862</v>
          </cell>
          <cell r="D1061" t="str">
            <v>Rcm</v>
          </cell>
          <cell r="E1061" t="str">
            <v>fasce ledaplex everline</v>
          </cell>
          <cell r="F1061" t="str">
            <v>BOBST 1260</v>
          </cell>
          <cell r="G1061">
            <v>3</v>
          </cell>
          <cell r="H1061" t="str">
            <v>No</v>
          </cell>
          <cell r="I1061" t="str">
            <v>Si</v>
          </cell>
          <cell r="J1061" t="str">
            <v>No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</row>
        <row r="1062">
          <cell r="A1062" t="str">
            <v>FU1060</v>
          </cell>
          <cell r="B1062" t="str">
            <v>Fusteltecnica</v>
          </cell>
          <cell r="C1062" t="str">
            <v>R09308</v>
          </cell>
          <cell r="D1062" t="str">
            <v>Quaranta</v>
          </cell>
          <cell r="E1062" t="str">
            <v>Cappuccetti nougat v03 2019</v>
          </cell>
          <cell r="F1062" t="str">
            <v>BOBST 104</v>
          </cell>
          <cell r="G1062">
            <v>10</v>
          </cell>
          <cell r="H1062" t="str">
            <v>Si</v>
          </cell>
          <cell r="I1062" t="str">
            <v>No</v>
          </cell>
          <cell r="J1062" t="str">
            <v>No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</row>
        <row r="1063">
          <cell r="A1063" t="str">
            <v>FU1061</v>
          </cell>
          <cell r="B1063" t="str">
            <v>Lasercom</v>
          </cell>
          <cell r="C1063" t="str">
            <v>Lomba861</v>
          </cell>
          <cell r="D1063" t="str">
            <v>Rcm</v>
          </cell>
          <cell r="E1063" t="str">
            <v>Interni neutri micro neri ledaplex</v>
          </cell>
          <cell r="F1063" t="str">
            <v>BOBST 1260</v>
          </cell>
          <cell r="G1063">
            <v>6</v>
          </cell>
          <cell r="H1063" t="str">
            <v>No</v>
          </cell>
          <cell r="I1063" t="str">
            <v>Si</v>
          </cell>
          <cell r="J1063" t="str">
            <v>No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</row>
        <row r="1064">
          <cell r="A1064" t="str">
            <v>FU1062</v>
          </cell>
          <cell r="B1064" t="str">
            <v>Fusteltecnica</v>
          </cell>
          <cell r="C1064" t="str">
            <v>E13524</v>
          </cell>
          <cell r="D1064" t="str">
            <v>Cooperativa Vitivi.</v>
          </cell>
          <cell r="E1064" t="str">
            <v>Scatola 2 botiglie</v>
          </cell>
          <cell r="F1064" t="str">
            <v>BOBST 1260</v>
          </cell>
          <cell r="G1064">
            <v>1</v>
          </cell>
          <cell r="H1064" t="str">
            <v>No</v>
          </cell>
          <cell r="I1064" t="str">
            <v>Si</v>
          </cell>
          <cell r="J1064" t="str">
            <v>No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</row>
        <row r="1065">
          <cell r="A1065" t="str">
            <v>FU1063</v>
          </cell>
          <cell r="B1065" t="str">
            <v>Fusteltecnica</v>
          </cell>
          <cell r="C1065" t="str">
            <v>E07217</v>
          </cell>
          <cell r="D1065" t="str">
            <v>Revenge</v>
          </cell>
          <cell r="E1065" t="str">
            <v>Cavallotti revenge</v>
          </cell>
          <cell r="F1065" t="str">
            <v>BOBST 1260</v>
          </cell>
          <cell r="G1065">
            <v>8</v>
          </cell>
          <cell r="H1065" t="str">
            <v>No</v>
          </cell>
          <cell r="I1065" t="str">
            <v>Si</v>
          </cell>
          <cell r="J1065" t="str">
            <v>No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</row>
        <row r="1066">
          <cell r="A1066" t="str">
            <v>FU1064</v>
          </cell>
          <cell r="B1066" t="str">
            <v>Fusteltecnica</v>
          </cell>
          <cell r="C1066" t="str">
            <v>E07218</v>
          </cell>
          <cell r="D1066" t="str">
            <v>JBS</v>
          </cell>
          <cell r="E1066" t="str">
            <v>Buste decoy 2019 d24</v>
          </cell>
          <cell r="F1066" t="str">
            <v>BOBST 1260</v>
          </cell>
          <cell r="G1066">
            <v>4</v>
          </cell>
          <cell r="H1066" t="str">
            <v>No</v>
          </cell>
          <cell r="I1066" t="str">
            <v>Si</v>
          </cell>
          <cell r="J1066" t="str">
            <v>No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</row>
        <row r="1067">
          <cell r="A1067" t="str">
            <v>FU1065</v>
          </cell>
          <cell r="B1067" t="str">
            <v>Fusteltecnica</v>
          </cell>
          <cell r="C1067" t="str">
            <v>E07232</v>
          </cell>
          <cell r="D1067" t="str">
            <v>Miva</v>
          </cell>
          <cell r="E1067" t="str">
            <v>Scatola miva</v>
          </cell>
          <cell r="F1067" t="str">
            <v>BOBST 1260</v>
          </cell>
          <cell r="G1067">
            <v>1</v>
          </cell>
          <cell r="H1067" t="str">
            <v>No</v>
          </cell>
          <cell r="I1067" t="str">
            <v>Si</v>
          </cell>
          <cell r="J1067" t="str">
            <v>No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</row>
        <row r="1068">
          <cell r="A1068" t="str">
            <v>FU1066</v>
          </cell>
          <cell r="B1068" t="str">
            <v>Fusteltecnica</v>
          </cell>
          <cell r="C1068" t="str">
            <v>E07260</v>
          </cell>
          <cell r="D1068" t="str">
            <v>Gallo</v>
          </cell>
          <cell r="E1068" t="str">
            <v>inserti gambaletto 5mm</v>
          </cell>
          <cell r="F1068" t="str">
            <v>BOBST 1260</v>
          </cell>
          <cell r="G1068">
            <v>3</v>
          </cell>
          <cell r="H1068" t="str">
            <v>No</v>
          </cell>
          <cell r="I1068" t="str">
            <v>Si</v>
          </cell>
          <cell r="J1068" t="str">
            <v>No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</row>
        <row r="1069">
          <cell r="A1069" t="str">
            <v>FU1067</v>
          </cell>
          <cell r="B1069" t="str">
            <v>Fusteltecnica</v>
          </cell>
          <cell r="C1069" t="str">
            <v>E07264</v>
          </cell>
          <cell r="D1069" t="str">
            <v>Manor</v>
          </cell>
          <cell r="E1069" t="str">
            <v>Tirelle adesive manor</v>
          </cell>
          <cell r="F1069" t="str">
            <v>BOBST 104</v>
          </cell>
          <cell r="G1069">
            <v>6</v>
          </cell>
          <cell r="H1069" t="str">
            <v>No</v>
          </cell>
          <cell r="I1069" t="str">
            <v>No</v>
          </cell>
          <cell r="J1069" t="str">
            <v>No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</row>
        <row r="1070">
          <cell r="A1070" t="str">
            <v>FU1068</v>
          </cell>
          <cell r="B1070" t="str">
            <v>Fusteltecnica</v>
          </cell>
          <cell r="C1070" t="str">
            <v>M08323</v>
          </cell>
          <cell r="D1070" t="str">
            <v>Pantytex</v>
          </cell>
          <cell r="E1070" t="str">
            <v>Buste hema fantasia 2019</v>
          </cell>
          <cell r="F1070" t="str">
            <v>BOBST 1260</v>
          </cell>
          <cell r="G1070">
            <v>3</v>
          </cell>
          <cell r="H1070" t="str">
            <v>No</v>
          </cell>
          <cell r="I1070" t="str">
            <v>Si</v>
          </cell>
          <cell r="J1070" t="str">
            <v>No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</row>
        <row r="1071">
          <cell r="A1071" t="str">
            <v>FU1069</v>
          </cell>
          <cell r="B1071" t="str">
            <v>Fusteltecnica</v>
          </cell>
          <cell r="C1071" t="str">
            <v>M08276</v>
          </cell>
          <cell r="D1071" t="str">
            <v>Magazzini del Caffè</v>
          </cell>
          <cell r="E1071" t="str">
            <v>Astucci 10 capsule dolce gusto</v>
          </cell>
          <cell r="F1071" t="str">
            <v>BOBST 1260</v>
          </cell>
          <cell r="G1071">
            <v>4</v>
          </cell>
          <cell r="H1071" t="str">
            <v>Si</v>
          </cell>
          <cell r="I1071" t="str">
            <v>Si</v>
          </cell>
          <cell r="J1071" t="str">
            <v>No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</row>
        <row r="1072">
          <cell r="A1072" t="str">
            <v>FU1070</v>
          </cell>
          <cell r="B1072" t="str">
            <v>Fusteltecnica</v>
          </cell>
          <cell r="C1072" t="str">
            <v>E07231</v>
          </cell>
          <cell r="D1072" t="str">
            <v>Lucaffè</v>
          </cell>
          <cell r="E1072" t="str">
            <v>Astucci cialde lucaffè</v>
          </cell>
          <cell r="F1072" t="str">
            <v>BOBST 104</v>
          </cell>
          <cell r="G1072">
            <v>3</v>
          </cell>
          <cell r="H1072" t="str">
            <v>Si</v>
          </cell>
          <cell r="I1072" t="str">
            <v>No</v>
          </cell>
          <cell r="J1072" t="str">
            <v>No</v>
          </cell>
          <cell r="K1072">
            <v>0</v>
          </cell>
          <cell r="L1072" t="str">
            <v>Si</v>
          </cell>
          <cell r="M1072" t="str">
            <v>DIana X80</v>
          </cell>
          <cell r="N1072" t="str">
            <v>Lineare</v>
          </cell>
        </row>
        <row r="1073">
          <cell r="A1073" t="str">
            <v>FU1071</v>
          </cell>
          <cell r="B1073" t="str">
            <v>Lasercom</v>
          </cell>
          <cell r="C1073" t="str">
            <v>Lomba866</v>
          </cell>
          <cell r="D1073" t="str">
            <v>CRM</v>
          </cell>
          <cell r="E1073" t="str">
            <v>Appendini irmas</v>
          </cell>
          <cell r="F1073" t="str">
            <v>BOBST 1260</v>
          </cell>
          <cell r="G1073">
            <v>4</v>
          </cell>
          <cell r="H1073" t="str">
            <v>No</v>
          </cell>
          <cell r="I1073" t="str">
            <v>Si</v>
          </cell>
          <cell r="J1073" t="str">
            <v>No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</row>
        <row r="1074">
          <cell r="A1074" t="str">
            <v>FU1072</v>
          </cell>
          <cell r="B1074" t="str">
            <v>Fusteltecnica</v>
          </cell>
          <cell r="C1074" t="str">
            <v>B01025</v>
          </cell>
          <cell r="D1074" t="str">
            <v>Cosmai</v>
          </cell>
          <cell r="E1074" t="str">
            <v>Vassoi neutri abbinati</v>
          </cell>
          <cell r="F1074" t="str">
            <v>BOBST 1260</v>
          </cell>
          <cell r="G1074">
            <v>2</v>
          </cell>
          <cell r="H1074" t="str">
            <v>No</v>
          </cell>
          <cell r="I1074" t="str">
            <v>Si</v>
          </cell>
          <cell r="J1074" t="str">
            <v>No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</row>
        <row r="1075">
          <cell r="A1075" t="str">
            <v>FU1073</v>
          </cell>
          <cell r="B1075" t="str">
            <v>Lasercom</v>
          </cell>
          <cell r="C1075" t="str">
            <v>Lomba867</v>
          </cell>
          <cell r="D1075" t="str">
            <v>Battaglio</v>
          </cell>
          <cell r="E1075" t="str">
            <v>Fascette 3 orsi mod 44</v>
          </cell>
          <cell r="F1075" t="str">
            <v>BOBST 1260</v>
          </cell>
          <cell r="G1075">
            <v>10</v>
          </cell>
          <cell r="H1075" t="str">
            <v>No</v>
          </cell>
          <cell r="I1075" t="str">
            <v>Si</v>
          </cell>
          <cell r="J1075" t="str">
            <v>No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</row>
        <row r="1076">
          <cell r="A1076" t="str">
            <v>FU1074</v>
          </cell>
          <cell r="B1076" t="str">
            <v>Fusteltecnica</v>
          </cell>
          <cell r="C1076" t="str">
            <v>B01023</v>
          </cell>
          <cell r="D1076" t="str">
            <v>Tracy</v>
          </cell>
          <cell r="E1076" t="str">
            <v>Abbinato bonetterie</v>
          </cell>
          <cell r="F1076" t="str">
            <v>BOBST 1260</v>
          </cell>
          <cell r="G1076">
            <v>4</v>
          </cell>
          <cell r="H1076" t="str">
            <v>No</v>
          </cell>
          <cell r="I1076" t="str">
            <v>Si</v>
          </cell>
          <cell r="J1076" t="str">
            <v>No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</row>
        <row r="1077">
          <cell r="A1077" t="str">
            <v>FU1075</v>
          </cell>
          <cell r="B1077" t="str">
            <v>Lasercom</v>
          </cell>
          <cell r="C1077" t="str">
            <v>Lomba868</v>
          </cell>
          <cell r="D1077" t="str">
            <v>Bergen</v>
          </cell>
          <cell r="E1077" t="str">
            <v>Astucci fulmine abbinati</v>
          </cell>
          <cell r="F1077" t="str">
            <v>BOBST 104</v>
          </cell>
          <cell r="G1077">
            <v>8</v>
          </cell>
          <cell r="H1077" t="str">
            <v>Si</v>
          </cell>
          <cell r="I1077" t="str">
            <v>No</v>
          </cell>
          <cell r="J1077" t="str">
            <v>No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</row>
        <row r="1078">
          <cell r="A1078" t="str">
            <v>FU1076</v>
          </cell>
          <cell r="B1078" t="str">
            <v>Fusteltecnica</v>
          </cell>
          <cell r="C1078" t="str">
            <v>M08382</v>
          </cell>
          <cell r="D1078" t="str">
            <v>Pantytex</v>
          </cell>
          <cell r="E1078" t="str">
            <v>Expo piccolo anni rolfi 2019</v>
          </cell>
          <cell r="F1078" t="str">
            <v>BOBST 1260</v>
          </cell>
          <cell r="G1078">
            <v>1</v>
          </cell>
          <cell r="H1078" t="str">
            <v>No</v>
          </cell>
          <cell r="I1078" t="str">
            <v>Si</v>
          </cell>
          <cell r="J1078" t="str">
            <v>No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</row>
        <row r="1079">
          <cell r="A1079" t="str">
            <v>FU1077</v>
          </cell>
          <cell r="B1079" t="str">
            <v>Fusteltecnica</v>
          </cell>
          <cell r="C1079" t="str">
            <v>R09505</v>
          </cell>
          <cell r="D1079" t="str">
            <v>Offel</v>
          </cell>
          <cell r="E1079" t="str">
            <v>Astucci abbinati</v>
          </cell>
          <cell r="F1079" t="str">
            <v>BOBST 1260</v>
          </cell>
          <cell r="G1079">
            <v>6</v>
          </cell>
          <cell r="H1079" t="str">
            <v>No</v>
          </cell>
          <cell r="I1079" t="str">
            <v>Si</v>
          </cell>
          <cell r="J1079" t="str">
            <v>No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</row>
        <row r="1080">
          <cell r="A1080" t="str">
            <v>FU1078</v>
          </cell>
          <cell r="B1080" t="str">
            <v>Fusteltecnica</v>
          </cell>
          <cell r="C1080" t="str">
            <v>M08429</v>
          </cell>
          <cell r="D1080" t="str">
            <v>Rcm</v>
          </cell>
          <cell r="E1080" t="str">
            <v>Astucci linange 12 fiale</v>
          </cell>
          <cell r="F1080" t="str">
            <v>BOBST 1260</v>
          </cell>
          <cell r="G1080">
            <v>2</v>
          </cell>
          <cell r="H1080" t="str">
            <v>No</v>
          </cell>
          <cell r="I1080" t="str">
            <v>Si</v>
          </cell>
          <cell r="J1080" t="str">
            <v>No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</row>
        <row r="1081">
          <cell r="A1081" t="str">
            <v>FU1079</v>
          </cell>
          <cell r="B1081" t="str">
            <v>Fusteltecnica</v>
          </cell>
          <cell r="C1081" t="str">
            <v>M08498</v>
          </cell>
          <cell r="D1081" t="str">
            <v>D&amp;G</v>
          </cell>
          <cell r="E1081" t="str">
            <v>Colomba 2019</v>
          </cell>
          <cell r="F1081" t="str">
            <v>BOBST 104</v>
          </cell>
          <cell r="G1081">
            <v>1</v>
          </cell>
          <cell r="H1081" t="str">
            <v>No</v>
          </cell>
          <cell r="I1081" t="str">
            <v>No</v>
          </cell>
          <cell r="J1081" t="str">
            <v>No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</row>
        <row r="1082">
          <cell r="A1082" t="str">
            <v>FU1080</v>
          </cell>
          <cell r="B1082" t="str">
            <v>Lasercom</v>
          </cell>
          <cell r="C1082" t="str">
            <v>Lomba449</v>
          </cell>
          <cell r="D1082" t="str">
            <v>Offel</v>
          </cell>
          <cell r="E1082" t="str">
            <v>Bauletti g1765</v>
          </cell>
          <cell r="F1082" t="str">
            <v>BOBST 1260</v>
          </cell>
          <cell r="G1082">
            <v>6</v>
          </cell>
          <cell r="H1082" t="str">
            <v>Si</v>
          </cell>
          <cell r="I1082" t="str">
            <v>Si</v>
          </cell>
          <cell r="J1082" t="str">
            <v>No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</row>
        <row r="1083">
          <cell r="A1083" t="str">
            <v>FU1081</v>
          </cell>
          <cell r="B1083" t="str">
            <v>Fusteltecnica</v>
          </cell>
          <cell r="C1083" t="str">
            <v>E07314</v>
          </cell>
          <cell r="D1083" t="str">
            <v>Alfagel</v>
          </cell>
          <cell r="E1083" t="str">
            <v>Astucci 5 ghiaccioli pop</v>
          </cell>
          <cell r="F1083" t="str">
            <v>BOBST 1260</v>
          </cell>
          <cell r="G1083">
            <v>4</v>
          </cell>
          <cell r="H1083" t="str">
            <v>Si</v>
          </cell>
          <cell r="I1083" t="str">
            <v>Si</v>
          </cell>
          <cell r="J1083" t="str">
            <v>No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</row>
        <row r="1084">
          <cell r="A1084" t="str">
            <v>FU1082</v>
          </cell>
          <cell r="B1084" t="str">
            <v>Fusteltecnica</v>
          </cell>
          <cell r="C1084" t="str">
            <v>M08483</v>
          </cell>
          <cell r="D1084" t="str">
            <v>Rcm</v>
          </cell>
          <cell r="E1084" t="str">
            <v>Interni microonda astucci nee 65</v>
          </cell>
          <cell r="F1084" t="str">
            <v>BOBST 1260</v>
          </cell>
          <cell r="G1084">
            <v>10</v>
          </cell>
          <cell r="H1084" t="str">
            <v>No</v>
          </cell>
          <cell r="I1084" t="str">
            <v>Si</v>
          </cell>
          <cell r="J1084" t="str">
            <v>No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</row>
        <row r="1085">
          <cell r="A1085" t="str">
            <v>FU1083</v>
          </cell>
          <cell r="B1085" t="str">
            <v>Fusteltecnica</v>
          </cell>
          <cell r="C1085" t="str">
            <v>M08499</v>
          </cell>
          <cell r="D1085" t="str">
            <v>D&amp;G</v>
          </cell>
          <cell r="E1085" t="str">
            <v>Fasce colomba 2019</v>
          </cell>
          <cell r="F1085" t="str">
            <v>BOBST 104</v>
          </cell>
          <cell r="G1085">
            <v>6</v>
          </cell>
          <cell r="H1085" t="str">
            <v>No</v>
          </cell>
          <cell r="I1085" t="str">
            <v>No</v>
          </cell>
          <cell r="J1085" t="str">
            <v>No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</row>
        <row r="1086">
          <cell r="A1086" t="str">
            <v>FU1084</v>
          </cell>
          <cell r="B1086" t="str">
            <v>Fusteltecnica</v>
          </cell>
          <cell r="C1086" t="str">
            <v>E07388</v>
          </cell>
          <cell r="D1086" t="str">
            <v>Rcm</v>
          </cell>
          <cell r="E1086" t="str">
            <v>Fascette abyssi abbinate</v>
          </cell>
          <cell r="F1086" t="str">
            <v>BOBST 104</v>
          </cell>
          <cell r="G1086">
            <v>15</v>
          </cell>
          <cell r="H1086" t="str">
            <v>No</v>
          </cell>
          <cell r="I1086" t="str">
            <v>No</v>
          </cell>
          <cell r="J1086" t="str">
            <v>No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</row>
        <row r="1087">
          <cell r="A1087" t="str">
            <v>FU1085</v>
          </cell>
          <cell r="B1087" t="str">
            <v>Fusteltecnica</v>
          </cell>
          <cell r="C1087" t="str">
            <v>M08531</v>
          </cell>
          <cell r="D1087" t="str">
            <v>Pantytex</v>
          </cell>
          <cell r="E1087" t="str">
            <v>Astucci wibra gambaletto</v>
          </cell>
          <cell r="F1087" t="str">
            <v>BOBST 1260</v>
          </cell>
          <cell r="G1087">
            <v>4</v>
          </cell>
          <cell r="H1087" t="str">
            <v>No</v>
          </cell>
          <cell r="I1087" t="str">
            <v>Si</v>
          </cell>
          <cell r="J1087" t="str">
            <v>No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</row>
        <row r="1088">
          <cell r="A1088" t="str">
            <v>FU1086</v>
          </cell>
          <cell r="B1088" t="str">
            <v>Fusteltecnica</v>
          </cell>
          <cell r="C1088" t="str">
            <v>M08500</v>
          </cell>
          <cell r="D1088" t="str">
            <v>Revenge</v>
          </cell>
          <cell r="E1088" t="str">
            <v>Appendini bimbo xxs</v>
          </cell>
          <cell r="F1088" t="str">
            <v>BOBST 1260</v>
          </cell>
          <cell r="G1088">
            <v>3</v>
          </cell>
          <cell r="H1088" t="str">
            <v>No</v>
          </cell>
          <cell r="I1088" t="str">
            <v>Si</v>
          </cell>
          <cell r="J1088" t="str">
            <v>No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</row>
        <row r="1089">
          <cell r="A1089" t="str">
            <v>FU1087</v>
          </cell>
          <cell r="B1089" t="str">
            <v>Lasercom</v>
          </cell>
          <cell r="C1089" t="str">
            <v>Lomba870</v>
          </cell>
          <cell r="D1089" t="str">
            <v>Bergen</v>
          </cell>
          <cell r="E1089" t="str">
            <v>Astucci fulmine abbinati</v>
          </cell>
          <cell r="F1089" t="str">
            <v>BOBST 1260</v>
          </cell>
          <cell r="G1089">
            <v>6</v>
          </cell>
          <cell r="H1089" t="str">
            <v>No</v>
          </cell>
          <cell r="I1089" t="str">
            <v>Si</v>
          </cell>
          <cell r="J1089" t="str">
            <v>No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</row>
        <row r="1090">
          <cell r="A1090" t="str">
            <v>FU1088</v>
          </cell>
          <cell r="B1090" t="str">
            <v>Fusteltecnica</v>
          </cell>
          <cell r="C1090" t="str">
            <v>E07409</v>
          </cell>
          <cell r="D1090" t="str">
            <v>JBS</v>
          </cell>
          <cell r="E1090" t="str">
            <v>Abbinato decoy 2019</v>
          </cell>
          <cell r="F1090" t="str">
            <v>BOBST 1260</v>
          </cell>
          <cell r="G1090">
            <v>5</v>
          </cell>
          <cell r="H1090" t="str">
            <v>No</v>
          </cell>
          <cell r="I1090" t="str">
            <v>Si</v>
          </cell>
          <cell r="J1090" t="str">
            <v>No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</row>
        <row r="1091">
          <cell r="A1091" t="str">
            <v>FU1089</v>
          </cell>
          <cell r="B1091" t="str">
            <v>Lasercom</v>
          </cell>
          <cell r="C1091" t="str">
            <v>Lomba890g</v>
          </cell>
          <cell r="D1091" t="str">
            <v>battaglio</v>
          </cell>
          <cell r="E1091" t="str">
            <v>Solette 3 orsi</v>
          </cell>
          <cell r="F1091" t="str">
            <v>BOBST 1260</v>
          </cell>
          <cell r="G1091">
            <v>5</v>
          </cell>
          <cell r="H1091" t="str">
            <v>No</v>
          </cell>
          <cell r="I1091" t="str">
            <v>Si</v>
          </cell>
          <cell r="J1091" t="str">
            <v>No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</row>
        <row r="1092">
          <cell r="A1092" t="str">
            <v>FU1090</v>
          </cell>
          <cell r="B1092" t="str">
            <v>Lasercom</v>
          </cell>
          <cell r="C1092" t="str">
            <v>Lomba869</v>
          </cell>
          <cell r="D1092" t="str">
            <v>Magazzini del Caffè</v>
          </cell>
          <cell r="E1092" t="str">
            <v>Astucci 30 caps dolce gusto</v>
          </cell>
          <cell r="F1092" t="str">
            <v>BOBST 1260</v>
          </cell>
          <cell r="G1092">
            <v>2</v>
          </cell>
          <cell r="H1092" t="str">
            <v>Si</v>
          </cell>
          <cell r="I1092" t="str">
            <v>Si</v>
          </cell>
          <cell r="J1092" t="str">
            <v>No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</row>
        <row r="1093">
          <cell r="A1093" t="str">
            <v>FU1091</v>
          </cell>
          <cell r="B1093" t="str">
            <v>Fusteltecnica</v>
          </cell>
          <cell r="C1093" t="str">
            <v>M08545</v>
          </cell>
          <cell r="D1093" t="str">
            <v>Edo gelati</v>
          </cell>
          <cell r="E1093" t="str">
            <v>Astucci 4 gelati edo</v>
          </cell>
          <cell r="F1093" t="str">
            <v>BOBST 1260</v>
          </cell>
          <cell r="G1093">
            <v>4</v>
          </cell>
          <cell r="H1093" t="str">
            <v>Si</v>
          </cell>
          <cell r="I1093" t="str">
            <v>Si</v>
          </cell>
          <cell r="J1093" t="str">
            <v>No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</row>
        <row r="1094">
          <cell r="A1094" t="str">
            <v>FU1092</v>
          </cell>
          <cell r="B1094" t="str">
            <v>Foppa Fustelle</v>
          </cell>
          <cell r="C1094" t="str">
            <v>19-01317</v>
          </cell>
          <cell r="D1094" t="str">
            <v>Eire</v>
          </cell>
          <cell r="E1094" t="str">
            <v>Cartellini tchibo</v>
          </cell>
          <cell r="F1094" t="str">
            <v>BOBST 104</v>
          </cell>
          <cell r="G1094">
            <v>25</v>
          </cell>
          <cell r="H1094" t="str">
            <v>No</v>
          </cell>
          <cell r="I1094" t="str">
            <v>No</v>
          </cell>
          <cell r="J1094" t="str">
            <v>No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</row>
        <row r="1095">
          <cell r="A1095" t="str">
            <v>FU1093</v>
          </cell>
          <cell r="B1095" t="str">
            <v>Lasercom</v>
          </cell>
          <cell r="C1095" t="str">
            <v>Lomba873</v>
          </cell>
          <cell r="D1095" t="str">
            <v>Pantytex</v>
          </cell>
          <cell r="E1095" t="str">
            <v>Inserti C&amp;A gambaletto 2019</v>
          </cell>
          <cell r="F1095" t="str">
            <v>BOBST 104</v>
          </cell>
          <cell r="G1095">
            <v>6</v>
          </cell>
          <cell r="H1095" t="str">
            <v>No</v>
          </cell>
          <cell r="I1095" t="str">
            <v>No</v>
          </cell>
          <cell r="J1095" t="str">
            <v>No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</row>
        <row r="1096">
          <cell r="A1096" t="str">
            <v>FU1094</v>
          </cell>
          <cell r="B1096" t="str">
            <v>Fusteltecnica</v>
          </cell>
          <cell r="C1096" t="str">
            <v>R09637</v>
          </cell>
          <cell r="D1096" t="str">
            <v>Doringel</v>
          </cell>
          <cell r="E1096" t="str">
            <v>Astucci 8 gelati braille</v>
          </cell>
          <cell r="F1096" t="str">
            <v>BOBST 1260</v>
          </cell>
          <cell r="G1096">
            <v>4</v>
          </cell>
          <cell r="H1096" t="str">
            <v>No</v>
          </cell>
          <cell r="I1096" t="str">
            <v>Si</v>
          </cell>
          <cell r="J1096" t="str">
            <v>No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</row>
        <row r="1097">
          <cell r="A1097" t="str">
            <v>FU1095</v>
          </cell>
          <cell r="B1097" t="str">
            <v>Fusteltecnica</v>
          </cell>
          <cell r="C1097" t="str">
            <v>M08642</v>
          </cell>
          <cell r="D1097" t="str">
            <v>Essegel</v>
          </cell>
          <cell r="E1097" t="str">
            <v>Astucci 10 ghiaccioli cazzaniga</v>
          </cell>
          <cell r="F1097" t="str">
            <v>BOBST 1260</v>
          </cell>
          <cell r="G1097">
            <v>3</v>
          </cell>
          <cell r="H1097" t="str">
            <v>No</v>
          </cell>
          <cell r="I1097" t="str">
            <v>Si</v>
          </cell>
          <cell r="J1097" t="str">
            <v>No</v>
          </cell>
          <cell r="K1097">
            <v>0</v>
          </cell>
          <cell r="L1097" t="str">
            <v>No</v>
          </cell>
          <cell r="M1097">
            <v>0</v>
          </cell>
          <cell r="N1097">
            <v>0</v>
          </cell>
        </row>
        <row r="1098">
          <cell r="A1098" t="str">
            <v>FU1096</v>
          </cell>
          <cell r="B1098" t="str">
            <v>Fusteltecnica</v>
          </cell>
          <cell r="C1098" t="str">
            <v>R09636</v>
          </cell>
          <cell r="D1098" t="str">
            <v>Eire</v>
          </cell>
          <cell r="E1098" t="str">
            <v>Astucci tchibo 2019</v>
          </cell>
          <cell r="F1098" t="str">
            <v>BOBST 104</v>
          </cell>
          <cell r="G1098">
            <v>4</v>
          </cell>
          <cell r="H1098" t="str">
            <v>No</v>
          </cell>
          <cell r="I1098" t="str">
            <v>No</v>
          </cell>
          <cell r="J1098" t="str">
            <v>No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</row>
        <row r="1099">
          <cell r="A1099" t="str">
            <v>FU1097</v>
          </cell>
          <cell r="B1099" t="str">
            <v>Fusteltecnica</v>
          </cell>
          <cell r="C1099" t="str">
            <v>E07449</v>
          </cell>
          <cell r="D1099" t="str">
            <v>Nuova Virgiliana</v>
          </cell>
          <cell r="E1099" t="str">
            <v>Inserti lei</v>
          </cell>
          <cell r="F1099" t="str">
            <v>BOBST 104</v>
          </cell>
          <cell r="G1099">
            <v>4</v>
          </cell>
          <cell r="H1099" t="str">
            <v>No</v>
          </cell>
          <cell r="I1099" t="str">
            <v>No</v>
          </cell>
          <cell r="J1099" t="str">
            <v>No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</row>
        <row r="1100">
          <cell r="A1100" t="str">
            <v>FU1098</v>
          </cell>
          <cell r="B1100" t="str">
            <v>Fusteltecnica</v>
          </cell>
          <cell r="C1100" t="str">
            <v>E07437</v>
          </cell>
          <cell r="D1100" t="str">
            <v>Eire</v>
          </cell>
          <cell r="E1100" t="str">
            <v>Appendini tchibo xxl madda</v>
          </cell>
          <cell r="F1100" t="str">
            <v>BOBST 1260</v>
          </cell>
          <cell r="G1100">
            <v>2</v>
          </cell>
          <cell r="H1100" t="str">
            <v>No</v>
          </cell>
          <cell r="I1100" t="str">
            <v>Si</v>
          </cell>
          <cell r="J1100" t="str">
            <v>No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</row>
        <row r="1101">
          <cell r="A1101" t="str">
            <v>FU1099</v>
          </cell>
          <cell r="B1101" t="str">
            <v>Fusteltecnica</v>
          </cell>
          <cell r="C1101" t="str">
            <v>R12537</v>
          </cell>
          <cell r="D1101" t="str">
            <v>Westwood</v>
          </cell>
          <cell r="E1101" t="str">
            <v>Alette ripiegate</v>
          </cell>
          <cell r="F1101" t="str">
            <v>BOBST 1260</v>
          </cell>
          <cell r="G1101">
            <v>4</v>
          </cell>
          <cell r="H1101" t="str">
            <v>No</v>
          </cell>
          <cell r="I1101" t="str">
            <v>Si</v>
          </cell>
          <cell r="J1101" t="str">
            <v>No</v>
          </cell>
          <cell r="K1101">
            <v>0</v>
          </cell>
          <cell r="L1101" t="str">
            <v>No</v>
          </cell>
          <cell r="M1101">
            <v>0</v>
          </cell>
          <cell r="N1101">
            <v>0</v>
          </cell>
        </row>
        <row r="1102">
          <cell r="A1102" t="str">
            <v>FU1100</v>
          </cell>
          <cell r="B1102" t="str">
            <v>Fusteltecnica</v>
          </cell>
          <cell r="C1102" t="str">
            <v>R09638</v>
          </cell>
          <cell r="D1102" t="str">
            <v>Doringel</v>
          </cell>
          <cell r="E1102" t="str">
            <v>Astucci 6 gelati braille</v>
          </cell>
          <cell r="F1102" t="str">
            <v>BOBST 1260</v>
          </cell>
          <cell r="G1102">
            <v>4</v>
          </cell>
          <cell r="H1102" t="str">
            <v>Si</v>
          </cell>
          <cell r="I1102" t="str">
            <v>Si</v>
          </cell>
          <cell r="J1102" t="str">
            <v>No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</row>
        <row r="1103">
          <cell r="A1103" t="str">
            <v>FU1101</v>
          </cell>
          <cell r="B1103" t="str">
            <v>Fusteltecnica</v>
          </cell>
          <cell r="C1103" t="str">
            <v>M08675</v>
          </cell>
          <cell r="D1103" t="str">
            <v>Stringart</v>
          </cell>
          <cell r="E1103" t="str">
            <v>Scatole basse stringart</v>
          </cell>
          <cell r="F1103" t="str">
            <v>BOBST 1260</v>
          </cell>
          <cell r="G1103">
            <v>2</v>
          </cell>
          <cell r="H1103" t="str">
            <v>No</v>
          </cell>
          <cell r="I1103" t="str">
            <v>Si</v>
          </cell>
          <cell r="J1103" t="str">
            <v>No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</row>
        <row r="1104">
          <cell r="A1104" t="str">
            <v>FU1102</v>
          </cell>
          <cell r="B1104" t="str">
            <v>Lasercom</v>
          </cell>
          <cell r="C1104" t="str">
            <v>Lomb874N</v>
          </cell>
          <cell r="D1104" t="str">
            <v>JBS</v>
          </cell>
          <cell r="E1104" t="str">
            <v>Appendini symfoni abbinati</v>
          </cell>
          <cell r="F1104" t="str">
            <v>BOBST 1260</v>
          </cell>
          <cell r="G1104">
            <v>4</v>
          </cell>
          <cell r="H1104" t="str">
            <v>No</v>
          </cell>
          <cell r="I1104" t="str">
            <v>Si</v>
          </cell>
          <cell r="J1104" t="str">
            <v>No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</row>
        <row r="1105">
          <cell r="A1105" t="str">
            <v>FU1103</v>
          </cell>
          <cell r="B1105" t="str">
            <v>Fusteltecnica</v>
          </cell>
          <cell r="C1105" t="str">
            <v>M08683</v>
          </cell>
          <cell r="D1105" t="str">
            <v>Pantytex</v>
          </cell>
          <cell r="E1105" t="str">
            <v>Astucci hunkemoller</v>
          </cell>
          <cell r="F1105" t="str">
            <v>BOBST 1260</v>
          </cell>
          <cell r="G1105">
            <v>6</v>
          </cell>
          <cell r="H1105" t="str">
            <v>No</v>
          </cell>
          <cell r="I1105" t="str">
            <v>Si</v>
          </cell>
          <cell r="J1105" t="str">
            <v>No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</row>
        <row r="1106">
          <cell r="A1106" t="str">
            <v>FU1104</v>
          </cell>
          <cell r="B1106" t="str">
            <v>Lasercom</v>
          </cell>
          <cell r="C1106" t="str">
            <v>Lomba876</v>
          </cell>
          <cell r="D1106" t="str">
            <v>Bergen</v>
          </cell>
          <cell r="E1106" t="str">
            <v>Astucci evin edp 2019</v>
          </cell>
          <cell r="F1106" t="str">
            <v>BOBST 1260</v>
          </cell>
          <cell r="G1106">
            <v>8</v>
          </cell>
          <cell r="H1106" t="str">
            <v>No</v>
          </cell>
          <cell r="I1106" t="str">
            <v>Si</v>
          </cell>
          <cell r="J1106" t="str">
            <v>No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</row>
        <row r="1107">
          <cell r="A1107" t="str">
            <v>FU1105</v>
          </cell>
          <cell r="B1107" t="str">
            <v>Lasercom</v>
          </cell>
          <cell r="C1107" t="str">
            <v>Lombc877</v>
          </cell>
          <cell r="D1107" t="str">
            <v>Bergen</v>
          </cell>
          <cell r="E1107" t="str">
            <v>Espositore evin edp 2019</v>
          </cell>
          <cell r="F1107" t="str">
            <v>BOBST 1260</v>
          </cell>
          <cell r="G1107">
            <v>2</v>
          </cell>
          <cell r="H1107" t="str">
            <v>No</v>
          </cell>
          <cell r="I1107" t="str">
            <v>Si</v>
          </cell>
          <cell r="J1107" t="str">
            <v>No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</row>
        <row r="1108">
          <cell r="A1108" t="str">
            <v>FU1106</v>
          </cell>
          <cell r="B1108" t="str">
            <v>Lasercom</v>
          </cell>
          <cell r="C1108" t="str">
            <v>Lomba878</v>
          </cell>
          <cell r="D1108" t="str">
            <v>Bergen</v>
          </cell>
          <cell r="E1108" t="str">
            <v>Astucci fulmine ricarica</v>
          </cell>
          <cell r="F1108" t="str">
            <v>BOBST 104</v>
          </cell>
          <cell r="G1108">
            <v>4</v>
          </cell>
          <cell r="H1108" t="str">
            <v>No</v>
          </cell>
          <cell r="I1108" t="str">
            <v>No</v>
          </cell>
          <cell r="J1108" t="str">
            <v>No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</row>
        <row r="1109">
          <cell r="A1109" t="str">
            <v>FU1107</v>
          </cell>
          <cell r="B1109" t="str">
            <v>Fusteltecnica</v>
          </cell>
          <cell r="C1109" t="str">
            <v>M08903</v>
          </cell>
          <cell r="D1109" t="str">
            <v>JBS</v>
          </cell>
          <cell r="E1109" t="str">
            <v>Abbinato decoy luglio 2019</v>
          </cell>
          <cell r="F1109" t="str">
            <v>BOBST 1260</v>
          </cell>
          <cell r="G1109">
            <v>5</v>
          </cell>
          <cell r="H1109" t="str">
            <v>No</v>
          </cell>
          <cell r="I1109" t="str">
            <v>Si</v>
          </cell>
          <cell r="J1109" t="str">
            <v>No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</row>
        <row r="1110">
          <cell r="A1110" t="str">
            <v>FU1108</v>
          </cell>
          <cell r="B1110" t="str">
            <v>Fusteltecnica</v>
          </cell>
          <cell r="C1110" t="str">
            <v>M08755</v>
          </cell>
          <cell r="D1110" t="str">
            <v>Bonadei</v>
          </cell>
          <cell r="E1110" t="str">
            <v>Scatola ecolunga</v>
          </cell>
          <cell r="F1110" t="str">
            <v>BOBST 104</v>
          </cell>
          <cell r="G1110">
            <v>1</v>
          </cell>
          <cell r="H1110" t="str">
            <v>No</v>
          </cell>
          <cell r="I1110" t="str">
            <v>No</v>
          </cell>
          <cell r="J1110" t="str">
            <v>No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</row>
        <row r="1111">
          <cell r="A1111" t="str">
            <v>FU1109</v>
          </cell>
          <cell r="B1111" t="str">
            <v>Fusteltecnica</v>
          </cell>
          <cell r="C1111" t="str">
            <v>R09770</v>
          </cell>
          <cell r="D1111" t="str">
            <v>Quaranta</v>
          </cell>
          <cell r="E1111" t="str">
            <v>Astucci ministecche</v>
          </cell>
          <cell r="F1111" t="str">
            <v>BOBST 104</v>
          </cell>
          <cell r="G1111">
            <v>4</v>
          </cell>
          <cell r="H1111" t="str">
            <v>Si</v>
          </cell>
          <cell r="I1111" t="str">
            <v>No</v>
          </cell>
          <cell r="J1111" t="str">
            <v>No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</row>
        <row r="1112">
          <cell r="A1112" t="str">
            <v>FU1110</v>
          </cell>
          <cell r="B1112" t="str">
            <v>Fusteltecnica</v>
          </cell>
          <cell r="C1112" t="str">
            <v>M08696</v>
          </cell>
          <cell r="D1112" t="str">
            <v>Pantytex</v>
          </cell>
          <cell r="E1112" t="str">
            <v>Appendini tchibo 2019 1x</v>
          </cell>
          <cell r="F1112" t="str">
            <v>BOBST 104</v>
          </cell>
          <cell r="G1112">
            <v>8</v>
          </cell>
          <cell r="H1112" t="str">
            <v>Si</v>
          </cell>
          <cell r="I1112" t="str">
            <v>No</v>
          </cell>
          <cell r="J1112" t="str">
            <v>No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</row>
        <row r="1113">
          <cell r="A1113" t="str">
            <v>FU1111</v>
          </cell>
          <cell r="B1113" t="str">
            <v>Lasercom</v>
          </cell>
          <cell r="C1113" t="str">
            <v>Lomba882</v>
          </cell>
          <cell r="D1113" t="str">
            <v>Manor</v>
          </cell>
          <cell r="E1113" t="str">
            <v>Appendini dc04 fustella 2 2019</v>
          </cell>
          <cell r="F1113" t="str">
            <v>BOBST 1260</v>
          </cell>
          <cell r="G1113">
            <v>4</v>
          </cell>
          <cell r="H1113" t="str">
            <v>No</v>
          </cell>
          <cell r="I1113" t="str">
            <v>Si</v>
          </cell>
          <cell r="J1113" t="str">
            <v>No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</row>
        <row r="1114">
          <cell r="A1114" t="str">
            <v>FU1112</v>
          </cell>
          <cell r="B1114" t="str">
            <v>Lasercom</v>
          </cell>
          <cell r="C1114" t="str">
            <v>Lombg879</v>
          </cell>
          <cell r="D1114" t="str">
            <v>JBS</v>
          </cell>
          <cell r="E1114" t="str">
            <v>Appendini abbinati decoy</v>
          </cell>
          <cell r="F1114" t="str">
            <v>BOBST 1260</v>
          </cell>
          <cell r="G1114">
            <v>4</v>
          </cell>
          <cell r="H1114" t="str">
            <v>No</v>
          </cell>
          <cell r="I1114" t="str">
            <v>Si</v>
          </cell>
          <cell r="J1114" t="str">
            <v>No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</row>
        <row r="1115">
          <cell r="A1115" t="str">
            <v>FU1113</v>
          </cell>
          <cell r="B1115" t="str">
            <v>Lasercom</v>
          </cell>
          <cell r="C1115" t="str">
            <v>Lomba883</v>
          </cell>
          <cell r="D1115" t="str">
            <v>Rcm</v>
          </cell>
          <cell r="E1115" t="str">
            <v>Astucci toniderma nuriderma</v>
          </cell>
          <cell r="F1115" t="str">
            <v>BOBST 104</v>
          </cell>
          <cell r="G1115">
            <v>4</v>
          </cell>
          <cell r="H1115" t="str">
            <v>No</v>
          </cell>
          <cell r="I1115" t="str">
            <v>No</v>
          </cell>
          <cell r="J1115" t="str">
            <v>No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</row>
        <row r="1116">
          <cell r="A1116" t="str">
            <v>FU1114</v>
          </cell>
          <cell r="B1116" t="str">
            <v>Lasercom</v>
          </cell>
          <cell r="C1116" t="str">
            <v>Lomba884</v>
          </cell>
          <cell r="D1116" t="str">
            <v>Rcm</v>
          </cell>
          <cell r="E1116" t="str">
            <v>Astuccio mj hair</v>
          </cell>
          <cell r="F1116" t="str">
            <v>BOBST 1260</v>
          </cell>
          <cell r="G1116">
            <v>1</v>
          </cell>
          <cell r="H1116" t="str">
            <v>No</v>
          </cell>
          <cell r="I1116" t="str">
            <v>Si</v>
          </cell>
          <cell r="J1116" t="str">
            <v>No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</row>
        <row r="1117">
          <cell r="A1117" t="str">
            <v>FU1115</v>
          </cell>
          <cell r="B1117" t="str">
            <v>Fusteltecnica</v>
          </cell>
          <cell r="C1117" t="str">
            <v>E07519</v>
          </cell>
          <cell r="D1117" t="str">
            <v>Magazzini del Caffè</v>
          </cell>
          <cell r="E1117" t="str">
            <v>Astucci tubo 10 capsule pressogno</v>
          </cell>
          <cell r="F1117" t="str">
            <v>BOBST 104</v>
          </cell>
          <cell r="G1117">
            <v>8</v>
          </cell>
          <cell r="H1117" t="str">
            <v>Si</v>
          </cell>
          <cell r="I1117" t="str">
            <v>No</v>
          </cell>
          <cell r="J1117" t="str">
            <v>No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</row>
        <row r="1118">
          <cell r="A1118" t="str">
            <v>FU1116</v>
          </cell>
          <cell r="B1118" t="str">
            <v>Fusteltecnica</v>
          </cell>
          <cell r="C1118" t="str">
            <v>R02500</v>
          </cell>
          <cell r="D1118" t="str">
            <v>Pantytex</v>
          </cell>
          <cell r="E1118" t="str">
            <v>Appendini hema D40</v>
          </cell>
          <cell r="F1118" t="str">
            <v>BOBST 1260</v>
          </cell>
          <cell r="G1118">
            <v>4</v>
          </cell>
          <cell r="H1118" t="str">
            <v>Si</v>
          </cell>
          <cell r="I1118" t="str">
            <v>Si</v>
          </cell>
          <cell r="J1118" t="str">
            <v>No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</row>
        <row r="1119">
          <cell r="A1119" t="str">
            <v>FU1117</v>
          </cell>
          <cell r="B1119" t="str">
            <v>Fusteltecnica</v>
          </cell>
          <cell r="C1119" t="str">
            <v>E07436</v>
          </cell>
          <cell r="D1119" t="str">
            <v>Gaettarelli</v>
          </cell>
          <cell r="E1119" t="str">
            <v>Fasce pasta 2019</v>
          </cell>
          <cell r="F1119" t="str">
            <v>BOBST 104</v>
          </cell>
          <cell r="G1119">
            <v>5</v>
          </cell>
          <cell r="H1119" t="str">
            <v>Si</v>
          </cell>
          <cell r="I1119" t="str">
            <v>No</v>
          </cell>
          <cell r="J1119" t="str">
            <v>No</v>
          </cell>
          <cell r="K1119">
            <v>0</v>
          </cell>
          <cell r="L1119" t="str">
            <v>Si</v>
          </cell>
          <cell r="M1119" t="str">
            <v>Diana Pro 114</v>
          </cell>
          <cell r="N1119" t="str">
            <v>Gaetarelli</v>
          </cell>
        </row>
        <row r="1120">
          <cell r="A1120" t="str">
            <v>FU1118</v>
          </cell>
          <cell r="B1120" t="str">
            <v>Fusteltecnica</v>
          </cell>
          <cell r="C1120" t="str">
            <v>R09845</v>
          </cell>
          <cell r="D1120" t="str">
            <v>Doringel</v>
          </cell>
          <cell r="E1120" t="str">
            <v>Astucci freddy 8 ghiaccioli</v>
          </cell>
          <cell r="F1120" t="str">
            <v>BOBST 1260</v>
          </cell>
          <cell r="G1120">
            <v>4</v>
          </cell>
          <cell r="H1120" t="str">
            <v>Si</v>
          </cell>
          <cell r="I1120" t="str">
            <v>Si</v>
          </cell>
          <cell r="J1120" t="str">
            <v>No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</row>
        <row r="1121">
          <cell r="A1121" t="str">
            <v>FU1119</v>
          </cell>
          <cell r="B1121" t="str">
            <v>Fusteltecnica</v>
          </cell>
          <cell r="C1121" t="str">
            <v>E07529</v>
          </cell>
          <cell r="D1121" t="str">
            <v>Pantytex</v>
          </cell>
          <cell r="E1121" t="str">
            <v>Buste hema fantasia 2019 R5</v>
          </cell>
          <cell r="F1121" t="str">
            <v>BOBST 1260</v>
          </cell>
          <cell r="G1121">
            <v>5</v>
          </cell>
          <cell r="H1121" t="str">
            <v>Si</v>
          </cell>
          <cell r="I1121" t="str">
            <v>Si</v>
          </cell>
          <cell r="J1121" t="str">
            <v>No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</row>
        <row r="1122">
          <cell r="A1122" t="str">
            <v>FU1120</v>
          </cell>
          <cell r="B1122" t="str">
            <v>Lasercom</v>
          </cell>
          <cell r="C1122" t="str">
            <v>Lomba881</v>
          </cell>
          <cell r="D1122" t="str">
            <v>Gandola</v>
          </cell>
          <cell r="E1122" t="str">
            <v>Astucci biscotti enervit</v>
          </cell>
          <cell r="F1122" t="str">
            <v>BOBST 104</v>
          </cell>
          <cell r="G1122">
            <v>2</v>
          </cell>
          <cell r="H1122" t="str">
            <v>Si</v>
          </cell>
          <cell r="I1122" t="str">
            <v>No</v>
          </cell>
          <cell r="J1122" t="str">
            <v>No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</row>
        <row r="1123">
          <cell r="A1123" t="str">
            <v>FU1121</v>
          </cell>
          <cell r="B1123" t="str">
            <v>Fusteltecnica</v>
          </cell>
          <cell r="C1123" t="str">
            <v>E07543</v>
          </cell>
          <cell r="D1123" t="str">
            <v>JBS</v>
          </cell>
          <cell r="E1123" t="str">
            <v>Astucci hype the details</v>
          </cell>
          <cell r="F1123" t="str">
            <v>BOBST 104</v>
          </cell>
          <cell r="G1123">
            <v>3</v>
          </cell>
          <cell r="H1123" t="str">
            <v>Si</v>
          </cell>
          <cell r="I1123" t="str">
            <v>No</v>
          </cell>
          <cell r="J1123" t="str">
            <v>No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</row>
        <row r="1124">
          <cell r="A1124" t="str">
            <v>FU1122</v>
          </cell>
          <cell r="B1124" t="str">
            <v>Lasercom</v>
          </cell>
          <cell r="C1124" t="str">
            <v>Lombg880</v>
          </cell>
          <cell r="D1124" t="str">
            <v>Pantytex</v>
          </cell>
          <cell r="E1124" t="str">
            <v>Astucci anni rolfi d40</v>
          </cell>
          <cell r="F1124" t="str">
            <v>BOBST 1260</v>
          </cell>
          <cell r="G1124">
            <v>6</v>
          </cell>
          <cell r="H1124" t="str">
            <v>Si</v>
          </cell>
          <cell r="I1124" t="str">
            <v>Si</v>
          </cell>
          <cell r="J1124" t="str">
            <v>No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</row>
        <row r="1125">
          <cell r="A1125" t="str">
            <v>FU1123</v>
          </cell>
          <cell r="B1125" t="str">
            <v>Fusteltecnica</v>
          </cell>
          <cell r="C1125" t="str">
            <v>E07575</v>
          </cell>
          <cell r="D1125" t="str">
            <v>Barbieri</v>
          </cell>
          <cell r="E1125" t="str">
            <v>Astucci lacci bassi</v>
          </cell>
          <cell r="F1125" t="str">
            <v>BOBST 1260</v>
          </cell>
          <cell r="G1125">
            <v>4</v>
          </cell>
          <cell r="H1125" t="str">
            <v>No</v>
          </cell>
          <cell r="I1125" t="str">
            <v>Si</v>
          </cell>
          <cell r="J1125" t="str">
            <v>No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</row>
        <row r="1126">
          <cell r="A1126" t="str">
            <v>FU1124</v>
          </cell>
          <cell r="B1126" t="str">
            <v>Fusteltecnica</v>
          </cell>
          <cell r="C1126" t="str">
            <v>M08876</v>
          </cell>
          <cell r="D1126" t="str">
            <v>Quaranta</v>
          </cell>
          <cell r="E1126" t="str">
            <v>Espositore cartello da banco</v>
          </cell>
          <cell r="F1126" t="str">
            <v>BOBST 1260</v>
          </cell>
          <cell r="G1126">
            <v>1</v>
          </cell>
          <cell r="H1126" t="str">
            <v>No</v>
          </cell>
          <cell r="I1126" t="str">
            <v>Si</v>
          </cell>
          <cell r="J1126" t="str">
            <v>No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</row>
        <row r="1127">
          <cell r="A1127" t="str">
            <v>FU1125</v>
          </cell>
          <cell r="B1127" t="str">
            <v>Fusteltecnica</v>
          </cell>
          <cell r="C1127" t="str">
            <v>M08906</v>
          </cell>
          <cell r="D1127" t="str">
            <v>Gaettarelli</v>
          </cell>
          <cell r="E1127" t="str">
            <v>Astucci coni farcitù chef secret</v>
          </cell>
          <cell r="F1127" t="str">
            <v>BOBST 104</v>
          </cell>
          <cell r="G1127">
            <v>5</v>
          </cell>
          <cell r="H1127" t="str">
            <v>No</v>
          </cell>
          <cell r="I1127" t="str">
            <v>No</v>
          </cell>
          <cell r="J1127" t="str">
            <v>No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</row>
        <row r="1128">
          <cell r="A1128" t="str">
            <v>FU1126</v>
          </cell>
          <cell r="B1128" t="str">
            <v>Fusteltecnica</v>
          </cell>
          <cell r="C1128" t="str">
            <v>M08891</v>
          </cell>
          <cell r="D1128" t="str">
            <v>Gandola</v>
          </cell>
          <cell r="E1128" t="str">
            <v>Espositore lindt</v>
          </cell>
          <cell r="F1128" t="str">
            <v>BOBST 1260</v>
          </cell>
          <cell r="G1128">
            <v>2</v>
          </cell>
          <cell r="H1128" t="str">
            <v>No</v>
          </cell>
          <cell r="I1128" t="str">
            <v>Si</v>
          </cell>
          <cell r="J1128" t="str">
            <v>No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</row>
        <row r="1129">
          <cell r="A1129" t="str">
            <v>FU1127</v>
          </cell>
          <cell r="B1129" t="str">
            <v>Fusteltecnica</v>
          </cell>
          <cell r="C1129" t="str">
            <v>E07568</v>
          </cell>
          <cell r="D1129" t="str">
            <v>Pantytex</v>
          </cell>
          <cell r="E1129" t="str">
            <v>Astucci wibra abbinati</v>
          </cell>
          <cell r="F1129" t="str">
            <v>BOBST 1260</v>
          </cell>
          <cell r="G1129">
            <v>9</v>
          </cell>
          <cell r="H1129" t="str">
            <v>Si</v>
          </cell>
          <cell r="I1129" t="str">
            <v>Si</v>
          </cell>
          <cell r="J1129" t="str">
            <v>No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</row>
        <row r="1130">
          <cell r="A1130" t="str">
            <v>FU1128</v>
          </cell>
          <cell r="B1130" t="str">
            <v>Fusteltecnica</v>
          </cell>
          <cell r="C1130" t="str">
            <v>E07569</v>
          </cell>
          <cell r="D1130" t="str">
            <v>Girardi</v>
          </cell>
          <cell r="E1130" t="str">
            <v>Inserti gambaletto terry</v>
          </cell>
          <cell r="F1130" t="str">
            <v>BOBST 1260</v>
          </cell>
          <cell r="G1130">
            <v>7</v>
          </cell>
          <cell r="H1130" t="str">
            <v>Si</v>
          </cell>
          <cell r="I1130" t="str">
            <v>Si</v>
          </cell>
          <cell r="J1130" t="str">
            <v>No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</row>
        <row r="1131">
          <cell r="A1131" t="str">
            <v>FU1129</v>
          </cell>
          <cell r="B1131" t="str">
            <v>Fusteltecnica</v>
          </cell>
          <cell r="C1131" t="str">
            <v>M08884</v>
          </cell>
          <cell r="D1131" t="str">
            <v>Quaranta</v>
          </cell>
          <cell r="E1131" t="str">
            <v>Cartigli waitrose</v>
          </cell>
          <cell r="F1131" t="str">
            <v>BOBST 1260</v>
          </cell>
          <cell r="G1131">
            <v>32</v>
          </cell>
          <cell r="H1131" t="str">
            <v>Si</v>
          </cell>
          <cell r="I1131" t="str">
            <v>Si</v>
          </cell>
          <cell r="J1131" t="str">
            <v>No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</row>
        <row r="1132">
          <cell r="A1132" t="str">
            <v>FU1130</v>
          </cell>
          <cell r="B1132" t="str">
            <v>Lasercom</v>
          </cell>
          <cell r="C1132" t="str">
            <v>R09922</v>
          </cell>
          <cell r="D1132" t="str">
            <v>JBS</v>
          </cell>
          <cell r="E1132" t="str">
            <v>Buste matas collant</v>
          </cell>
          <cell r="F1132" t="str">
            <v>BOBST 104</v>
          </cell>
          <cell r="G1132">
            <v>5</v>
          </cell>
          <cell r="H1132" t="str">
            <v>Si</v>
          </cell>
          <cell r="I1132" t="str">
            <v>No</v>
          </cell>
          <cell r="J1132" t="str">
            <v>No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</row>
        <row r="1133">
          <cell r="A1133" t="str">
            <v>FU1131</v>
          </cell>
          <cell r="B1133" t="str">
            <v>Lasercom</v>
          </cell>
          <cell r="C1133" t="str">
            <v>Lomba886</v>
          </cell>
          <cell r="D1133" t="str">
            <v>Stato</v>
          </cell>
          <cell r="E1133" t="str">
            <v>scatole azzurre mixer donna</v>
          </cell>
          <cell r="F1133" t="str">
            <v>BOBST 1260</v>
          </cell>
          <cell r="G1133">
            <v>1</v>
          </cell>
          <cell r="H1133" t="str">
            <v>No</v>
          </cell>
          <cell r="I1133" t="str">
            <v>Si</v>
          </cell>
          <cell r="J1133" t="str">
            <v>No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</row>
        <row r="1134">
          <cell r="A1134" t="str">
            <v>FU1132</v>
          </cell>
          <cell r="B1134" t="str">
            <v>Lasercom</v>
          </cell>
          <cell r="C1134" t="str">
            <v>Lomb887G</v>
          </cell>
          <cell r="D1134" t="str">
            <v>Pantytex</v>
          </cell>
          <cell r="E1134" t="str">
            <v>Appendini Hema Fantasia D35</v>
          </cell>
          <cell r="F1134" t="str">
            <v>BOBST 1260</v>
          </cell>
          <cell r="G1134">
            <v>4</v>
          </cell>
          <cell r="H1134" t="str">
            <v>No</v>
          </cell>
          <cell r="I1134" t="str">
            <v>Si</v>
          </cell>
          <cell r="J1134" t="str">
            <v>No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</row>
        <row r="1135">
          <cell r="A1135" t="str">
            <v>FU1133</v>
          </cell>
          <cell r="B1135" t="str">
            <v>Lasercom</v>
          </cell>
          <cell r="C1135" t="str">
            <v>Lomba888</v>
          </cell>
          <cell r="D1135" t="str">
            <v>Quaranta</v>
          </cell>
          <cell r="E1135" t="str">
            <v>Cavallotti gunz</v>
          </cell>
          <cell r="F1135" t="str">
            <v>BOBST 1260</v>
          </cell>
          <cell r="G1135">
            <v>18</v>
          </cell>
          <cell r="H1135" t="str">
            <v>No</v>
          </cell>
          <cell r="I1135" t="str">
            <v>Si</v>
          </cell>
          <cell r="J1135" t="str">
            <v>No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</row>
        <row r="1136">
          <cell r="A1136" t="str">
            <v>FU1134</v>
          </cell>
          <cell r="B1136" t="str">
            <v>Fusteltecnica</v>
          </cell>
          <cell r="C1136" t="str">
            <v>E07618</v>
          </cell>
          <cell r="D1136" t="str">
            <v>Pantytex</v>
          </cell>
          <cell r="E1136" t="str">
            <v>Abbinato wibra astucci appendini</v>
          </cell>
          <cell r="F1136" t="str">
            <v>BOBST 1260</v>
          </cell>
          <cell r="G1136">
            <v>6</v>
          </cell>
          <cell r="H1136" t="str">
            <v>No</v>
          </cell>
          <cell r="I1136" t="str">
            <v>Si</v>
          </cell>
          <cell r="J1136" t="str">
            <v>No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</row>
        <row r="1137">
          <cell r="A1137" t="str">
            <v>FU1135</v>
          </cell>
          <cell r="B1137" t="str">
            <v>Fusteltecnica</v>
          </cell>
          <cell r="C1137" t="str">
            <v>E08249</v>
          </cell>
          <cell r="D1137" t="str">
            <v>Sacma</v>
          </cell>
          <cell r="E1137" t="str">
            <v>Maniglie 2020</v>
          </cell>
          <cell r="F1137" t="str">
            <v>BOBST 104</v>
          </cell>
          <cell r="G1137">
            <v>24</v>
          </cell>
          <cell r="H1137" t="str">
            <v>Si</v>
          </cell>
          <cell r="I1137" t="str">
            <v>No</v>
          </cell>
          <cell r="J1137" t="str">
            <v>No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</row>
        <row r="1138">
          <cell r="A1138" t="str">
            <v>FU1136</v>
          </cell>
          <cell r="B1138" t="str">
            <v>Fusteltecnica</v>
          </cell>
          <cell r="C1138" t="str">
            <v>E07621</v>
          </cell>
          <cell r="D1138" t="str">
            <v>Adpress</v>
          </cell>
          <cell r="E1138" t="str">
            <v>Astucci torroncini</v>
          </cell>
          <cell r="F1138" t="str">
            <v>BOBST 104</v>
          </cell>
          <cell r="G1138">
            <v>4</v>
          </cell>
          <cell r="H1138" t="str">
            <v>Si</v>
          </cell>
          <cell r="I1138" t="str">
            <v>No</v>
          </cell>
          <cell r="J1138" t="str">
            <v>No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</row>
        <row r="1139">
          <cell r="A1139" t="str">
            <v>FU1137</v>
          </cell>
          <cell r="B1139" t="str">
            <v>Fusteltecnica</v>
          </cell>
          <cell r="C1139" t="str">
            <v>E07619</v>
          </cell>
          <cell r="D1139" t="str">
            <v>Alfagel</v>
          </cell>
          <cell r="E1139" t="str">
            <v>Astucci Natale</v>
          </cell>
          <cell r="F1139" t="str">
            <v>BOBST 1260</v>
          </cell>
          <cell r="G1139">
            <v>2</v>
          </cell>
          <cell r="H1139" t="str">
            <v>No</v>
          </cell>
          <cell r="I1139" t="str">
            <v>Si</v>
          </cell>
          <cell r="J1139" t="str">
            <v>No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</row>
        <row r="1140">
          <cell r="A1140" t="str">
            <v>FU1138</v>
          </cell>
          <cell r="B1140" t="str">
            <v>Lasercom</v>
          </cell>
          <cell r="C1140" t="str">
            <v>Lomba890</v>
          </cell>
          <cell r="D1140" t="str">
            <v>Tracy</v>
          </cell>
          <cell r="E1140" t="str">
            <v>Appendini thigs band</v>
          </cell>
          <cell r="F1140" t="str">
            <v>BOBST 104</v>
          </cell>
          <cell r="G1140">
            <v>6</v>
          </cell>
          <cell r="H1140" t="str">
            <v>No</v>
          </cell>
          <cell r="I1140" t="str">
            <v>No</v>
          </cell>
          <cell r="J1140" t="str">
            <v>No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</row>
        <row r="1141">
          <cell r="A1141" t="str">
            <v>FU1139</v>
          </cell>
          <cell r="B1141" t="str">
            <v>Fusteltecnica</v>
          </cell>
          <cell r="C1141" t="str">
            <v>E07628</v>
          </cell>
          <cell r="D1141" t="str">
            <v>Rcm</v>
          </cell>
          <cell r="E1141" t="str">
            <v>Pochette natale 2019</v>
          </cell>
          <cell r="F1141" t="str">
            <v>BOBST 104</v>
          </cell>
          <cell r="G1141">
            <v>4</v>
          </cell>
          <cell r="H1141" t="str">
            <v>No</v>
          </cell>
          <cell r="I1141" t="str">
            <v>No</v>
          </cell>
          <cell r="J1141" t="str">
            <v>No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</row>
        <row r="1142">
          <cell r="A1142" t="str">
            <v>FU1140</v>
          </cell>
          <cell r="B1142" t="str">
            <v>Fusteltecnica</v>
          </cell>
          <cell r="C1142" t="str">
            <v>M09059</v>
          </cell>
          <cell r="D1142" t="str">
            <v>Gallo</v>
          </cell>
          <cell r="E1142" t="str">
            <v>Cavallotti luxe</v>
          </cell>
          <cell r="F1142" t="str">
            <v>BOBST 104</v>
          </cell>
          <cell r="G1142">
            <v>12</v>
          </cell>
          <cell r="H1142" t="str">
            <v>No</v>
          </cell>
          <cell r="I1142" t="str">
            <v>No</v>
          </cell>
          <cell r="J1142" t="str">
            <v>No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</row>
        <row r="1143">
          <cell r="A1143" t="str">
            <v>FU1141</v>
          </cell>
          <cell r="B1143" t="str">
            <v>Fusteltecnica</v>
          </cell>
          <cell r="C1143" t="str">
            <v>E07617</v>
          </cell>
          <cell r="D1143" t="str">
            <v>Quaranta</v>
          </cell>
          <cell r="E1143" t="str">
            <v>Astucci eurospin</v>
          </cell>
          <cell r="F1143" t="str">
            <v>BOBST 104</v>
          </cell>
          <cell r="G1143">
            <v>6</v>
          </cell>
          <cell r="H1143" t="str">
            <v>Si</v>
          </cell>
          <cell r="I1143" t="str">
            <v>No</v>
          </cell>
          <cell r="J1143" t="str">
            <v>No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</row>
        <row r="1144">
          <cell r="A1144" t="str">
            <v>FU1142</v>
          </cell>
          <cell r="B1144" t="str">
            <v>Fusteltecnica</v>
          </cell>
          <cell r="C1144" t="str">
            <v>R09975</v>
          </cell>
          <cell r="D1144" t="str">
            <v>Eire</v>
          </cell>
          <cell r="E1144" t="str">
            <v>Astucci tchibo pjn102046</v>
          </cell>
          <cell r="F1144" t="str">
            <v>BOBST 104</v>
          </cell>
          <cell r="G1144">
            <v>5</v>
          </cell>
          <cell r="H1144" t="str">
            <v>Si</v>
          </cell>
          <cell r="I1144" t="str">
            <v>No</v>
          </cell>
          <cell r="J1144" t="str">
            <v>No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</row>
        <row r="1145">
          <cell r="A1145" t="str">
            <v>FU1143</v>
          </cell>
          <cell r="B1145" t="str">
            <v>Lasercom</v>
          </cell>
          <cell r="C1145" t="str">
            <v>Lomba892</v>
          </cell>
          <cell r="D1145" t="str">
            <v>Girardi</v>
          </cell>
          <cell r="E1145" t="str">
            <v>Appendini Girardi estero</v>
          </cell>
          <cell r="F1145" t="str">
            <v>BOBST 1260</v>
          </cell>
          <cell r="G1145">
            <v>8</v>
          </cell>
          <cell r="H1145" t="str">
            <v>No</v>
          </cell>
          <cell r="I1145" t="str">
            <v>Si</v>
          </cell>
          <cell r="J1145" t="str">
            <v>No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</row>
        <row r="1146">
          <cell r="A1146" t="str">
            <v>FU1144</v>
          </cell>
          <cell r="B1146" t="str">
            <v>Fusteltecnica</v>
          </cell>
          <cell r="C1146" t="str">
            <v>E07645</v>
          </cell>
          <cell r="D1146" t="str">
            <v>Quaranta</v>
          </cell>
          <cell r="E1146" t="str">
            <v>Espositore dolciando</v>
          </cell>
          <cell r="F1146" t="str">
            <v>BOBST 1260</v>
          </cell>
          <cell r="G1146">
            <v>1</v>
          </cell>
          <cell r="H1146" t="str">
            <v>No</v>
          </cell>
          <cell r="I1146" t="str">
            <v>Si</v>
          </cell>
          <cell r="J1146" t="str">
            <v>No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</row>
        <row r="1147">
          <cell r="A1147" t="str">
            <v>FU1145</v>
          </cell>
          <cell r="B1147" t="str">
            <v>Fusteltecnica</v>
          </cell>
          <cell r="C1147" t="str">
            <v>R10054</v>
          </cell>
          <cell r="D1147" t="str">
            <v>Westwood</v>
          </cell>
          <cell r="E1147" t="str">
            <v>Astucci underwear rilievo</v>
          </cell>
          <cell r="F1147" t="str">
            <v>BOBST 104</v>
          </cell>
          <cell r="G1147">
            <v>4</v>
          </cell>
          <cell r="H1147" t="str">
            <v>No</v>
          </cell>
          <cell r="I1147" t="str">
            <v>No</v>
          </cell>
          <cell r="J1147" t="str">
            <v>No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</row>
        <row r="1148">
          <cell r="A1148" t="str">
            <v>FU1146</v>
          </cell>
          <cell r="B1148" t="str">
            <v>Fusteltecnica</v>
          </cell>
          <cell r="C1148" t="str">
            <v>E07664</v>
          </cell>
          <cell r="D1148" t="str">
            <v>Eire</v>
          </cell>
          <cell r="E1148" t="str">
            <v>Astucci Rcm Rocco</v>
          </cell>
          <cell r="F1148" t="str">
            <v>BOBST 104</v>
          </cell>
          <cell r="G1148">
            <v>4</v>
          </cell>
          <cell r="H1148" t="str">
            <v>No</v>
          </cell>
          <cell r="I1148" t="str">
            <v>No</v>
          </cell>
          <cell r="J1148" t="str">
            <v>No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</row>
        <row r="1149">
          <cell r="A1149" t="str">
            <v>FU1147</v>
          </cell>
          <cell r="B1149" t="str">
            <v>Fusteltecnica</v>
          </cell>
          <cell r="C1149" t="str">
            <v>E07634</v>
          </cell>
          <cell r="D1149" t="str">
            <v>Eire</v>
          </cell>
          <cell r="E1149" t="str">
            <v>Astucci tchibo pjn17783</v>
          </cell>
          <cell r="F1149" t="str">
            <v>BOBST 104</v>
          </cell>
          <cell r="G1149">
            <v>4</v>
          </cell>
          <cell r="H1149" t="str">
            <v>Si</v>
          </cell>
          <cell r="I1149" t="str">
            <v>No</v>
          </cell>
          <cell r="J1149" t="str">
            <v>No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</row>
        <row r="1150">
          <cell r="A1150" t="str">
            <v>FU1148</v>
          </cell>
          <cell r="B1150" t="str">
            <v>Fusteltecnica</v>
          </cell>
          <cell r="C1150" t="str">
            <v>E07665</v>
          </cell>
          <cell r="D1150" t="str">
            <v>Nuova Virgiliana</v>
          </cell>
          <cell r="E1150" t="str">
            <v>Scatole lei</v>
          </cell>
          <cell r="F1150" t="str">
            <v>BOBST 1260</v>
          </cell>
          <cell r="G1150">
            <v>2</v>
          </cell>
          <cell r="H1150" t="str">
            <v>No</v>
          </cell>
          <cell r="I1150" t="str">
            <v>Si</v>
          </cell>
          <cell r="J1150" t="str">
            <v>No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</row>
        <row r="1151">
          <cell r="A1151" t="str">
            <v>FU1149</v>
          </cell>
          <cell r="B1151" t="str">
            <v>Fusteltecnica</v>
          </cell>
          <cell r="C1151" t="str">
            <v>E87687</v>
          </cell>
          <cell r="D1151" t="str">
            <v>Bonadei</v>
          </cell>
          <cell r="E1151" t="str">
            <v>Scatole ecocorta h9</v>
          </cell>
          <cell r="F1151" t="str">
            <v>BOBST 1260</v>
          </cell>
          <cell r="G1151">
            <v>1</v>
          </cell>
          <cell r="H1151" t="str">
            <v>No</v>
          </cell>
          <cell r="I1151" t="str">
            <v>Si</v>
          </cell>
          <cell r="J1151" t="str">
            <v>No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</row>
        <row r="1152">
          <cell r="A1152" t="str">
            <v>FU1150</v>
          </cell>
          <cell r="B1152" t="str">
            <v>Fusteltecnica</v>
          </cell>
          <cell r="C1152" t="str">
            <v>E07710</v>
          </cell>
          <cell r="D1152" t="str">
            <v>Magazzini del Caffè</v>
          </cell>
          <cell r="E1152" t="str">
            <v>Astucci volg 20 capsule</v>
          </cell>
          <cell r="F1152" t="str">
            <v>BOBST 1260</v>
          </cell>
          <cell r="G1152">
            <v>3</v>
          </cell>
          <cell r="H1152" t="str">
            <v>No</v>
          </cell>
          <cell r="I1152" t="str">
            <v>Si</v>
          </cell>
          <cell r="J1152" t="str">
            <v>No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</row>
        <row r="1153">
          <cell r="A1153" t="str">
            <v>FU1151</v>
          </cell>
          <cell r="B1153" t="str">
            <v>Fusteltecnica</v>
          </cell>
          <cell r="C1153" t="str">
            <v>R04383</v>
          </cell>
          <cell r="D1153" t="str">
            <v>Fedrigo</v>
          </cell>
          <cell r="E1153" t="str">
            <v>Astucci ventose</v>
          </cell>
          <cell r="F1153" t="str">
            <v>BOBST 1260</v>
          </cell>
          <cell r="G1153">
            <v>2</v>
          </cell>
          <cell r="H1153" t="str">
            <v>No</v>
          </cell>
          <cell r="I1153" t="str">
            <v>Si</v>
          </cell>
          <cell r="J1153" t="str">
            <v>No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</row>
        <row r="1154">
          <cell r="A1154" t="str">
            <v>FU1152</v>
          </cell>
          <cell r="B1154" t="str">
            <v>Fusteltecnica</v>
          </cell>
          <cell r="C1154" t="str">
            <v>R10054</v>
          </cell>
          <cell r="D1154" t="str">
            <v>Westwood</v>
          </cell>
          <cell r="E1154" t="str">
            <v xml:space="preserve">Astucci underwear </v>
          </cell>
          <cell r="F1154" t="str">
            <v>BOBST 104</v>
          </cell>
          <cell r="G1154">
            <v>4</v>
          </cell>
          <cell r="H1154" t="str">
            <v>Si</v>
          </cell>
          <cell r="I1154" t="str">
            <v>No</v>
          </cell>
          <cell r="J1154" t="str">
            <v>No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</row>
        <row r="1155">
          <cell r="A1155" t="str">
            <v>FU1153</v>
          </cell>
          <cell r="B1155" t="str">
            <v>Lasercom</v>
          </cell>
          <cell r="C1155" t="str">
            <v>LombA893</v>
          </cell>
          <cell r="D1155" t="str">
            <v>Offel</v>
          </cell>
          <cell r="E1155" t="str">
            <v>Astucci G1753E</v>
          </cell>
          <cell r="F1155" t="str">
            <v>BOBST 1260</v>
          </cell>
          <cell r="G1155">
            <v>6</v>
          </cell>
          <cell r="H1155" t="str">
            <v>Si</v>
          </cell>
          <cell r="I1155" t="str">
            <v>Si</v>
          </cell>
          <cell r="J1155" t="str">
            <v>No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</row>
        <row r="1156">
          <cell r="A1156" t="str">
            <v>FU1154</v>
          </cell>
          <cell r="B1156" t="str">
            <v>Fusteltecnica</v>
          </cell>
          <cell r="C1156" t="str">
            <v>A06023</v>
          </cell>
          <cell r="D1156" t="str">
            <v>Pantytex</v>
          </cell>
          <cell r="E1156" t="str">
            <v>Abbinato joseph Kretching</v>
          </cell>
          <cell r="F1156" t="str">
            <v>BOBST 1260</v>
          </cell>
          <cell r="G1156">
            <v>4</v>
          </cell>
          <cell r="H1156" t="str">
            <v>No</v>
          </cell>
          <cell r="I1156" t="str">
            <v>Si</v>
          </cell>
          <cell r="J1156" t="str">
            <v>No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</row>
        <row r="1157">
          <cell r="A1157" t="str">
            <v>FU1155</v>
          </cell>
          <cell r="B1157" t="str">
            <v>Lasercom</v>
          </cell>
          <cell r="C1157" t="str">
            <v>Lomba891</v>
          </cell>
          <cell r="D1157" t="str">
            <v>Pasqualini</v>
          </cell>
          <cell r="E1157" t="str">
            <v>Astucci decaffeinato</v>
          </cell>
          <cell r="F1157" t="str">
            <v>BOBST 1260</v>
          </cell>
          <cell r="G1157">
            <v>4</v>
          </cell>
          <cell r="H1157" t="str">
            <v>No</v>
          </cell>
          <cell r="I1157" t="str">
            <v>Si</v>
          </cell>
          <cell r="J1157" t="str">
            <v>No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</row>
        <row r="1158">
          <cell r="A1158" t="str">
            <v>FU1156</v>
          </cell>
          <cell r="B1158" t="str">
            <v>Lasercom</v>
          </cell>
          <cell r="C1158" t="str">
            <v>Lomba894</v>
          </cell>
          <cell r="D1158" t="str">
            <v>Tracy</v>
          </cell>
          <cell r="E1158" t="str">
            <v>Fascette rywan</v>
          </cell>
          <cell r="F1158" t="str">
            <v>BOBST 1260</v>
          </cell>
          <cell r="G1158">
            <v>5</v>
          </cell>
          <cell r="H1158" t="str">
            <v>No</v>
          </cell>
          <cell r="I1158" t="str">
            <v>Si</v>
          </cell>
          <cell r="J1158" t="str">
            <v>No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</row>
        <row r="1159">
          <cell r="A1159" t="str">
            <v>FU1157</v>
          </cell>
          <cell r="B1159" t="str">
            <v>Lasercom</v>
          </cell>
          <cell r="C1159" t="str">
            <v>Lomba895</v>
          </cell>
          <cell r="D1159" t="str">
            <v>Poli</v>
          </cell>
          <cell r="E1159" t="str">
            <v>Contenitori memento</v>
          </cell>
          <cell r="F1159" t="str">
            <v>BOBST 1260</v>
          </cell>
          <cell r="G1159">
            <v>1</v>
          </cell>
          <cell r="H1159" t="str">
            <v>No</v>
          </cell>
          <cell r="I1159" t="str">
            <v>Si</v>
          </cell>
          <cell r="J1159" t="str">
            <v>No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</row>
        <row r="1160">
          <cell r="A1160" t="str">
            <v>FU1158</v>
          </cell>
          <cell r="B1160" t="str">
            <v>Fusteltecnica</v>
          </cell>
          <cell r="C1160" t="str">
            <v>M09162</v>
          </cell>
          <cell r="D1160" t="str">
            <v>JBS</v>
          </cell>
          <cell r="E1160" t="str">
            <v>Buste Caroline fleming abbinate</v>
          </cell>
          <cell r="F1160" t="str">
            <v>BOBST 104</v>
          </cell>
          <cell r="G1160">
            <v>4</v>
          </cell>
          <cell r="H1160" t="str">
            <v>Si</v>
          </cell>
          <cell r="I1160" t="str">
            <v>No</v>
          </cell>
          <cell r="J1160" t="str">
            <v>No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</row>
        <row r="1161">
          <cell r="A1161" t="str">
            <v>FU1159</v>
          </cell>
          <cell r="B1161" t="str">
            <v>Lasercom</v>
          </cell>
          <cell r="C1161" t="str">
            <v>Lomba897</v>
          </cell>
          <cell r="D1161" t="str">
            <v>Tradigo</v>
          </cell>
          <cell r="E1161" t="str">
            <v>Salvacaze adesivo master</v>
          </cell>
          <cell r="F1161" t="str">
            <v>BOBST 1260</v>
          </cell>
          <cell r="G1161">
            <v>21</v>
          </cell>
          <cell r="H1161" t="str">
            <v>No</v>
          </cell>
          <cell r="I1161" t="str">
            <v>Si</v>
          </cell>
          <cell r="J1161" t="str">
            <v>No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</row>
        <row r="1162">
          <cell r="A1162" t="str">
            <v>FU1160</v>
          </cell>
          <cell r="B1162" t="str">
            <v>Lasercom</v>
          </cell>
          <cell r="C1162" t="str">
            <v>Lomba896</v>
          </cell>
          <cell r="D1162" t="str">
            <v>JBS</v>
          </cell>
          <cell r="E1162" t="str">
            <v>Astucci hype the details</v>
          </cell>
          <cell r="F1162" t="str">
            <v>BOBST 1260</v>
          </cell>
          <cell r="G1162">
            <v>2</v>
          </cell>
          <cell r="H1162" t="str">
            <v>No</v>
          </cell>
          <cell r="I1162" t="str">
            <v>Si</v>
          </cell>
          <cell r="J1162" t="str">
            <v>No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</row>
        <row r="1163">
          <cell r="A1163" t="str">
            <v>FU1161</v>
          </cell>
          <cell r="B1163" t="str">
            <v>Lasercom</v>
          </cell>
          <cell r="C1163" t="str">
            <v>Lomba898</v>
          </cell>
          <cell r="D1163" t="str">
            <v>Cooperativa Vitivi.</v>
          </cell>
          <cell r="E1163" t="str">
            <v>Scatola D'amur</v>
          </cell>
          <cell r="F1163" t="str">
            <v>BOBST 1260</v>
          </cell>
          <cell r="G1163">
            <v>2</v>
          </cell>
          <cell r="H1163" t="str">
            <v>No</v>
          </cell>
          <cell r="I1163" t="str">
            <v>Si</v>
          </cell>
          <cell r="J1163" t="str">
            <v>No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</row>
        <row r="1164">
          <cell r="A1164" t="str">
            <v>FU1162</v>
          </cell>
          <cell r="B1164" t="str">
            <v>Lasercom</v>
          </cell>
          <cell r="C1164" t="str">
            <v>Lomba899</v>
          </cell>
          <cell r="D1164" t="str">
            <v>Cooperativa Vitivi.</v>
          </cell>
          <cell r="E1164" t="str">
            <v>Scatola Olio</v>
          </cell>
          <cell r="F1164" t="str">
            <v>BOBST 1260</v>
          </cell>
          <cell r="G1164">
            <v>2</v>
          </cell>
          <cell r="H1164" t="str">
            <v>No</v>
          </cell>
          <cell r="I1164" t="str">
            <v>Si</v>
          </cell>
          <cell r="J1164" t="str">
            <v>No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</row>
        <row r="1165">
          <cell r="A1165" t="str">
            <v>FU1163</v>
          </cell>
          <cell r="B1165" t="str">
            <v>Fusteltecnica</v>
          </cell>
          <cell r="C1165" t="str">
            <v>R10172</v>
          </cell>
          <cell r="D1165" t="str">
            <v>Vegas</v>
          </cell>
          <cell r="E1165" t="str">
            <v>Scatole d 25 accappi</v>
          </cell>
          <cell r="F1165" t="str">
            <v>BOBST 104</v>
          </cell>
          <cell r="G1165">
            <v>2</v>
          </cell>
          <cell r="H1165" t="str">
            <v>No</v>
          </cell>
          <cell r="I1165" t="str">
            <v>No</v>
          </cell>
          <cell r="J1165" t="str">
            <v>No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</row>
        <row r="1166">
          <cell r="A1166" t="str">
            <v>FU1164</v>
          </cell>
          <cell r="B1166" t="str">
            <v>Fusteltecnica</v>
          </cell>
          <cell r="C1166" t="str">
            <v>R10211</v>
          </cell>
          <cell r="D1166" t="str">
            <v>Calzificio italiano</v>
          </cell>
          <cell r="E1166" t="str">
            <v>Scatola 4 angoli</v>
          </cell>
          <cell r="F1166" t="str">
            <v>BOBST 104</v>
          </cell>
          <cell r="G1166">
            <v>4</v>
          </cell>
          <cell r="H1166" t="str">
            <v>No</v>
          </cell>
          <cell r="I1166" t="str">
            <v>No</v>
          </cell>
          <cell r="J1166" t="str">
            <v>No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</row>
        <row r="1167">
          <cell r="A1167" t="str">
            <v>FU1165</v>
          </cell>
          <cell r="B1167" t="str">
            <v>Lasercom</v>
          </cell>
          <cell r="C1167" t="str">
            <v>Lomb894g</v>
          </cell>
          <cell r="D1167" t="str">
            <v>Genny</v>
          </cell>
          <cell r="E1167" t="str">
            <v>Bambina fantasia</v>
          </cell>
          <cell r="F1167" t="str">
            <v>BOBST 1260</v>
          </cell>
          <cell r="G1167">
            <v>4</v>
          </cell>
          <cell r="H1167" t="str">
            <v>No</v>
          </cell>
          <cell r="I1167" t="str">
            <v>Si</v>
          </cell>
          <cell r="J1167" t="str">
            <v>No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</row>
        <row r="1168">
          <cell r="A1168" t="str">
            <v>FU1166</v>
          </cell>
          <cell r="B1168">
            <v>0</v>
          </cell>
          <cell r="C1168" t="str">
            <v>-</v>
          </cell>
          <cell r="D1168">
            <v>0</v>
          </cell>
          <cell r="E1168">
            <v>0</v>
          </cell>
          <cell r="F1168" t="str">
            <v>BOBST 104</v>
          </cell>
          <cell r="G1168">
            <v>0</v>
          </cell>
          <cell r="H1168" t="str">
            <v>Si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</row>
        <row r="1169">
          <cell r="A1169" t="str">
            <v>FU1167</v>
          </cell>
          <cell r="B1169" t="str">
            <v>Fusteltecnica</v>
          </cell>
          <cell r="C1169" t="str">
            <v>E07725</v>
          </cell>
          <cell r="D1169" t="str">
            <v>Eire</v>
          </cell>
          <cell r="E1169" t="str">
            <v>Appendini Tchibo 104261</v>
          </cell>
          <cell r="F1169" t="str">
            <v>BOBST 104</v>
          </cell>
          <cell r="G1169">
            <v>6</v>
          </cell>
          <cell r="H1169" t="str">
            <v>Si</v>
          </cell>
          <cell r="I1169" t="str">
            <v>No</v>
          </cell>
          <cell r="J1169" t="str">
            <v>No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</row>
        <row r="1170">
          <cell r="A1170" t="str">
            <v>FU1168</v>
          </cell>
          <cell r="B1170" t="str">
            <v>Lasercom</v>
          </cell>
          <cell r="C1170" t="str">
            <v>Lomba900</v>
          </cell>
          <cell r="D1170" t="str">
            <v>Pantytex</v>
          </cell>
          <cell r="E1170" t="str">
            <v>c&amp;a i770</v>
          </cell>
          <cell r="F1170" t="str">
            <v>BOBST 104</v>
          </cell>
          <cell r="G1170">
            <v>10</v>
          </cell>
          <cell r="H1170" t="str">
            <v>No</v>
          </cell>
          <cell r="I1170" t="str">
            <v>No</v>
          </cell>
          <cell r="J1170" t="str">
            <v>No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</row>
        <row r="1171">
          <cell r="A1171" t="str">
            <v>FU1169</v>
          </cell>
          <cell r="B1171" t="str">
            <v>Fusteltecnica</v>
          </cell>
          <cell r="C1171" t="str">
            <v>E07847</v>
          </cell>
          <cell r="D1171" t="str">
            <v>Essegel</v>
          </cell>
          <cell r="E1171" t="str">
            <v>Astucci granarolo</v>
          </cell>
          <cell r="F1171" t="str">
            <v>BOBST 1260</v>
          </cell>
          <cell r="G1171">
            <v>3</v>
          </cell>
          <cell r="H1171" t="str">
            <v>No</v>
          </cell>
          <cell r="I1171" t="str">
            <v>Si</v>
          </cell>
          <cell r="J1171" t="str">
            <v>No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</row>
        <row r="1172">
          <cell r="A1172" t="str">
            <v>FU1170</v>
          </cell>
          <cell r="B1172" t="str">
            <v>Fusteltecnica</v>
          </cell>
          <cell r="C1172" t="str">
            <v>E07844</v>
          </cell>
          <cell r="D1172" t="str">
            <v>Pasta Lensi</v>
          </cell>
          <cell r="E1172" t="str">
            <v>Astucci veggie</v>
          </cell>
          <cell r="F1172" t="str">
            <v>BOBST 1260</v>
          </cell>
          <cell r="G1172">
            <v>6</v>
          </cell>
          <cell r="H1172" t="str">
            <v>No</v>
          </cell>
          <cell r="I1172" t="str">
            <v>Si</v>
          </cell>
          <cell r="J1172" t="str">
            <v>No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</row>
        <row r="1173">
          <cell r="A1173" t="str">
            <v>FU1171</v>
          </cell>
          <cell r="B1173" t="str">
            <v>Lasercom</v>
          </cell>
          <cell r="C1173" t="str">
            <v>Lomba902</v>
          </cell>
          <cell r="D1173" t="str">
            <v>Tracy</v>
          </cell>
          <cell r="E1173" t="str">
            <v>App kid 2020</v>
          </cell>
          <cell r="F1173" t="str">
            <v>BOBST 1260</v>
          </cell>
          <cell r="G1173">
            <v>4</v>
          </cell>
          <cell r="H1173" t="str">
            <v>No</v>
          </cell>
          <cell r="I1173" t="str">
            <v>Si</v>
          </cell>
          <cell r="J1173" t="str">
            <v>No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</row>
        <row r="1174">
          <cell r="A1174" t="str">
            <v>FU1172</v>
          </cell>
          <cell r="B1174" t="str">
            <v>Fusteltecnica</v>
          </cell>
          <cell r="C1174" t="str">
            <v>E07801</v>
          </cell>
          <cell r="D1174" t="str">
            <v>Promega</v>
          </cell>
          <cell r="E1174" t="str">
            <v>cartoncini pistole spruzza acqua</v>
          </cell>
          <cell r="F1174" t="str">
            <v>BOBST 104</v>
          </cell>
          <cell r="G1174">
            <v>6</v>
          </cell>
          <cell r="H1174" t="str">
            <v>Si</v>
          </cell>
          <cell r="I1174" t="str">
            <v>No</v>
          </cell>
          <cell r="J1174" t="str">
            <v>No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</row>
        <row r="1175">
          <cell r="A1175" t="str">
            <v>FU1173</v>
          </cell>
          <cell r="B1175" t="str">
            <v>Fusteltecnica</v>
          </cell>
          <cell r="C1175" t="str">
            <v>E07854</v>
          </cell>
          <cell r="D1175" t="str">
            <v>Pantytex</v>
          </cell>
          <cell r="E1175" t="str">
            <v>Appendini Dm</v>
          </cell>
          <cell r="F1175" t="str">
            <v>BOBST 104</v>
          </cell>
          <cell r="G1175">
            <v>5</v>
          </cell>
          <cell r="H1175" t="str">
            <v>Si</v>
          </cell>
          <cell r="I1175" t="str">
            <v>No</v>
          </cell>
          <cell r="J1175" t="str">
            <v>No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</row>
        <row r="1176">
          <cell r="A1176" t="str">
            <v>FU1174</v>
          </cell>
          <cell r="B1176" t="str">
            <v>Fusteltecnica</v>
          </cell>
          <cell r="C1176" t="str">
            <v>E07855</v>
          </cell>
          <cell r="D1176" t="str">
            <v>Pantytex</v>
          </cell>
          <cell r="E1176" t="str">
            <v>Astucci dm</v>
          </cell>
          <cell r="F1176" t="str">
            <v>BOBST 1260</v>
          </cell>
          <cell r="G1176">
            <v>8</v>
          </cell>
          <cell r="H1176" t="str">
            <v>Si</v>
          </cell>
          <cell r="I1176" t="str">
            <v>Si</v>
          </cell>
          <cell r="J1176" t="str">
            <v>No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</row>
        <row r="1177">
          <cell r="A1177" t="str">
            <v>FU1175</v>
          </cell>
          <cell r="B1177" t="str">
            <v>Fusteltecnica</v>
          </cell>
          <cell r="C1177" t="str">
            <v>R10358</v>
          </cell>
          <cell r="D1177" t="str">
            <v>Nero nobile</v>
          </cell>
          <cell r="E1177" t="str">
            <v>Astucci Neutri</v>
          </cell>
          <cell r="F1177" t="str">
            <v>BOBST 104</v>
          </cell>
          <cell r="G1177">
            <v>8</v>
          </cell>
          <cell r="H1177" t="str">
            <v>No</v>
          </cell>
          <cell r="I1177" t="str">
            <v>No</v>
          </cell>
          <cell r="J1177" t="str">
            <v>No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</row>
        <row r="1178">
          <cell r="A1178" t="str">
            <v>FU1176</v>
          </cell>
          <cell r="B1178" t="str">
            <v>Fusteltecnica</v>
          </cell>
          <cell r="C1178" t="str">
            <v>M09541</v>
          </cell>
          <cell r="D1178" t="str">
            <v>Rcm</v>
          </cell>
          <cell r="E1178" t="str">
            <v>Interno Z</v>
          </cell>
          <cell r="F1178" t="str">
            <v>BOBST 1260</v>
          </cell>
          <cell r="G1178">
            <v>12</v>
          </cell>
          <cell r="H1178" t="str">
            <v>No</v>
          </cell>
          <cell r="I1178" t="str">
            <v>Si</v>
          </cell>
          <cell r="J1178" t="str">
            <v>No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</row>
        <row r="1179">
          <cell r="A1179" t="str">
            <v>FU1177</v>
          </cell>
          <cell r="B1179" t="str">
            <v>Lasercom</v>
          </cell>
          <cell r="C1179" t="str">
            <v>Lomba898gn</v>
          </cell>
          <cell r="D1179" t="str">
            <v>Pantytex</v>
          </cell>
          <cell r="E1179" t="str">
            <v>Appendini dc 04 d25</v>
          </cell>
          <cell r="F1179" t="str">
            <v>BOBST 104</v>
          </cell>
          <cell r="G1179">
            <v>4</v>
          </cell>
          <cell r="H1179" t="str">
            <v>No</v>
          </cell>
          <cell r="I1179" t="str">
            <v>No</v>
          </cell>
          <cell r="J1179" t="str">
            <v>No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</row>
        <row r="1180">
          <cell r="A1180" t="str">
            <v>FU1178</v>
          </cell>
          <cell r="B1180" t="str">
            <v>Fusteltecnica</v>
          </cell>
          <cell r="C1180" t="str">
            <v>E07862</v>
          </cell>
          <cell r="D1180" t="str">
            <v>Alfagel</v>
          </cell>
          <cell r="E1180" t="str">
            <v>Fascette fsc</v>
          </cell>
          <cell r="F1180" t="str">
            <v>BOBST 104</v>
          </cell>
          <cell r="G1180">
            <v>6</v>
          </cell>
          <cell r="H1180" t="str">
            <v>Si</v>
          </cell>
          <cell r="I1180" t="str">
            <v>No</v>
          </cell>
          <cell r="J1180" t="str">
            <v>No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</row>
        <row r="1181">
          <cell r="A1181" t="str">
            <v>FU1179</v>
          </cell>
          <cell r="B1181" t="str">
            <v>Fusteltecnica</v>
          </cell>
          <cell r="C1181" t="str">
            <v>M09484</v>
          </cell>
          <cell r="D1181" t="str">
            <v>Prontofoods</v>
          </cell>
          <cell r="E1181" t="str">
            <v>Budini 1kg</v>
          </cell>
          <cell r="F1181" t="str">
            <v>BOBST 1260</v>
          </cell>
          <cell r="G1181">
            <v>4</v>
          </cell>
          <cell r="H1181" t="str">
            <v>Si</v>
          </cell>
          <cell r="I1181" t="str">
            <v>Si</v>
          </cell>
          <cell r="J1181" t="str">
            <v>No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</row>
        <row r="1182">
          <cell r="A1182" t="str">
            <v>FU1180</v>
          </cell>
          <cell r="B1182" t="str">
            <v>Fusteltecnica</v>
          </cell>
          <cell r="C1182" t="str">
            <v>E07895</v>
          </cell>
          <cell r="D1182" t="str">
            <v>Imballaggi 2L</v>
          </cell>
          <cell r="E1182" t="str">
            <v>Coperchio 4 angoli pianty</v>
          </cell>
          <cell r="F1182" t="str">
            <v>BOBST 1260</v>
          </cell>
          <cell r="G1182">
            <v>2</v>
          </cell>
          <cell r="H1182" t="str">
            <v>No</v>
          </cell>
          <cell r="I1182" t="str">
            <v>Si</v>
          </cell>
          <cell r="J1182" t="str">
            <v>No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</row>
        <row r="1183">
          <cell r="A1183" t="str">
            <v>FU1181</v>
          </cell>
          <cell r="B1183" t="str">
            <v>Lasercom</v>
          </cell>
          <cell r="C1183" t="str">
            <v>Lomba904</v>
          </cell>
          <cell r="D1183" t="str">
            <v>Pantytex</v>
          </cell>
          <cell r="E1183" t="str">
            <v>Cavallotto Joseph Krecting</v>
          </cell>
          <cell r="F1183" t="str">
            <v>BOBST 1260</v>
          </cell>
          <cell r="G1183">
            <v>10</v>
          </cell>
          <cell r="H1183" t="str">
            <v>No</v>
          </cell>
          <cell r="I1183" t="str">
            <v>Si</v>
          </cell>
          <cell r="J1183" t="str">
            <v>No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</row>
        <row r="1184">
          <cell r="A1184" t="str">
            <v>FU1182</v>
          </cell>
          <cell r="B1184" t="str">
            <v>Lasercom</v>
          </cell>
          <cell r="C1184" t="str">
            <v>Lomba906</v>
          </cell>
          <cell r="D1184" t="str">
            <v>Tonitto</v>
          </cell>
          <cell r="E1184" t="str">
            <v>Scatola 1 ghiaccioli</v>
          </cell>
          <cell r="F1184" t="str">
            <v>BOBST 1260</v>
          </cell>
          <cell r="G1184">
            <v>3</v>
          </cell>
          <cell r="H1184" t="str">
            <v>No</v>
          </cell>
          <cell r="I1184" t="str">
            <v>Si</v>
          </cell>
          <cell r="J1184" t="str">
            <v>No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</row>
        <row r="1185">
          <cell r="A1185" t="str">
            <v>FU1183</v>
          </cell>
          <cell r="B1185" t="str">
            <v>Lasercom</v>
          </cell>
          <cell r="C1185" t="str">
            <v>Lomba907</v>
          </cell>
          <cell r="D1185" t="str">
            <v>O.Erre</v>
          </cell>
          <cell r="E1185" t="str">
            <v>imballo cromo italy</v>
          </cell>
          <cell r="F1185" t="str">
            <v>BOBST 1260</v>
          </cell>
          <cell r="G1185">
            <v>2</v>
          </cell>
          <cell r="H1185" t="str">
            <v>No</v>
          </cell>
          <cell r="I1185" t="str">
            <v>Si</v>
          </cell>
          <cell r="J1185" t="str">
            <v>No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</row>
        <row r="1186">
          <cell r="A1186" t="str">
            <v>FU1184</v>
          </cell>
          <cell r="B1186" t="str">
            <v>Lasercom</v>
          </cell>
          <cell r="C1186" t="str">
            <v>Lomb900g</v>
          </cell>
          <cell r="D1186" t="str">
            <v>Pantytex</v>
          </cell>
          <cell r="E1186" t="str">
            <v>Inserti desiree 2020</v>
          </cell>
          <cell r="F1186" t="str">
            <v>BOBST 104</v>
          </cell>
          <cell r="G1186">
            <v>5</v>
          </cell>
          <cell r="H1186" t="str">
            <v>Si</v>
          </cell>
          <cell r="I1186" t="str">
            <v>No</v>
          </cell>
          <cell r="J1186" t="str">
            <v>No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</row>
        <row r="1187">
          <cell r="A1187" t="str">
            <v>FU1185</v>
          </cell>
          <cell r="B1187" t="str">
            <v>Fusteltecnica</v>
          </cell>
          <cell r="C1187" t="str">
            <v>E08003</v>
          </cell>
          <cell r="D1187" t="str">
            <v>Nero nobile</v>
          </cell>
          <cell r="E1187" t="str">
            <v>Astucci FS0380</v>
          </cell>
          <cell r="F1187" t="str">
            <v>BOBST 1260</v>
          </cell>
          <cell r="G1187">
            <v>4</v>
          </cell>
          <cell r="H1187" t="str">
            <v>Si</v>
          </cell>
          <cell r="I1187" t="str">
            <v>Si</v>
          </cell>
          <cell r="J1187" t="str">
            <v>No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</row>
        <row r="1188">
          <cell r="A1188" t="str">
            <v>FU1186</v>
          </cell>
          <cell r="B1188" t="str">
            <v>Fusteltecnica</v>
          </cell>
          <cell r="C1188" t="str">
            <v>M09813</v>
          </cell>
          <cell r="D1188" t="str">
            <v>Nero nobile</v>
          </cell>
          <cell r="E1188" t="str">
            <v>Astucci FS0385</v>
          </cell>
          <cell r="F1188" t="str">
            <v>BOBST 1260</v>
          </cell>
          <cell r="G1188">
            <v>6</v>
          </cell>
          <cell r="H1188" t="str">
            <v>Si</v>
          </cell>
          <cell r="I1188" t="str">
            <v>Si</v>
          </cell>
          <cell r="J1188" t="str">
            <v>No</v>
          </cell>
          <cell r="K1188">
            <v>0</v>
          </cell>
          <cell r="L1188" t="str">
            <v>Si</v>
          </cell>
          <cell r="M1188" t="str">
            <v>DIana X80</v>
          </cell>
          <cell r="N1188" t="str">
            <v>Lineare</v>
          </cell>
        </row>
        <row r="1189">
          <cell r="A1189" t="str">
            <v>FU1187</v>
          </cell>
          <cell r="B1189" t="str">
            <v>Lasercom</v>
          </cell>
          <cell r="C1189" t="str">
            <v>lomb897g</v>
          </cell>
          <cell r="D1189" t="str">
            <v>Love and Bra</v>
          </cell>
          <cell r="E1189" t="str">
            <v>Astucci h100 2020</v>
          </cell>
          <cell r="F1189" t="str">
            <v>BOBST 1260</v>
          </cell>
          <cell r="G1189">
            <v>4</v>
          </cell>
          <cell r="H1189" t="str">
            <v>Si</v>
          </cell>
          <cell r="I1189" t="str">
            <v>Si</v>
          </cell>
          <cell r="J1189" t="str">
            <v>No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</row>
        <row r="1190">
          <cell r="A1190" t="str">
            <v>FU1188</v>
          </cell>
          <cell r="B1190" t="str">
            <v>Lasercom</v>
          </cell>
          <cell r="C1190" t="str">
            <v>lomb896g</v>
          </cell>
          <cell r="D1190" t="str">
            <v>Love and Bra</v>
          </cell>
          <cell r="E1190" t="str">
            <v>Astucci h 40</v>
          </cell>
          <cell r="F1190" t="str">
            <v>BOBST 104</v>
          </cell>
          <cell r="G1190">
            <v>6</v>
          </cell>
          <cell r="H1190" t="str">
            <v>Si</v>
          </cell>
          <cell r="I1190" t="str">
            <v>No</v>
          </cell>
          <cell r="J1190" t="str">
            <v>No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</row>
        <row r="1191">
          <cell r="A1191" t="str">
            <v>FU1189</v>
          </cell>
          <cell r="B1191" t="str">
            <v>Lasercom</v>
          </cell>
          <cell r="C1191" t="str">
            <v>Lomb908g</v>
          </cell>
          <cell r="D1191" t="str">
            <v>Pantytex</v>
          </cell>
          <cell r="E1191" t="str">
            <v>Inserti desiree abbinati</v>
          </cell>
          <cell r="F1191" t="str">
            <v>BOBST 1260</v>
          </cell>
          <cell r="G1191">
            <v>8</v>
          </cell>
          <cell r="H1191" t="str">
            <v>Si</v>
          </cell>
          <cell r="I1191" t="str">
            <v>Si</v>
          </cell>
          <cell r="J1191" t="str">
            <v>No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</row>
        <row r="1192">
          <cell r="A1192" t="str">
            <v>FU1190</v>
          </cell>
          <cell r="B1192" t="str">
            <v>Lasercom</v>
          </cell>
          <cell r="C1192" t="str">
            <v>Lomb909g</v>
          </cell>
          <cell r="D1192" t="str">
            <v>fortis+edo</v>
          </cell>
          <cell r="E1192" t="str">
            <v>super maxi tris+fortis fondo automatico</v>
          </cell>
          <cell r="F1192" t="str">
            <v>BOBST 104</v>
          </cell>
          <cell r="G1192">
            <v>7</v>
          </cell>
          <cell r="H1192" t="str">
            <v>No</v>
          </cell>
          <cell r="I1192" t="str">
            <v>No</v>
          </cell>
          <cell r="J1192" t="str">
            <v>No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</row>
        <row r="1193">
          <cell r="A1193" t="str">
            <v>FU1191</v>
          </cell>
          <cell r="B1193" t="str">
            <v>Fusteltecnica</v>
          </cell>
          <cell r="C1193" t="str">
            <v>r10648</v>
          </cell>
          <cell r="D1193" t="str">
            <v>Ilary</v>
          </cell>
          <cell r="E1193" t="str">
            <v>Astucci Mc Kinley piccoli</v>
          </cell>
          <cell r="F1193" t="str">
            <v>BOBST 1260</v>
          </cell>
          <cell r="G1193">
            <v>4</v>
          </cell>
          <cell r="H1193" t="str">
            <v>No</v>
          </cell>
          <cell r="I1193" t="str">
            <v>Si</v>
          </cell>
          <cell r="J1193" t="str">
            <v>No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</row>
        <row r="1194">
          <cell r="A1194" t="str">
            <v>FU1192</v>
          </cell>
          <cell r="B1194" t="str">
            <v>Fusteltecnica</v>
          </cell>
          <cell r="C1194" t="str">
            <v>e08087</v>
          </cell>
          <cell r="D1194" t="str">
            <v>Lane mondial</v>
          </cell>
          <cell r="E1194" t="str">
            <v>Scatola neutra modello 100</v>
          </cell>
          <cell r="F1194" t="str">
            <v>BOBST 1260</v>
          </cell>
          <cell r="G1194">
            <v>2</v>
          </cell>
          <cell r="H1194" t="str">
            <v>No</v>
          </cell>
          <cell r="I1194" t="str">
            <v>Si</v>
          </cell>
          <cell r="J1194" t="str">
            <v>No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</row>
        <row r="1195">
          <cell r="A1195" t="str">
            <v>FU1193</v>
          </cell>
          <cell r="B1195" t="str">
            <v>Fusteltecnica</v>
          </cell>
          <cell r="C1195" t="str">
            <v>E08049</v>
          </cell>
          <cell r="D1195" t="str">
            <v>Gelcream</v>
          </cell>
          <cell r="E1195" t="str">
            <v xml:space="preserve">astucci abbinati </v>
          </cell>
          <cell r="F1195" t="str">
            <v>BOBST 1260</v>
          </cell>
          <cell r="G1195">
            <v>4</v>
          </cell>
          <cell r="H1195" t="str">
            <v>No</v>
          </cell>
          <cell r="I1195" t="str">
            <v>Si</v>
          </cell>
          <cell r="J1195" t="str">
            <v>No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</row>
        <row r="1196">
          <cell r="A1196" t="str">
            <v>FU1194</v>
          </cell>
          <cell r="B1196" t="str">
            <v>Fusteltecnica</v>
          </cell>
          <cell r="C1196" t="str">
            <v>R10649</v>
          </cell>
          <cell r="D1196" t="str">
            <v>Ilary</v>
          </cell>
          <cell r="E1196" t="str">
            <v>Astucci Mc kinley grandi</v>
          </cell>
          <cell r="F1196" t="str">
            <v>BOBST 104</v>
          </cell>
          <cell r="G1196">
            <v>4</v>
          </cell>
          <cell r="H1196" t="str">
            <v>Si</v>
          </cell>
          <cell r="I1196" t="str">
            <v>No</v>
          </cell>
          <cell r="J1196" t="str">
            <v>No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</row>
        <row r="1197">
          <cell r="A1197" t="str">
            <v>FU1195</v>
          </cell>
          <cell r="B1197" t="str">
            <v>Lasercom</v>
          </cell>
          <cell r="C1197" t="str">
            <v>Lomb910g</v>
          </cell>
          <cell r="D1197" t="str">
            <v>JBS</v>
          </cell>
          <cell r="E1197" t="str">
            <v>hype the detail cavallotti</v>
          </cell>
          <cell r="F1197" t="str">
            <v>BOBST 1260</v>
          </cell>
          <cell r="G1197">
            <v>8</v>
          </cell>
          <cell r="H1197" t="str">
            <v>No</v>
          </cell>
          <cell r="I1197" t="str">
            <v>Si</v>
          </cell>
          <cell r="J1197" t="str">
            <v>No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</row>
        <row r="1198">
          <cell r="A1198" t="str">
            <v>FU1196</v>
          </cell>
          <cell r="B1198" t="str">
            <v>Lasercom</v>
          </cell>
          <cell r="C1198" t="str">
            <v>Lomb911</v>
          </cell>
          <cell r="D1198" t="str">
            <v>Magazzini del Caffè</v>
          </cell>
          <cell r="E1198" t="str">
            <v>25 capsule a modo mio</v>
          </cell>
          <cell r="F1198" t="str">
            <v>BOBST 1260</v>
          </cell>
          <cell r="G1198">
            <v>4</v>
          </cell>
          <cell r="H1198" t="str">
            <v>No</v>
          </cell>
          <cell r="I1198" t="str">
            <v>Si</v>
          </cell>
          <cell r="J1198" t="str">
            <v>No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</row>
        <row r="1199">
          <cell r="A1199" t="str">
            <v>FU1197</v>
          </cell>
          <cell r="B1199" t="str">
            <v>Fusteltecnica</v>
          </cell>
          <cell r="C1199" t="str">
            <v>R10634</v>
          </cell>
          <cell r="D1199" t="str">
            <v>Gallo</v>
          </cell>
          <cell r="E1199" t="str">
            <v>Appendini</v>
          </cell>
          <cell r="F1199" t="str">
            <v>BOBST 1260</v>
          </cell>
          <cell r="G1199">
            <v>4</v>
          </cell>
          <cell r="H1199" t="str">
            <v>No</v>
          </cell>
          <cell r="I1199" t="str">
            <v>Si</v>
          </cell>
          <cell r="J1199" t="str">
            <v>No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</row>
        <row r="1200">
          <cell r="A1200" t="str">
            <v>FU1198</v>
          </cell>
          <cell r="B1200" t="str">
            <v>Fusteltecnica</v>
          </cell>
          <cell r="C1200" t="str">
            <v>E08075</v>
          </cell>
          <cell r="D1200" t="str">
            <v>Offel</v>
          </cell>
          <cell r="E1200" t="str">
            <v>Scatola centralini</v>
          </cell>
          <cell r="F1200" t="str">
            <v>BOBST 1260</v>
          </cell>
          <cell r="G1200">
            <v>4</v>
          </cell>
          <cell r="H1200" t="str">
            <v>No</v>
          </cell>
          <cell r="I1200" t="str">
            <v>Si</v>
          </cell>
          <cell r="J1200" t="str">
            <v>No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</row>
        <row r="1201">
          <cell r="A1201" t="str">
            <v>FU1199</v>
          </cell>
          <cell r="B1201" t="str">
            <v>Fusteltecnica</v>
          </cell>
          <cell r="C1201" t="str">
            <v>E08083</v>
          </cell>
          <cell r="D1201" t="str">
            <v>Pantytex</v>
          </cell>
          <cell r="E1201" t="str">
            <v>Desiree tirelle</v>
          </cell>
          <cell r="F1201" t="str">
            <v>BOBST 104</v>
          </cell>
          <cell r="G1201">
            <v>6</v>
          </cell>
          <cell r="H1201" t="str">
            <v>No</v>
          </cell>
          <cell r="I1201" t="str">
            <v>No</v>
          </cell>
          <cell r="J1201" t="str">
            <v>No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</row>
        <row r="1202">
          <cell r="A1202" t="str">
            <v>FU1200</v>
          </cell>
          <cell r="B1202" t="str">
            <v>Fusteltecnica</v>
          </cell>
          <cell r="C1202" t="str">
            <v>E07997</v>
          </cell>
          <cell r="D1202" t="str">
            <v>Quaranta</v>
          </cell>
          <cell r="E1202" t="str">
            <v>Stecche torrone 180g</v>
          </cell>
          <cell r="F1202" t="str">
            <v>BOBST 1260</v>
          </cell>
          <cell r="G1202">
            <v>3</v>
          </cell>
          <cell r="H1202" t="str">
            <v>No</v>
          </cell>
          <cell r="I1202" t="str">
            <v>Si</v>
          </cell>
          <cell r="J1202" t="str">
            <v>No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</row>
        <row r="1203">
          <cell r="A1203" t="str">
            <v>FU1201</v>
          </cell>
          <cell r="B1203" t="str">
            <v>Fusteltecnica</v>
          </cell>
          <cell r="C1203" t="str">
            <v>E08088</v>
          </cell>
          <cell r="D1203" t="str">
            <v>Lane mondial</v>
          </cell>
          <cell r="E1203" t="str">
            <v>Scatole modello 150</v>
          </cell>
          <cell r="F1203" t="str">
            <v>BOBST 1260</v>
          </cell>
          <cell r="G1203">
            <v>2</v>
          </cell>
          <cell r="H1203" t="str">
            <v>No</v>
          </cell>
          <cell r="I1203" t="str">
            <v>Si</v>
          </cell>
          <cell r="J1203" t="str">
            <v>No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</row>
        <row r="1204">
          <cell r="A1204" t="str">
            <v>FU1202</v>
          </cell>
          <cell r="B1204" t="str">
            <v>Fusteltecnica</v>
          </cell>
          <cell r="C1204" t="str">
            <v>e08080</v>
          </cell>
          <cell r="D1204" t="str">
            <v>Magazzini del Caffè</v>
          </cell>
          <cell r="E1204" t="str">
            <v>caffe italiano 20 caps a modo mio</v>
          </cell>
          <cell r="F1204" t="str">
            <v>BOBST 1260</v>
          </cell>
          <cell r="G1204">
            <v>4</v>
          </cell>
          <cell r="H1204" t="str">
            <v>No</v>
          </cell>
          <cell r="I1204" t="str">
            <v>Si</v>
          </cell>
          <cell r="J1204" t="str">
            <v>No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</row>
        <row r="1205">
          <cell r="A1205" t="str">
            <v>FU1203</v>
          </cell>
          <cell r="B1205" t="str">
            <v>Lasercom</v>
          </cell>
          <cell r="C1205" t="str">
            <v>Lomba910</v>
          </cell>
          <cell r="D1205" t="str">
            <v>Battaglio</v>
          </cell>
          <cell r="E1205" t="str">
            <v>Abbinato fasce e cavallotti</v>
          </cell>
          <cell r="F1205" t="str">
            <v>BOBST 104</v>
          </cell>
          <cell r="G1205">
            <v>13</v>
          </cell>
          <cell r="H1205" t="str">
            <v>No</v>
          </cell>
          <cell r="I1205" t="str">
            <v>No</v>
          </cell>
          <cell r="J1205" t="str">
            <v>No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</row>
        <row r="1206">
          <cell r="A1206" t="str">
            <v>FU1204</v>
          </cell>
          <cell r="B1206" t="str">
            <v>Lasercom</v>
          </cell>
          <cell r="C1206" t="str">
            <v>Lomba913</v>
          </cell>
          <cell r="D1206" t="str">
            <v>Gandola</v>
          </cell>
          <cell r="E1206" t="str">
            <v>Astucci lindt 2020</v>
          </cell>
          <cell r="F1206" t="str">
            <v>BOBST 1260</v>
          </cell>
          <cell r="G1206">
            <v>4</v>
          </cell>
          <cell r="H1206" t="str">
            <v>No</v>
          </cell>
          <cell r="I1206" t="str">
            <v>Si</v>
          </cell>
          <cell r="J1206" t="str">
            <v>No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</row>
        <row r="1207">
          <cell r="A1207" t="str">
            <v>FU1205</v>
          </cell>
          <cell r="B1207" t="str">
            <v>Lasercom</v>
          </cell>
          <cell r="C1207" t="str">
            <v>Lomba911</v>
          </cell>
          <cell r="D1207" t="str">
            <v>Battaglio</v>
          </cell>
          <cell r="E1207" t="str">
            <v>Scatole neutre uv</v>
          </cell>
          <cell r="F1207" t="str">
            <v>BOBST 1260</v>
          </cell>
          <cell r="G1207">
            <v>1</v>
          </cell>
          <cell r="H1207" t="str">
            <v>No</v>
          </cell>
          <cell r="I1207" t="str">
            <v>Si</v>
          </cell>
          <cell r="J1207" t="str">
            <v>No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</row>
        <row r="1208">
          <cell r="A1208" t="str">
            <v>FU1206</v>
          </cell>
          <cell r="B1208" t="str">
            <v>Fusteltecnica</v>
          </cell>
          <cell r="C1208" t="str">
            <v>E08130</v>
          </cell>
          <cell r="D1208" t="str">
            <v>Nuova Virgiliana</v>
          </cell>
          <cell r="E1208" t="str">
            <v>Astucci lei maxi</v>
          </cell>
          <cell r="F1208" t="str">
            <v>BOBST 1260</v>
          </cell>
          <cell r="G1208">
            <v>6</v>
          </cell>
          <cell r="H1208" t="str">
            <v>No</v>
          </cell>
          <cell r="I1208" t="str">
            <v>Si</v>
          </cell>
          <cell r="J1208" t="str">
            <v>No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</row>
        <row r="1209">
          <cell r="A1209" t="str">
            <v>FU1207</v>
          </cell>
          <cell r="B1209" t="str">
            <v>Lasercom</v>
          </cell>
          <cell r="C1209" t="str">
            <v>Lomba250</v>
          </cell>
          <cell r="D1209" t="str">
            <v>Fortis</v>
          </cell>
          <cell r="E1209" t="str">
            <v>Bauletti 143</v>
          </cell>
          <cell r="F1209" t="str">
            <v>BOBST 1260</v>
          </cell>
          <cell r="G1209">
            <v>2</v>
          </cell>
          <cell r="H1209" t="str">
            <v>No</v>
          </cell>
          <cell r="I1209" t="str">
            <v>Si</v>
          </cell>
          <cell r="J1209" t="str">
            <v>No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</row>
        <row r="1210">
          <cell r="A1210" t="str">
            <v>FU1208</v>
          </cell>
          <cell r="B1210" t="str">
            <v>Fusteltecnica</v>
          </cell>
          <cell r="C1210" t="str">
            <v>A06120</v>
          </cell>
          <cell r="D1210" t="str">
            <v>Pantytex</v>
          </cell>
          <cell r="E1210" t="str">
            <v>Astucci wibra 2020</v>
          </cell>
          <cell r="F1210" t="str">
            <v>BOBST 104</v>
          </cell>
          <cell r="G1210">
            <v>10</v>
          </cell>
          <cell r="H1210" t="str">
            <v>No</v>
          </cell>
          <cell r="I1210" t="str">
            <v>No</v>
          </cell>
          <cell r="J1210" t="str">
            <v>No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</row>
        <row r="1211">
          <cell r="A1211" t="str">
            <v>FU1209</v>
          </cell>
          <cell r="B1211" t="str">
            <v>Lasercom</v>
          </cell>
          <cell r="C1211" t="str">
            <v>Lomba912</v>
          </cell>
          <cell r="D1211" t="str">
            <v>gandola</v>
          </cell>
          <cell r="E1211" t="str">
            <v>Espositori lindt 2020</v>
          </cell>
          <cell r="F1211" t="str">
            <v>BOBST 1260</v>
          </cell>
          <cell r="G1211">
            <v>1</v>
          </cell>
          <cell r="H1211" t="str">
            <v>No</v>
          </cell>
          <cell r="I1211" t="str">
            <v>Si</v>
          </cell>
          <cell r="J1211" t="str">
            <v>No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</row>
        <row r="1212">
          <cell r="A1212" t="str">
            <v>FU1210</v>
          </cell>
          <cell r="B1212" t="str">
            <v>Lasercom</v>
          </cell>
          <cell r="C1212" t="str">
            <v>Lomb915</v>
          </cell>
          <cell r="D1212" t="str">
            <v>Isa</v>
          </cell>
          <cell r="E1212" t="str">
            <v>Astucci DSQ h95</v>
          </cell>
          <cell r="F1212" t="str">
            <v>BOBST 1260</v>
          </cell>
          <cell r="G1212">
            <v>2</v>
          </cell>
          <cell r="H1212" t="str">
            <v>No</v>
          </cell>
          <cell r="I1212" t="str">
            <v>Si</v>
          </cell>
          <cell r="J1212" t="str">
            <v>No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</row>
        <row r="1213">
          <cell r="A1213" t="str">
            <v>FU1211</v>
          </cell>
          <cell r="B1213" t="str">
            <v>Fusteltecnica</v>
          </cell>
          <cell r="C1213" t="str">
            <v>E08153</v>
          </cell>
          <cell r="D1213" t="str">
            <v>Quaranta</v>
          </cell>
          <cell r="E1213" t="str">
            <v>Coni praline</v>
          </cell>
          <cell r="F1213" t="str">
            <v>BOBST 104</v>
          </cell>
          <cell r="G1213">
            <v>6</v>
          </cell>
          <cell r="H1213" t="str">
            <v>No</v>
          </cell>
          <cell r="I1213" t="str">
            <v>No</v>
          </cell>
          <cell r="J1213" t="str">
            <v>No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</row>
        <row r="1214">
          <cell r="A1214" t="str">
            <v>FU1212</v>
          </cell>
          <cell r="B1214" t="str">
            <v>Fusteltecnica</v>
          </cell>
          <cell r="C1214" t="str">
            <v>E08122</v>
          </cell>
          <cell r="D1214" t="str">
            <v>Alfagel</v>
          </cell>
          <cell r="E1214" t="str">
            <v>Scatola Natale Piccola</v>
          </cell>
          <cell r="F1214" t="str">
            <v>BOBST 1260</v>
          </cell>
          <cell r="G1214">
            <v>2</v>
          </cell>
          <cell r="H1214" t="str">
            <v>No</v>
          </cell>
          <cell r="I1214" t="str">
            <v>Si</v>
          </cell>
          <cell r="J1214" t="str">
            <v>No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</row>
        <row r="1215">
          <cell r="A1215" t="str">
            <v>FU1213</v>
          </cell>
          <cell r="B1215" t="str">
            <v>Fusteltecnica</v>
          </cell>
          <cell r="C1215" t="str">
            <v>A06121</v>
          </cell>
          <cell r="D1215" t="str">
            <v>Pantytex</v>
          </cell>
          <cell r="E1215" t="str">
            <v>Appendini wibra 2020</v>
          </cell>
          <cell r="F1215" t="str">
            <v>BOBST 104</v>
          </cell>
          <cell r="G1215">
            <v>6</v>
          </cell>
          <cell r="H1215" t="str">
            <v>Si</v>
          </cell>
          <cell r="I1215" t="str">
            <v>No</v>
          </cell>
          <cell r="J1215" t="str">
            <v>No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</row>
        <row r="1216">
          <cell r="A1216" t="str">
            <v>FU1214</v>
          </cell>
          <cell r="B1216" t="str">
            <v>Fusteltecnica</v>
          </cell>
          <cell r="C1216" t="str">
            <v>R11308</v>
          </cell>
          <cell r="D1216" t="str">
            <v>Doringel</v>
          </cell>
          <cell r="E1216" t="str">
            <v>Astucci 5 gelati 2021</v>
          </cell>
          <cell r="F1216" t="str">
            <v>BOBST 1260</v>
          </cell>
          <cell r="G1216">
            <v>4</v>
          </cell>
          <cell r="H1216" t="str">
            <v>No</v>
          </cell>
          <cell r="I1216" t="str">
            <v>Si</v>
          </cell>
          <cell r="J1216" t="str">
            <v>No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</row>
        <row r="1217">
          <cell r="A1217" t="str">
            <v>FU1215</v>
          </cell>
          <cell r="B1217" t="str">
            <v>Fusteltecnica</v>
          </cell>
          <cell r="C1217" t="str">
            <v>E08178</v>
          </cell>
          <cell r="D1217" t="str">
            <v>Quaranta</v>
          </cell>
          <cell r="E1217" t="str">
            <v>Cavallotti 2020</v>
          </cell>
          <cell r="F1217" t="str">
            <v>BOBST 1260</v>
          </cell>
          <cell r="G1217">
            <v>12</v>
          </cell>
          <cell r="H1217" t="str">
            <v>No</v>
          </cell>
          <cell r="I1217" t="str">
            <v>Si</v>
          </cell>
          <cell r="J1217" t="str">
            <v>No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</row>
        <row r="1218">
          <cell r="A1218" t="str">
            <v>FU1216</v>
          </cell>
          <cell r="B1218" t="str">
            <v>Lasercom</v>
          </cell>
          <cell r="C1218" t="str">
            <v>Lomb905</v>
          </cell>
          <cell r="D1218" t="str">
            <v>Feldi</v>
          </cell>
          <cell r="E1218" t="str">
            <v>Interni tesmed</v>
          </cell>
          <cell r="F1218" t="str">
            <v>BOBST 1260</v>
          </cell>
          <cell r="G1218">
            <v>2</v>
          </cell>
          <cell r="H1218" t="str">
            <v>No</v>
          </cell>
          <cell r="I1218" t="str">
            <v>Si</v>
          </cell>
          <cell r="J1218" t="str">
            <v>No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</row>
        <row r="1219">
          <cell r="A1219" t="str">
            <v>FU1217</v>
          </cell>
          <cell r="B1219" t="str">
            <v>Fusteltecnica</v>
          </cell>
          <cell r="C1219" t="str">
            <v>E08199</v>
          </cell>
          <cell r="D1219" t="str">
            <v>Quaranta</v>
          </cell>
          <cell r="E1219" t="str">
            <v>Astucci 200 g eurospin</v>
          </cell>
          <cell r="F1219" t="str">
            <v>BOBST 104</v>
          </cell>
          <cell r="G1219">
            <v>8</v>
          </cell>
          <cell r="H1219" t="str">
            <v>Si</v>
          </cell>
          <cell r="I1219" t="str">
            <v>No</v>
          </cell>
          <cell r="J1219" t="str">
            <v>No</v>
          </cell>
          <cell r="K1219">
            <v>0</v>
          </cell>
          <cell r="L1219" t="str">
            <v>Si</v>
          </cell>
          <cell r="M1219" t="str">
            <v>DIana X80</v>
          </cell>
          <cell r="N1219" t="str">
            <v>Lineare</v>
          </cell>
        </row>
        <row r="1220">
          <cell r="A1220" t="str">
            <v>FU1218</v>
          </cell>
          <cell r="B1220" t="str">
            <v>Lasercom</v>
          </cell>
          <cell r="C1220" t="str">
            <v>Lomba918</v>
          </cell>
          <cell r="D1220" t="str">
            <v>Gandola</v>
          </cell>
          <cell r="E1220" t="str">
            <v>Espositore alce nero biscotti</v>
          </cell>
          <cell r="F1220" t="str">
            <v>BOBST 1260</v>
          </cell>
          <cell r="G1220">
            <v>1</v>
          </cell>
          <cell r="H1220" t="str">
            <v>No</v>
          </cell>
          <cell r="I1220" t="str">
            <v>Si</v>
          </cell>
          <cell r="J1220" t="str">
            <v>No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</row>
        <row r="1221">
          <cell r="A1221" t="str">
            <v>FU1219</v>
          </cell>
          <cell r="B1221" t="str">
            <v>Lasercom</v>
          </cell>
          <cell r="C1221" t="str">
            <v>Lomba914</v>
          </cell>
          <cell r="D1221" t="str">
            <v>Necos</v>
          </cell>
          <cell r="E1221" t="str">
            <v>Astucci outer "ICONIC"</v>
          </cell>
          <cell r="F1221" t="str">
            <v>BOBST 1260</v>
          </cell>
          <cell r="G1221">
            <v>4</v>
          </cell>
          <cell r="H1221" t="str">
            <v>No</v>
          </cell>
          <cell r="I1221" t="str">
            <v>Si</v>
          </cell>
          <cell r="J1221" t="str">
            <v>No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</row>
        <row r="1222">
          <cell r="A1222" t="str">
            <v>FU1220</v>
          </cell>
          <cell r="B1222" t="str">
            <v>Lasercom</v>
          </cell>
          <cell r="C1222" t="str">
            <v>Lom920fc</v>
          </cell>
          <cell r="D1222" t="str">
            <v>Cinturificio Bresciano</v>
          </cell>
          <cell r="E1222" t="str">
            <v>Scatola neutra h55</v>
          </cell>
          <cell r="F1222" t="str">
            <v>BOBST 1260</v>
          </cell>
          <cell r="G1222">
            <v>2</v>
          </cell>
          <cell r="H1222" t="str">
            <v>No</v>
          </cell>
          <cell r="I1222" t="str">
            <v>Si</v>
          </cell>
          <cell r="J1222" t="str">
            <v>No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</row>
        <row r="1223">
          <cell r="A1223" t="str">
            <v>FU1221</v>
          </cell>
          <cell r="B1223" t="str">
            <v>Lasercom</v>
          </cell>
          <cell r="C1223" t="str">
            <v>Lomba917</v>
          </cell>
          <cell r="D1223" t="str">
            <v>Pantytex</v>
          </cell>
          <cell r="E1223" t="str">
            <v>Inserti Desiree gambaletto abbinati</v>
          </cell>
          <cell r="F1223" t="str">
            <v>BOBST 104</v>
          </cell>
          <cell r="G1223">
            <v>7</v>
          </cell>
          <cell r="H1223" t="str">
            <v>No</v>
          </cell>
          <cell r="I1223" t="str">
            <v>No</v>
          </cell>
          <cell r="J1223" t="str">
            <v>No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</row>
        <row r="1224">
          <cell r="A1224" t="str">
            <v>FU1222</v>
          </cell>
          <cell r="B1224" t="str">
            <v>Lasercom</v>
          </cell>
          <cell r="C1224" t="str">
            <v>Lomba916</v>
          </cell>
          <cell r="D1224" t="str">
            <v>Girardi</v>
          </cell>
          <cell r="E1224" t="str">
            <v>Scatole h100 coperchi</v>
          </cell>
          <cell r="F1224" t="str">
            <v>BOBST 1260</v>
          </cell>
          <cell r="G1224">
            <v>2</v>
          </cell>
          <cell r="H1224" t="str">
            <v>Si</v>
          </cell>
          <cell r="I1224" t="str">
            <v>Si</v>
          </cell>
          <cell r="J1224" t="str">
            <v>No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</row>
        <row r="1225">
          <cell r="A1225" t="str">
            <v>FU1223</v>
          </cell>
          <cell r="B1225" t="str">
            <v>Lasercom</v>
          </cell>
          <cell r="C1225" t="str">
            <v>Lomba922</v>
          </cell>
          <cell r="D1225" t="str">
            <v>Battaglio</v>
          </cell>
          <cell r="E1225" t="str">
            <v>Fascette piarini</v>
          </cell>
          <cell r="F1225" t="str">
            <v>BOBST 1260</v>
          </cell>
          <cell r="G1225">
            <v>8</v>
          </cell>
          <cell r="H1225" t="str">
            <v>No</v>
          </cell>
          <cell r="I1225" t="str">
            <v>Si</v>
          </cell>
          <cell r="J1225" t="str">
            <v>No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</row>
        <row r="1226">
          <cell r="A1226" t="str">
            <v>FU1224</v>
          </cell>
          <cell r="B1226" t="str">
            <v>Lasercom</v>
          </cell>
          <cell r="C1226" t="str">
            <v>Lomba921</v>
          </cell>
          <cell r="D1226" t="str">
            <v>Necos</v>
          </cell>
          <cell r="E1226" t="str">
            <v>Astucci neutri</v>
          </cell>
          <cell r="F1226" t="str">
            <v>BOBST 1260</v>
          </cell>
          <cell r="G1226">
            <v>4</v>
          </cell>
          <cell r="H1226" t="str">
            <v>No</v>
          </cell>
          <cell r="I1226" t="str">
            <v>Si</v>
          </cell>
          <cell r="J1226" t="str">
            <v>No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</row>
        <row r="1227">
          <cell r="A1227" t="str">
            <v>FU1225</v>
          </cell>
          <cell r="B1227" t="str">
            <v>Lasercom</v>
          </cell>
          <cell r="C1227" t="str">
            <v>Lomb899G</v>
          </cell>
          <cell r="D1227" t="str">
            <v>Rcm</v>
          </cell>
          <cell r="E1227" t="str">
            <v>Astucci mon shampoing</v>
          </cell>
          <cell r="F1227" t="str">
            <v>BOBST 104</v>
          </cell>
          <cell r="G1227">
            <v>3</v>
          </cell>
          <cell r="H1227" t="str">
            <v>No</v>
          </cell>
          <cell r="I1227" t="str">
            <v>No</v>
          </cell>
          <cell r="J1227" t="str">
            <v>No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</row>
        <row r="1228">
          <cell r="A1228" t="str">
            <v>FU1226</v>
          </cell>
          <cell r="B1228" t="str">
            <v>Fusteltecnica</v>
          </cell>
          <cell r="C1228" t="str">
            <v>R09976</v>
          </cell>
          <cell r="D1228" t="str">
            <v>Sacma</v>
          </cell>
          <cell r="E1228" t="str">
            <v>Maniglie tonde 2019</v>
          </cell>
          <cell r="F1228" t="str">
            <v>BOBST 104</v>
          </cell>
          <cell r="G1228">
            <v>24</v>
          </cell>
          <cell r="H1228" t="str">
            <v>Si</v>
          </cell>
          <cell r="I1228" t="str">
            <v>No</v>
          </cell>
          <cell r="J1228" t="str">
            <v>No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</row>
        <row r="1229">
          <cell r="A1229" t="str">
            <v>FU1227</v>
          </cell>
          <cell r="B1229" t="str">
            <v>Fusteltecnica</v>
          </cell>
          <cell r="C1229" t="str">
            <v>E08254</v>
          </cell>
          <cell r="D1229" t="str">
            <v>Nero nobile</v>
          </cell>
          <cell r="E1229" t="str">
            <v>Astucci Iper</v>
          </cell>
          <cell r="F1229" t="str">
            <v>BOBST 1260</v>
          </cell>
          <cell r="G1229">
            <v>4</v>
          </cell>
          <cell r="H1229" t="str">
            <v>No</v>
          </cell>
          <cell r="I1229" t="str">
            <v>Si</v>
          </cell>
          <cell r="J1229" t="str">
            <v>No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</row>
        <row r="1230">
          <cell r="A1230" t="str">
            <v>FU1228</v>
          </cell>
          <cell r="B1230" t="str">
            <v>Lasercom</v>
          </cell>
          <cell r="C1230" t="str">
            <v>Lomba919</v>
          </cell>
          <cell r="D1230" t="str">
            <v>Rcm</v>
          </cell>
          <cell r="E1230" t="str">
            <v>Mon Shampoing</v>
          </cell>
          <cell r="F1230" t="str">
            <v>BOBST 1260</v>
          </cell>
          <cell r="G1230">
            <v>9</v>
          </cell>
          <cell r="H1230" t="str">
            <v>No</v>
          </cell>
          <cell r="I1230" t="str">
            <v>Si</v>
          </cell>
          <cell r="J1230" t="str">
            <v>No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</row>
        <row r="1231">
          <cell r="A1231" t="str">
            <v>FU1229</v>
          </cell>
          <cell r="B1231" t="str">
            <v>Lasercom</v>
          </cell>
          <cell r="C1231" t="str">
            <v>Lomba925</v>
          </cell>
          <cell r="D1231" t="str">
            <v>Ghirardini</v>
          </cell>
          <cell r="E1231" t="str">
            <v>Scatola panettone</v>
          </cell>
          <cell r="F1231" t="str">
            <v>BOBST 104</v>
          </cell>
          <cell r="G1231">
            <v>2</v>
          </cell>
          <cell r="H1231" t="str">
            <v>No</v>
          </cell>
          <cell r="I1231" t="str">
            <v>No</v>
          </cell>
          <cell r="J1231" t="str">
            <v>No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</row>
        <row r="1232">
          <cell r="A1232" t="str">
            <v>FU1230</v>
          </cell>
          <cell r="B1232" t="str">
            <v>Fusteltecnica</v>
          </cell>
          <cell r="C1232" t="str">
            <v>E08259</v>
          </cell>
          <cell r="D1232" t="str">
            <v>Tracy</v>
          </cell>
          <cell r="E1232" t="str">
            <v>Appendini orchestra 2020</v>
          </cell>
          <cell r="F1232" t="str">
            <v>BOBST 104</v>
          </cell>
          <cell r="G1232">
            <v>6</v>
          </cell>
          <cell r="H1232" t="str">
            <v>Si</v>
          </cell>
          <cell r="I1232" t="str">
            <v>No</v>
          </cell>
          <cell r="J1232" t="str">
            <v>No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</row>
        <row r="1233">
          <cell r="A1233" t="str">
            <v>FU1231</v>
          </cell>
          <cell r="B1233" t="str">
            <v>Lasercom</v>
          </cell>
          <cell r="C1233" t="str">
            <v>Lomba924</v>
          </cell>
          <cell r="D1233" t="str">
            <v>Rcm</v>
          </cell>
          <cell r="E1233" t="str">
            <v>Box structura</v>
          </cell>
          <cell r="F1233" t="str">
            <v>BOBST 1260</v>
          </cell>
          <cell r="G1233">
            <v>2</v>
          </cell>
          <cell r="H1233" t="str">
            <v>No</v>
          </cell>
          <cell r="I1233" t="str">
            <v>Si</v>
          </cell>
          <cell r="J1233" t="str">
            <v>No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</row>
        <row r="1234">
          <cell r="A1234" t="str">
            <v>FU1232</v>
          </cell>
          <cell r="B1234" t="str">
            <v>Lasercom</v>
          </cell>
          <cell r="C1234" t="str">
            <v>Lomba923</v>
          </cell>
          <cell r="D1234" t="str">
            <v>Nero nobile</v>
          </cell>
          <cell r="E1234" t="str">
            <v>Astucci FS0236</v>
          </cell>
          <cell r="F1234" t="str">
            <v>BOBST 1260</v>
          </cell>
          <cell r="G1234">
            <v>4</v>
          </cell>
          <cell r="H1234" t="str">
            <v>No</v>
          </cell>
          <cell r="I1234" t="str">
            <v>Si</v>
          </cell>
          <cell r="J1234" t="str">
            <v>No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</row>
        <row r="1235">
          <cell r="A1235" t="str">
            <v>FU1233</v>
          </cell>
          <cell r="B1235" t="str">
            <v>Fusteltecnica</v>
          </cell>
          <cell r="C1235" t="str">
            <v>E08352</v>
          </cell>
          <cell r="D1235" t="str">
            <v>Gizeta</v>
          </cell>
          <cell r="E1235" t="str">
            <v>Coperchio Borghi</v>
          </cell>
          <cell r="F1235" t="str">
            <v>BOBST 1260</v>
          </cell>
          <cell r="G1235">
            <v>1</v>
          </cell>
          <cell r="H1235" t="str">
            <v>No</v>
          </cell>
          <cell r="I1235" t="str">
            <v>Si</v>
          </cell>
          <cell r="J1235" t="str">
            <v>No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</row>
        <row r="1236">
          <cell r="A1236" t="str">
            <v>FU1234</v>
          </cell>
          <cell r="B1236" t="str">
            <v>Lasercom</v>
          </cell>
          <cell r="C1236" t="str">
            <v>Lomba928</v>
          </cell>
          <cell r="D1236" t="str">
            <v>Nero nobile</v>
          </cell>
          <cell r="E1236" t="str">
            <v>Astucci Dersut</v>
          </cell>
          <cell r="F1236" t="str">
            <v>BOBST 1260</v>
          </cell>
          <cell r="G1236">
            <v>2</v>
          </cell>
          <cell r="H1236" t="str">
            <v>No</v>
          </cell>
          <cell r="I1236" t="str">
            <v>Si</v>
          </cell>
          <cell r="J1236" t="str">
            <v>No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</row>
        <row r="1237">
          <cell r="A1237" t="str">
            <v>FU1235</v>
          </cell>
          <cell r="B1237" t="str">
            <v>Fusteltecnica</v>
          </cell>
          <cell r="C1237" t="str">
            <v>M09969</v>
          </cell>
          <cell r="D1237" t="str">
            <v>Nero nobile</v>
          </cell>
          <cell r="E1237" t="str">
            <v>Astucci FS0384</v>
          </cell>
          <cell r="F1237" t="str">
            <v>BOBST 1260</v>
          </cell>
          <cell r="G1237">
            <v>4</v>
          </cell>
          <cell r="H1237" t="str">
            <v>Si</v>
          </cell>
          <cell r="I1237" t="str">
            <v>Si</v>
          </cell>
          <cell r="J1237" t="str">
            <v>No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</row>
        <row r="1238">
          <cell r="A1238" t="str">
            <v>FU1236</v>
          </cell>
          <cell r="B1238" t="str">
            <v>Fusteltecnica</v>
          </cell>
          <cell r="C1238" t="str">
            <v>M10111</v>
          </cell>
          <cell r="D1238" t="str">
            <v>Rcm</v>
          </cell>
          <cell r="E1238" t="str">
            <v>Astuccio Linange</v>
          </cell>
          <cell r="F1238" t="str">
            <v>BOBST 104</v>
          </cell>
          <cell r="G1238">
            <v>2</v>
          </cell>
          <cell r="H1238" t="str">
            <v>No</v>
          </cell>
          <cell r="I1238" t="str">
            <v>No</v>
          </cell>
          <cell r="J1238" t="str">
            <v>No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</row>
        <row r="1239">
          <cell r="A1239" t="str">
            <v>FU1237</v>
          </cell>
          <cell r="B1239" t="str">
            <v>Fusteltecnica</v>
          </cell>
          <cell r="C1239" t="str">
            <v>B01290</v>
          </cell>
          <cell r="D1239" t="str">
            <v>Rcm</v>
          </cell>
          <cell r="E1239" t="str">
            <v>Astucci 13 nee</v>
          </cell>
          <cell r="F1239" t="str">
            <v>BOBST 104</v>
          </cell>
          <cell r="G1239">
            <v>4</v>
          </cell>
          <cell r="H1239" t="str">
            <v>No</v>
          </cell>
          <cell r="I1239" t="str">
            <v>No</v>
          </cell>
          <cell r="J1239" t="str">
            <v>No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</row>
        <row r="1240">
          <cell r="A1240" t="str">
            <v>FU1238</v>
          </cell>
          <cell r="B1240" t="str">
            <v>Fusteltecnica</v>
          </cell>
          <cell r="C1240" t="str">
            <v>E08378</v>
          </cell>
          <cell r="D1240" t="str">
            <v>Pantytex</v>
          </cell>
          <cell r="E1240" t="str">
            <v>Espositore Ellen oui</v>
          </cell>
          <cell r="F1240" t="str">
            <v>BOBST 1260</v>
          </cell>
          <cell r="G1240">
            <v>1</v>
          </cell>
          <cell r="H1240" t="str">
            <v>No</v>
          </cell>
          <cell r="I1240" t="str">
            <v>Si</v>
          </cell>
          <cell r="J1240" t="str">
            <v>No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</row>
        <row r="1241">
          <cell r="A1241" t="str">
            <v>FU1239</v>
          </cell>
          <cell r="B1241" t="str">
            <v>Lasercom</v>
          </cell>
          <cell r="C1241" t="str">
            <v>Lomb933N</v>
          </cell>
          <cell r="D1241" t="str">
            <v>Vegas</v>
          </cell>
          <cell r="E1241" t="str">
            <v>Blister Scaldacollo</v>
          </cell>
          <cell r="F1241" t="str">
            <v>BOBST 1260</v>
          </cell>
          <cell r="G1241">
            <v>2</v>
          </cell>
          <cell r="H1241" t="str">
            <v>No</v>
          </cell>
          <cell r="I1241" t="str">
            <v>Si</v>
          </cell>
          <cell r="J1241" t="str">
            <v>No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</row>
        <row r="1242">
          <cell r="A1242" t="str">
            <v>FU1240</v>
          </cell>
          <cell r="B1242" t="str">
            <v>Fusteltecnica</v>
          </cell>
          <cell r="C1242" t="str">
            <v>E08385</v>
          </cell>
          <cell r="D1242" t="str">
            <v>CHS</v>
          </cell>
          <cell r="E1242" t="str">
            <v>Pettini divisori</v>
          </cell>
          <cell r="F1242" t="str">
            <v>BOBST 104</v>
          </cell>
          <cell r="G1242">
            <v>8</v>
          </cell>
          <cell r="H1242" t="str">
            <v>Si</v>
          </cell>
          <cell r="I1242" t="str">
            <v>No</v>
          </cell>
          <cell r="J1242" t="str">
            <v>No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</row>
        <row r="1243">
          <cell r="A1243" t="str">
            <v>FU1241</v>
          </cell>
          <cell r="B1243" t="str">
            <v>Lasercom</v>
          </cell>
          <cell r="C1243" t="str">
            <v>Lomba932g</v>
          </cell>
          <cell r="D1243" t="str">
            <v>Battaglio</v>
          </cell>
          <cell r="E1243" t="str">
            <v>Solette abbinate</v>
          </cell>
          <cell r="F1243" t="str">
            <v>BOBST 104</v>
          </cell>
          <cell r="G1243">
            <v>8</v>
          </cell>
          <cell r="H1243" t="str">
            <v>No</v>
          </cell>
          <cell r="I1243" t="str">
            <v>No</v>
          </cell>
          <cell r="J1243" t="str">
            <v>No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</row>
        <row r="1244">
          <cell r="A1244" t="str">
            <v>FU1242</v>
          </cell>
          <cell r="B1244" t="str">
            <v>Fusteltecnica</v>
          </cell>
          <cell r="C1244" t="str">
            <v>E08401</v>
          </cell>
          <cell r="D1244" t="str">
            <v>Cosmai</v>
          </cell>
          <cell r="E1244" t="str">
            <v>Astucci box microonda</v>
          </cell>
          <cell r="F1244" t="str">
            <v>BOBST 1260</v>
          </cell>
          <cell r="G1244">
            <v>2</v>
          </cell>
          <cell r="H1244" t="str">
            <v>No</v>
          </cell>
          <cell r="I1244" t="str">
            <v>Si</v>
          </cell>
          <cell r="J1244" t="str">
            <v>No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</row>
        <row r="1245">
          <cell r="A1245" t="str">
            <v>FU1243</v>
          </cell>
          <cell r="B1245" t="str">
            <v>Lasercom</v>
          </cell>
          <cell r="C1245" t="str">
            <v>Lomba937</v>
          </cell>
          <cell r="D1245" t="str">
            <v>Lane mondial</v>
          </cell>
          <cell r="E1245" t="str">
            <v>Scatola piccola</v>
          </cell>
          <cell r="F1245" t="str">
            <v>BOBST 1260</v>
          </cell>
          <cell r="G1245">
            <v>1</v>
          </cell>
          <cell r="H1245" t="str">
            <v>No</v>
          </cell>
          <cell r="I1245" t="str">
            <v>Si</v>
          </cell>
          <cell r="J1245" t="str">
            <v>No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</row>
        <row r="1246">
          <cell r="A1246" t="str">
            <v>FU1244</v>
          </cell>
          <cell r="B1246" t="str">
            <v>Fusteltecnica</v>
          </cell>
          <cell r="C1246" t="str">
            <v>E09170</v>
          </cell>
          <cell r="D1246" t="str">
            <v>Rcm</v>
          </cell>
          <cell r="E1246" t="str">
            <v>Astucci 2 Mascara</v>
          </cell>
          <cell r="F1246" t="str">
            <v>BOBST 1260</v>
          </cell>
          <cell r="G1246">
            <v>2</v>
          </cell>
          <cell r="H1246" t="str">
            <v>No</v>
          </cell>
          <cell r="I1246" t="str">
            <v>Si</v>
          </cell>
          <cell r="J1246" t="str">
            <v>No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</row>
        <row r="1247">
          <cell r="A1247" t="str">
            <v>FU1245</v>
          </cell>
          <cell r="B1247" t="str">
            <v>Fusteltecnica</v>
          </cell>
          <cell r="C1247" t="str">
            <v>E08391</v>
          </cell>
          <cell r="D1247" t="str">
            <v>Magazzini del Caffè</v>
          </cell>
          <cell r="E1247" t="str">
            <v>Astucci 10 caps casadonino</v>
          </cell>
          <cell r="F1247" t="str">
            <v>BOBST 104</v>
          </cell>
          <cell r="G1247">
            <v>9</v>
          </cell>
          <cell r="H1247" t="str">
            <v>Si</v>
          </cell>
          <cell r="I1247" t="str">
            <v>No</v>
          </cell>
          <cell r="J1247" t="str">
            <v>No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</row>
        <row r="1248">
          <cell r="A1248" t="str">
            <v>FU1246</v>
          </cell>
          <cell r="B1248" t="str">
            <v>Lasercom</v>
          </cell>
          <cell r="C1248" t="str">
            <v>Lomba934</v>
          </cell>
          <cell r="D1248" t="str">
            <v>Rcm</v>
          </cell>
          <cell r="E1248" t="str">
            <v>Astucci 58 nee</v>
          </cell>
          <cell r="F1248" t="str">
            <v>BOBST 104</v>
          </cell>
          <cell r="G1248">
            <v>6</v>
          </cell>
          <cell r="H1248" t="str">
            <v>No</v>
          </cell>
          <cell r="I1248" t="str">
            <v>No</v>
          </cell>
          <cell r="J1248" t="str">
            <v>No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</row>
        <row r="1249">
          <cell r="A1249" t="str">
            <v>FU1247</v>
          </cell>
          <cell r="B1249" t="str">
            <v>Fusteltecnica</v>
          </cell>
          <cell r="C1249" t="str">
            <v>E08402</v>
          </cell>
          <cell r="D1249" t="str">
            <v>Rcm</v>
          </cell>
          <cell r="E1249" t="str">
            <v>Astucci 54 nee</v>
          </cell>
          <cell r="F1249" t="str">
            <v>BOBST 104</v>
          </cell>
          <cell r="G1249">
            <v>6</v>
          </cell>
          <cell r="H1249" t="str">
            <v>No</v>
          </cell>
          <cell r="I1249" t="str">
            <v>No</v>
          </cell>
          <cell r="J1249" t="str">
            <v>No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</row>
        <row r="1250">
          <cell r="A1250" t="str">
            <v>FU1248</v>
          </cell>
          <cell r="B1250" t="str">
            <v>Lasercom</v>
          </cell>
          <cell r="C1250" t="str">
            <v>Lomb935N</v>
          </cell>
          <cell r="D1250" t="str">
            <v>Battaglio</v>
          </cell>
          <cell r="E1250" t="str">
            <v>Abbinato 3 orsi</v>
          </cell>
          <cell r="F1250" t="str">
            <v>BOBST 104</v>
          </cell>
          <cell r="G1250">
            <v>12</v>
          </cell>
          <cell r="H1250" t="str">
            <v>No</v>
          </cell>
          <cell r="I1250" t="str">
            <v>No</v>
          </cell>
          <cell r="J1250" t="str">
            <v>No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</row>
        <row r="1251">
          <cell r="A1251" t="str">
            <v>FU1249</v>
          </cell>
          <cell r="B1251" t="str">
            <v>Fusteltecnica</v>
          </cell>
          <cell r="C1251" t="str">
            <v>E08425</v>
          </cell>
          <cell r="D1251" t="str">
            <v>Feldi</v>
          </cell>
          <cell r="E1251" t="str">
            <v>Scatole tesmed bianche 2021</v>
          </cell>
          <cell r="F1251" t="str">
            <v>BOBST 1260</v>
          </cell>
          <cell r="G1251">
            <v>2</v>
          </cell>
          <cell r="H1251" t="str">
            <v>No</v>
          </cell>
          <cell r="I1251" t="str">
            <v>Si</v>
          </cell>
          <cell r="J1251" t="str">
            <v>No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</row>
        <row r="1252">
          <cell r="A1252" t="str">
            <v>FU1250</v>
          </cell>
          <cell r="B1252" t="str">
            <v>Fusteltecnica</v>
          </cell>
          <cell r="C1252" t="str">
            <v>E08450</v>
          </cell>
          <cell r="D1252" t="str">
            <v>Pantytex</v>
          </cell>
          <cell r="E1252" t="str">
            <v>Astucci DM 2021</v>
          </cell>
          <cell r="F1252" t="str">
            <v>BOBST 1260</v>
          </cell>
          <cell r="G1252">
            <v>8</v>
          </cell>
          <cell r="H1252" t="str">
            <v>Si</v>
          </cell>
          <cell r="I1252" t="str">
            <v>Si</v>
          </cell>
          <cell r="J1252" t="str">
            <v>No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</row>
        <row r="1253">
          <cell r="A1253" t="str">
            <v>FU1251</v>
          </cell>
          <cell r="B1253" t="str">
            <v>Fusteltecnica</v>
          </cell>
          <cell r="C1253" t="str">
            <v>R11194</v>
          </cell>
          <cell r="D1253" t="str">
            <v>Rcm</v>
          </cell>
          <cell r="E1253" t="str">
            <v>Astuccio 7 monshampoing</v>
          </cell>
          <cell r="F1253" t="str">
            <v>BOBST 1260</v>
          </cell>
          <cell r="G1253">
            <v>4</v>
          </cell>
          <cell r="H1253" t="str">
            <v>No</v>
          </cell>
          <cell r="I1253" t="str">
            <v>Si</v>
          </cell>
          <cell r="J1253" t="str">
            <v>No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</row>
        <row r="1254">
          <cell r="A1254" t="str">
            <v>FU1252</v>
          </cell>
          <cell r="B1254" t="str">
            <v>Fusteltecnica</v>
          </cell>
          <cell r="C1254" t="str">
            <v>E08523</v>
          </cell>
          <cell r="D1254" t="str">
            <v>Girardi</v>
          </cell>
          <cell r="E1254" t="str">
            <v>Scatole abbinata h70</v>
          </cell>
          <cell r="F1254" t="str">
            <v>BOBST 104</v>
          </cell>
          <cell r="G1254">
            <v>4</v>
          </cell>
          <cell r="H1254" t="str">
            <v>No</v>
          </cell>
          <cell r="I1254" t="str">
            <v>No</v>
          </cell>
          <cell r="J1254" t="str">
            <v>No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</row>
        <row r="1255">
          <cell r="A1255" t="str">
            <v>FU1253</v>
          </cell>
          <cell r="B1255" t="str">
            <v>Fusteltecnica</v>
          </cell>
          <cell r="C1255" t="str">
            <v>R11187</v>
          </cell>
          <cell r="D1255" t="str">
            <v>Plastic center</v>
          </cell>
          <cell r="E1255" t="str">
            <v>Scatole soft meches</v>
          </cell>
          <cell r="F1255" t="str">
            <v>BOBST 1260</v>
          </cell>
          <cell r="G1255">
            <v>2</v>
          </cell>
          <cell r="H1255" t="str">
            <v>No</v>
          </cell>
          <cell r="I1255" t="str">
            <v>Si</v>
          </cell>
          <cell r="J1255" t="str">
            <v>No</v>
          </cell>
          <cell r="K1255">
            <v>0</v>
          </cell>
          <cell r="L1255" t="str">
            <v>Si</v>
          </cell>
          <cell r="M1255" t="str">
            <v>Diana Pro 114</v>
          </cell>
          <cell r="N1255" t="str">
            <v>Lineare</v>
          </cell>
        </row>
        <row r="1256">
          <cell r="A1256" t="str">
            <v>FU1254</v>
          </cell>
          <cell r="B1256" t="str">
            <v>Fusteltecnica</v>
          </cell>
          <cell r="C1256" t="str">
            <v>E08538</v>
          </cell>
          <cell r="D1256" t="str">
            <v>Necos</v>
          </cell>
          <cell r="E1256" t="str">
            <v>Bauletti Necos abbinati</v>
          </cell>
          <cell r="F1256" t="str">
            <v>BOBST 1260</v>
          </cell>
          <cell r="G1256">
            <v>3</v>
          </cell>
          <cell r="H1256" t="str">
            <v>No</v>
          </cell>
          <cell r="I1256" t="str">
            <v>Si</v>
          </cell>
          <cell r="J1256" t="str">
            <v>No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</row>
        <row r="1257">
          <cell r="A1257" t="str">
            <v>FU1255</v>
          </cell>
          <cell r="B1257" t="str">
            <v>Fusteltecnica</v>
          </cell>
          <cell r="C1257" t="str">
            <v>E08454</v>
          </cell>
          <cell r="D1257" t="str">
            <v>Pantytex</v>
          </cell>
          <cell r="E1257" t="str">
            <v>Appendini dm 2021</v>
          </cell>
          <cell r="F1257" t="str">
            <v>BOBST 104</v>
          </cell>
          <cell r="G1257">
            <v>6</v>
          </cell>
          <cell r="H1257" t="str">
            <v>Si</v>
          </cell>
          <cell r="I1257" t="str">
            <v>No</v>
          </cell>
          <cell r="J1257" t="str">
            <v>No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</row>
        <row r="1258">
          <cell r="A1258" t="str">
            <v>FU1256</v>
          </cell>
          <cell r="B1258" t="str">
            <v>Fusteltecnica</v>
          </cell>
          <cell r="C1258" t="str">
            <v>R11124</v>
          </cell>
          <cell r="D1258" t="str">
            <v>Alfagel</v>
          </cell>
          <cell r="E1258" t="str">
            <v>Astucci granite</v>
          </cell>
          <cell r="F1258" t="str">
            <v>BOBST 104</v>
          </cell>
          <cell r="G1258">
            <v>4</v>
          </cell>
          <cell r="H1258" t="str">
            <v>Si</v>
          </cell>
          <cell r="I1258" t="str">
            <v>No</v>
          </cell>
          <cell r="J1258" t="str">
            <v>No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</row>
        <row r="1259">
          <cell r="A1259" t="str">
            <v>FU1257</v>
          </cell>
          <cell r="B1259" t="str">
            <v>Fusteltecnica</v>
          </cell>
          <cell r="C1259" t="str">
            <v>E08547</v>
          </cell>
          <cell r="D1259" t="str">
            <v>Alfagel</v>
          </cell>
          <cell r="E1259" t="str">
            <v>Coperchi gelati linguetta corta</v>
          </cell>
          <cell r="F1259" t="str">
            <v>BOBST 104</v>
          </cell>
          <cell r="G1259">
            <v>15</v>
          </cell>
          <cell r="H1259" t="str">
            <v>No</v>
          </cell>
          <cell r="I1259" t="str">
            <v>No</v>
          </cell>
          <cell r="J1259" t="str">
            <v>No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</row>
        <row r="1260">
          <cell r="A1260" t="str">
            <v>FU1258</v>
          </cell>
          <cell r="B1260" t="str">
            <v>Lasercom</v>
          </cell>
          <cell r="C1260" t="str">
            <v>Lomba940f</v>
          </cell>
          <cell r="D1260" t="str">
            <v>Elettroplastica</v>
          </cell>
          <cell r="E1260" t="str">
            <v>Scatola pa500</v>
          </cell>
          <cell r="F1260" t="str">
            <v>BOBST 1260</v>
          </cell>
          <cell r="G1260">
            <v>1</v>
          </cell>
          <cell r="H1260" t="str">
            <v>No</v>
          </cell>
          <cell r="I1260" t="str">
            <v>Si</v>
          </cell>
          <cell r="J1260" t="str">
            <v>No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</row>
        <row r="1261">
          <cell r="A1261" t="str">
            <v>FU1259</v>
          </cell>
          <cell r="B1261" t="str">
            <v>Lasercom</v>
          </cell>
          <cell r="C1261" t="str">
            <v>Lomba939f</v>
          </cell>
          <cell r="D1261" t="str">
            <v>Elettroplastica</v>
          </cell>
          <cell r="E1261" t="str">
            <v>Scatola pa600</v>
          </cell>
          <cell r="F1261" t="str">
            <v>BOBST 1260</v>
          </cell>
          <cell r="G1261">
            <v>1</v>
          </cell>
          <cell r="H1261" t="str">
            <v>No</v>
          </cell>
          <cell r="I1261" t="str">
            <v>Si</v>
          </cell>
          <cell r="J1261" t="str">
            <v>No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</row>
        <row r="1262">
          <cell r="A1262" t="str">
            <v>FU1260</v>
          </cell>
          <cell r="B1262" t="str">
            <v>Lasercom</v>
          </cell>
          <cell r="C1262" t="str">
            <v>Lomba941g</v>
          </cell>
          <cell r="D1262" t="str">
            <v>Tracy</v>
          </cell>
          <cell r="E1262" t="str">
            <v>Fasce estex 2021</v>
          </cell>
          <cell r="F1262" t="str">
            <v>BOBST 104</v>
          </cell>
          <cell r="G1262">
            <v>12</v>
          </cell>
          <cell r="H1262" t="str">
            <v>No</v>
          </cell>
          <cell r="I1262" t="str">
            <v>No</v>
          </cell>
          <cell r="J1262" t="str">
            <v>No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</row>
        <row r="1263">
          <cell r="A1263" t="str">
            <v>FU1261</v>
          </cell>
          <cell r="B1263" t="str">
            <v>Fusteltecnica</v>
          </cell>
          <cell r="C1263" t="str">
            <v>E08571</v>
          </cell>
          <cell r="D1263" t="str">
            <v>Pantytex</v>
          </cell>
          <cell r="E1263" t="str">
            <v>Solette hema 2021</v>
          </cell>
          <cell r="F1263" t="str">
            <v>BOBST 104</v>
          </cell>
          <cell r="G1263">
            <v>4</v>
          </cell>
          <cell r="H1263" t="str">
            <v>Si</v>
          </cell>
          <cell r="I1263" t="str">
            <v>No</v>
          </cell>
          <cell r="J1263" t="str">
            <v>No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</row>
        <row r="1264">
          <cell r="A1264" t="str">
            <v>FU1262</v>
          </cell>
          <cell r="B1264" t="str">
            <v>Fusteltecnica</v>
          </cell>
          <cell r="C1264" t="str">
            <v>E09573</v>
          </cell>
          <cell r="D1264" t="str">
            <v>Rcm</v>
          </cell>
          <cell r="E1264" t="str">
            <v>Astucci Sim 73</v>
          </cell>
          <cell r="F1264" t="str">
            <v>BOBST 1260</v>
          </cell>
          <cell r="G1264">
            <v>4</v>
          </cell>
          <cell r="H1264" t="str">
            <v>No</v>
          </cell>
          <cell r="I1264" t="str">
            <v>Si</v>
          </cell>
          <cell r="J1264" t="str">
            <v>No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</row>
        <row r="1265">
          <cell r="A1265" t="str">
            <v>FU1263</v>
          </cell>
          <cell r="B1265" t="str">
            <v>Lasercom</v>
          </cell>
          <cell r="C1265" t="str">
            <v>Lomba941g</v>
          </cell>
          <cell r="D1265" t="str">
            <v>Necos</v>
          </cell>
          <cell r="E1265" t="str">
            <v>Astucci outer 12x4x3</v>
          </cell>
          <cell r="F1265" t="str">
            <v>BOBST 1260</v>
          </cell>
          <cell r="G1265">
            <v>4</v>
          </cell>
          <cell r="H1265" t="str">
            <v>No</v>
          </cell>
          <cell r="I1265" t="str">
            <v>Si</v>
          </cell>
          <cell r="J1265" t="str">
            <v>No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</row>
        <row r="1266">
          <cell r="A1266" t="str">
            <v>FU1264</v>
          </cell>
          <cell r="B1266" t="str">
            <v>Fusteltecnica</v>
          </cell>
          <cell r="C1266" t="str">
            <v>R11344</v>
          </cell>
          <cell r="D1266" t="str">
            <v>Quaranta</v>
          </cell>
          <cell r="E1266" t="str">
            <v>Astucci florentine torretta</v>
          </cell>
          <cell r="F1266" t="str">
            <v>BOBST 1260</v>
          </cell>
          <cell r="G1266">
            <v>4</v>
          </cell>
          <cell r="H1266" t="str">
            <v>No</v>
          </cell>
          <cell r="I1266" t="str">
            <v>Si</v>
          </cell>
          <cell r="J1266" t="str">
            <v>No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</row>
        <row r="1267">
          <cell r="A1267" t="str">
            <v>FU1265</v>
          </cell>
          <cell r="B1267" t="str">
            <v>Fusteltecnica</v>
          </cell>
          <cell r="C1267" t="str">
            <v>E08673</v>
          </cell>
          <cell r="D1267" t="str">
            <v>Alfagel</v>
          </cell>
          <cell r="E1267" t="str">
            <v>Coperchi gelati linguetta lunga</v>
          </cell>
          <cell r="F1267" t="str">
            <v>BOBST 104</v>
          </cell>
          <cell r="G1267">
            <v>15</v>
          </cell>
          <cell r="H1267" t="str">
            <v>No</v>
          </cell>
          <cell r="I1267" t="str">
            <v>No</v>
          </cell>
          <cell r="J1267" t="str">
            <v>No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</row>
        <row r="1268">
          <cell r="A1268" t="str">
            <v>FU1266</v>
          </cell>
          <cell r="B1268" t="str">
            <v>Fusteltecnica</v>
          </cell>
          <cell r="C1268" t="str">
            <v>E08696</v>
          </cell>
          <cell r="D1268" t="str">
            <v>Voduz</v>
          </cell>
          <cell r="E1268" t="str">
            <v>Astucci velvet crown</v>
          </cell>
          <cell r="F1268" t="str">
            <v>BOBST 104</v>
          </cell>
          <cell r="G1268">
            <v>4</v>
          </cell>
          <cell r="H1268" t="str">
            <v>No</v>
          </cell>
          <cell r="I1268" t="str">
            <v>No</v>
          </cell>
          <cell r="J1268" t="str">
            <v>No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</row>
        <row r="1269">
          <cell r="A1269" t="str">
            <v>FU1267</v>
          </cell>
          <cell r="B1269" t="str">
            <v>Fusteltecnica</v>
          </cell>
          <cell r="C1269" t="str">
            <v>R11343</v>
          </cell>
          <cell r="D1269" t="str">
            <v>Quaranta</v>
          </cell>
          <cell r="E1269" t="str">
            <v>Astucci ministecche nuts</v>
          </cell>
          <cell r="F1269" t="str">
            <v>BOBST 1260</v>
          </cell>
          <cell r="G1269">
            <v>3</v>
          </cell>
          <cell r="H1269" t="str">
            <v>No</v>
          </cell>
          <cell r="I1269" t="str">
            <v>Si</v>
          </cell>
          <cell r="J1269" t="str">
            <v>No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</row>
        <row r="1270">
          <cell r="A1270" t="str">
            <v>FU1268</v>
          </cell>
          <cell r="B1270" t="str">
            <v>Lasercom</v>
          </cell>
          <cell r="C1270" t="str">
            <v>Lomba942f</v>
          </cell>
          <cell r="D1270" t="str">
            <v>JBS</v>
          </cell>
          <cell r="E1270" t="str">
            <v>Astucci hype the details abbinati</v>
          </cell>
          <cell r="F1270" t="str">
            <v>BOBST 1260</v>
          </cell>
          <cell r="G1270">
            <v>4</v>
          </cell>
          <cell r="H1270" t="str">
            <v>No</v>
          </cell>
          <cell r="I1270" t="str">
            <v>Si</v>
          </cell>
          <cell r="J1270" t="str">
            <v>No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</row>
        <row r="1271">
          <cell r="A1271" t="str">
            <v>FU1269</v>
          </cell>
          <cell r="B1271" t="str">
            <v>Fusteltecnica</v>
          </cell>
          <cell r="C1271" t="str">
            <v>R11345</v>
          </cell>
          <cell r="D1271" t="str">
            <v>Quaranta</v>
          </cell>
          <cell r="E1271" t="str">
            <v>Expo nuts</v>
          </cell>
          <cell r="F1271" t="str">
            <v>BOBST 1260</v>
          </cell>
          <cell r="G1271">
            <v>2</v>
          </cell>
          <cell r="H1271" t="str">
            <v>No</v>
          </cell>
          <cell r="I1271" t="str">
            <v>Si</v>
          </cell>
          <cell r="J1271" t="str">
            <v>No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</row>
        <row r="1272">
          <cell r="A1272" t="str">
            <v>FU1270</v>
          </cell>
          <cell r="B1272" t="str">
            <v>Fusteltecnica</v>
          </cell>
          <cell r="C1272" t="str">
            <v>R11296</v>
          </cell>
          <cell r="D1272" t="str">
            <v>Eire</v>
          </cell>
          <cell r="E1272" t="str">
            <v>Appendini tchibo paloma 2021 pjn115177</v>
          </cell>
          <cell r="F1272" t="str">
            <v>BOBST 104</v>
          </cell>
          <cell r="G1272">
            <v>6</v>
          </cell>
          <cell r="H1272" t="str">
            <v>Si</v>
          </cell>
          <cell r="I1272" t="str">
            <v>No</v>
          </cell>
          <cell r="J1272" t="str">
            <v>No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</row>
        <row r="1273">
          <cell r="A1273" t="str">
            <v>FU1271</v>
          </cell>
          <cell r="B1273" t="str">
            <v>Fusteltecnica</v>
          </cell>
          <cell r="C1273" t="str">
            <v>E08737</v>
          </cell>
          <cell r="D1273" t="str">
            <v>Bietti</v>
          </cell>
          <cell r="E1273" t="str">
            <v>Astucci caffè</v>
          </cell>
          <cell r="F1273" t="str">
            <v>BOBST 1260</v>
          </cell>
          <cell r="G1273">
            <v>3</v>
          </cell>
          <cell r="H1273" t="str">
            <v>No</v>
          </cell>
          <cell r="I1273" t="str">
            <v>Si</v>
          </cell>
          <cell r="J1273" t="str">
            <v>No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</row>
        <row r="1274">
          <cell r="A1274" t="str">
            <v>FU1272</v>
          </cell>
          <cell r="B1274" t="str">
            <v>Fusteltecnica</v>
          </cell>
          <cell r="C1274" t="str">
            <v>R11297</v>
          </cell>
          <cell r="D1274" t="str">
            <v>Eire</v>
          </cell>
          <cell r="E1274" t="str">
            <v>Appendini tchibo madda 2021 pjn114826 XXL</v>
          </cell>
          <cell r="F1274" t="str">
            <v>BOBST 104</v>
          </cell>
          <cell r="G1274">
            <v>2</v>
          </cell>
          <cell r="H1274" t="str">
            <v>No</v>
          </cell>
          <cell r="I1274" t="str">
            <v>No</v>
          </cell>
          <cell r="J1274" t="str">
            <v>No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</row>
        <row r="1275">
          <cell r="A1275" t="str">
            <v>FU1273</v>
          </cell>
          <cell r="B1275" t="str">
            <v>Fusteltecnica</v>
          </cell>
          <cell r="C1275" t="str">
            <v>R11420</v>
          </cell>
          <cell r="D1275" t="str">
            <v>Imballaggi 2L</v>
          </cell>
          <cell r="E1275" t="str">
            <v>Fondo piantiny</v>
          </cell>
          <cell r="F1275" t="str">
            <v>BOBST 1260</v>
          </cell>
          <cell r="G1275">
            <v>1</v>
          </cell>
          <cell r="H1275" t="str">
            <v>No</v>
          </cell>
          <cell r="I1275" t="str">
            <v>Si</v>
          </cell>
          <cell r="J1275" t="str">
            <v>No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</row>
        <row r="1276">
          <cell r="A1276" t="str">
            <v>FU1274</v>
          </cell>
          <cell r="B1276" t="str">
            <v>Fusteltecnica</v>
          </cell>
          <cell r="C1276" t="str">
            <v>E08781</v>
          </cell>
          <cell r="D1276" t="str">
            <v>Quaranta</v>
          </cell>
          <cell r="E1276" t="str">
            <v>Astucci ministecche mini dolcevita</v>
          </cell>
          <cell r="F1276" t="str">
            <v>BOBST 1260</v>
          </cell>
          <cell r="G1276">
            <v>4</v>
          </cell>
          <cell r="H1276" t="str">
            <v>No</v>
          </cell>
          <cell r="I1276" t="str">
            <v>Si</v>
          </cell>
          <cell r="J1276" t="str">
            <v>No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</row>
        <row r="1277">
          <cell r="A1277" t="str">
            <v>FU1275</v>
          </cell>
          <cell r="B1277" t="str">
            <v>Fusteltecnica</v>
          </cell>
          <cell r="C1277" t="str">
            <v>R11298</v>
          </cell>
          <cell r="D1277" t="str">
            <v>Eire</v>
          </cell>
          <cell r="E1277" t="str">
            <v>Appendini tchibo madda 2021 pjn114826</v>
          </cell>
          <cell r="F1277" t="str">
            <v>BOBST 104</v>
          </cell>
          <cell r="G1277">
            <v>6</v>
          </cell>
          <cell r="H1277" t="str">
            <v>Si</v>
          </cell>
          <cell r="I1277" t="str">
            <v>No</v>
          </cell>
          <cell r="J1277" t="str">
            <v>No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</row>
        <row r="1278">
          <cell r="A1278" t="str">
            <v>FU1276</v>
          </cell>
          <cell r="B1278" t="str">
            <v>Fusteltecnica</v>
          </cell>
          <cell r="C1278" t="str">
            <v>E08749</v>
          </cell>
          <cell r="D1278" t="str">
            <v>Pantytex</v>
          </cell>
          <cell r="E1278" t="str">
            <v>Astucci kruidvart dorso 12</v>
          </cell>
          <cell r="F1278" t="str">
            <v>BOBST 104</v>
          </cell>
          <cell r="G1278">
            <v>8</v>
          </cell>
          <cell r="H1278" t="str">
            <v>Si</v>
          </cell>
          <cell r="I1278" t="str">
            <v>No</v>
          </cell>
          <cell r="J1278" t="str">
            <v>No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</row>
        <row r="1279">
          <cell r="A1279" t="str">
            <v>FU1277</v>
          </cell>
          <cell r="B1279" t="str">
            <v>Fusteltecnica</v>
          </cell>
          <cell r="C1279" t="str">
            <v>E08752</v>
          </cell>
          <cell r="D1279" t="str">
            <v>Pantytex</v>
          </cell>
          <cell r="E1279" t="str">
            <v>Astucci kruidvart dorso 20</v>
          </cell>
          <cell r="F1279" t="str">
            <v>BOBST 104</v>
          </cell>
          <cell r="G1279">
            <v>8</v>
          </cell>
          <cell r="H1279" t="str">
            <v>Si</v>
          </cell>
          <cell r="I1279" t="str">
            <v>No</v>
          </cell>
          <cell r="J1279" t="str">
            <v>No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</row>
        <row r="1280">
          <cell r="A1280" t="str">
            <v>FU1278</v>
          </cell>
          <cell r="B1280" t="str">
            <v>Fusteltecnica</v>
          </cell>
          <cell r="C1280" t="str">
            <v>E08751</v>
          </cell>
          <cell r="D1280" t="str">
            <v>Pantytex</v>
          </cell>
          <cell r="E1280" t="str">
            <v>Astucci kruidvart dorso 25</v>
          </cell>
          <cell r="F1280" t="str">
            <v>BOBST 104</v>
          </cell>
          <cell r="G1280">
            <v>8</v>
          </cell>
          <cell r="H1280" t="str">
            <v>Si</v>
          </cell>
          <cell r="I1280" t="str">
            <v>No</v>
          </cell>
          <cell r="J1280" t="str">
            <v>No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</row>
        <row r="1281">
          <cell r="A1281" t="str">
            <v>FU1279</v>
          </cell>
          <cell r="B1281" t="str">
            <v>Fusteltecnica</v>
          </cell>
          <cell r="C1281" t="str">
            <v>E08750</v>
          </cell>
          <cell r="D1281" t="str">
            <v>Pantytex</v>
          </cell>
          <cell r="E1281" t="str">
            <v>Astucci kruidvart dorso 35</v>
          </cell>
          <cell r="F1281" t="str">
            <v>BOBST 104</v>
          </cell>
          <cell r="G1281">
            <v>6</v>
          </cell>
          <cell r="H1281" t="str">
            <v>Si</v>
          </cell>
          <cell r="I1281" t="str">
            <v>No</v>
          </cell>
          <cell r="J1281" t="str">
            <v>No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</row>
        <row r="1282">
          <cell r="A1282" t="str">
            <v>FU1280</v>
          </cell>
          <cell r="B1282" t="str">
            <v>Fusteltecnica</v>
          </cell>
          <cell r="C1282" t="str">
            <v>E08753</v>
          </cell>
          <cell r="D1282" t="str">
            <v>Pantytex</v>
          </cell>
          <cell r="E1282" t="str">
            <v>Astucci kruidvart dorso 40</v>
          </cell>
          <cell r="F1282" t="str">
            <v>BOBST 104</v>
          </cell>
          <cell r="G1282">
            <v>4</v>
          </cell>
          <cell r="H1282" t="str">
            <v>Si</v>
          </cell>
          <cell r="I1282" t="str">
            <v>No</v>
          </cell>
          <cell r="J1282" t="str">
            <v>No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</row>
        <row r="1283">
          <cell r="A1283" t="str">
            <v>FU1281</v>
          </cell>
          <cell r="B1283" t="str">
            <v>Fusteltecnica</v>
          </cell>
          <cell r="C1283" t="str">
            <v>E08836</v>
          </cell>
          <cell r="D1283" t="str">
            <v>Quaranta</v>
          </cell>
          <cell r="E1283" t="str">
            <v>Astucci mattonella coles</v>
          </cell>
          <cell r="F1283" t="str">
            <v>BOBST 1260</v>
          </cell>
          <cell r="G1283">
            <v>6</v>
          </cell>
          <cell r="H1283" t="str">
            <v>No</v>
          </cell>
          <cell r="I1283" t="str">
            <v>Si</v>
          </cell>
          <cell r="J1283" t="str">
            <v>No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</row>
        <row r="1284">
          <cell r="A1284" t="str">
            <v>FU1282</v>
          </cell>
          <cell r="B1284" t="str">
            <v>Fusteltecnica</v>
          </cell>
          <cell r="C1284" t="str">
            <v>E08874</v>
          </cell>
          <cell r="D1284" t="str">
            <v>Girardi</v>
          </cell>
          <cell r="E1284" t="str">
            <v>Fasce per legging</v>
          </cell>
          <cell r="F1284" t="str">
            <v>BOBST 104</v>
          </cell>
          <cell r="G1284">
            <v>4</v>
          </cell>
          <cell r="H1284" t="str">
            <v>No</v>
          </cell>
          <cell r="I1284" t="str">
            <v>No</v>
          </cell>
          <cell r="J1284" t="str">
            <v>No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</row>
        <row r="1285">
          <cell r="A1285" t="str">
            <v>FU1283</v>
          </cell>
          <cell r="B1285" t="str">
            <v>Fusteltecnica</v>
          </cell>
          <cell r="C1285" t="str">
            <v>R11562</v>
          </cell>
          <cell r="D1285" t="str">
            <v>Imballaggi 2L</v>
          </cell>
          <cell r="E1285" t="str">
            <v>Coperchi grandi funghi piantiny</v>
          </cell>
          <cell r="F1285" t="str">
            <v>BOBST 1260</v>
          </cell>
          <cell r="G1285">
            <v>1</v>
          </cell>
          <cell r="H1285" t="str">
            <v>No</v>
          </cell>
          <cell r="I1285" t="str">
            <v>Si</v>
          </cell>
          <cell r="J1285" t="str">
            <v>No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</row>
        <row r="1286">
          <cell r="A1286" t="str">
            <v>FU1284</v>
          </cell>
          <cell r="B1286" t="str">
            <v>Fusteltecnica</v>
          </cell>
          <cell r="C1286" t="str">
            <v>E08846</v>
          </cell>
          <cell r="D1286" t="str">
            <v>Eire</v>
          </cell>
          <cell r="E1286" t="str">
            <v>Appendini tchibo 1x rombi 115179</v>
          </cell>
          <cell r="F1286" t="str">
            <v>BOBST 104</v>
          </cell>
          <cell r="G1286">
            <v>6</v>
          </cell>
          <cell r="H1286" t="str">
            <v>Si</v>
          </cell>
          <cell r="I1286" t="str">
            <v>No</v>
          </cell>
          <cell r="J1286" t="str">
            <v>No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</row>
        <row r="1287">
          <cell r="A1287" t="str">
            <v>FU1285</v>
          </cell>
          <cell r="B1287" t="str">
            <v>Fusteltecnica</v>
          </cell>
          <cell r="C1287" t="str">
            <v>E08853</v>
          </cell>
          <cell r="D1287" t="str">
            <v>Pasta Lensi</v>
          </cell>
          <cell r="E1287" t="str">
            <v>Astucci evanoff 2021 no tratteggio</v>
          </cell>
          <cell r="F1287" t="str">
            <v>BOBST 104</v>
          </cell>
          <cell r="G1287">
            <v>4</v>
          </cell>
          <cell r="H1287" t="str">
            <v>Si</v>
          </cell>
          <cell r="I1287" t="str">
            <v>No</v>
          </cell>
          <cell r="J1287" t="str">
            <v>No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</row>
        <row r="1288">
          <cell r="A1288" t="str">
            <v>FU1286</v>
          </cell>
          <cell r="B1288" t="str">
            <v>Fusteltecnica</v>
          </cell>
          <cell r="C1288" t="str">
            <v>E08716</v>
          </cell>
          <cell r="D1288" t="str">
            <v>Quaranta</v>
          </cell>
          <cell r="E1288" t="str">
            <v>Astucci caminetto aldi</v>
          </cell>
          <cell r="F1288" t="str">
            <v>BOBST 104</v>
          </cell>
          <cell r="G1288">
            <v>8</v>
          </cell>
          <cell r="H1288" t="str">
            <v>Si</v>
          </cell>
          <cell r="I1288" t="str">
            <v>No</v>
          </cell>
          <cell r="J1288" t="str">
            <v>No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</row>
        <row r="1289">
          <cell r="A1289" t="str">
            <v>FU1287</v>
          </cell>
          <cell r="B1289" t="str">
            <v>Lasercom</v>
          </cell>
          <cell r="C1289" t="str">
            <v>Lomba945</v>
          </cell>
          <cell r="D1289" t="str">
            <v>Pantytex</v>
          </cell>
          <cell r="E1289" t="str">
            <v>Inserti desire gambaletto abbinati</v>
          </cell>
          <cell r="F1289" t="str">
            <v>BOBST 104</v>
          </cell>
          <cell r="G1289">
            <v>7</v>
          </cell>
          <cell r="H1289" t="str">
            <v>Si</v>
          </cell>
          <cell r="I1289" t="str">
            <v>No</v>
          </cell>
          <cell r="J1289" t="str">
            <v>No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</row>
        <row r="1290">
          <cell r="A1290" t="str">
            <v>FU1288</v>
          </cell>
          <cell r="B1290" t="str">
            <v>Fusteltecnica</v>
          </cell>
          <cell r="C1290" t="str">
            <v>E08915</v>
          </cell>
          <cell r="D1290" t="str">
            <v>Quaranta</v>
          </cell>
          <cell r="E1290" t="str">
            <v>Expo MS</v>
          </cell>
          <cell r="F1290" t="str">
            <v>BOBST 1260</v>
          </cell>
          <cell r="G1290">
            <v>3</v>
          </cell>
          <cell r="H1290" t="str">
            <v>No</v>
          </cell>
          <cell r="I1290" t="str">
            <v>Si</v>
          </cell>
          <cell r="J1290" t="str">
            <v>No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</row>
        <row r="1291">
          <cell r="A1291" t="str">
            <v>FU1289</v>
          </cell>
          <cell r="B1291" t="str">
            <v>Fusteltecnica</v>
          </cell>
          <cell r="C1291" t="str">
            <v>B01439</v>
          </cell>
          <cell r="D1291" t="str">
            <v>Elettroplastica</v>
          </cell>
          <cell r="E1291" t="str">
            <v>Scatola filtro pa500-pa600</v>
          </cell>
          <cell r="F1291" t="str">
            <v>BOBST 1260</v>
          </cell>
          <cell r="G1291">
            <v>4</v>
          </cell>
          <cell r="H1291" t="str">
            <v>No</v>
          </cell>
          <cell r="I1291" t="str">
            <v>Si</v>
          </cell>
          <cell r="J1291" t="str">
            <v>No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</row>
        <row r="1292">
          <cell r="A1292" t="str">
            <v>FU1290</v>
          </cell>
          <cell r="B1292" t="str">
            <v>Lasercom</v>
          </cell>
          <cell r="C1292" t="str">
            <v>Lomba944</v>
          </cell>
          <cell r="D1292" t="str">
            <v>RCM</v>
          </cell>
          <cell r="E1292" t="str">
            <v>Astucci Z everline</v>
          </cell>
          <cell r="F1292" t="str">
            <v>BOBST 104</v>
          </cell>
          <cell r="G1292">
            <v>4</v>
          </cell>
          <cell r="H1292" t="str">
            <v>No</v>
          </cell>
          <cell r="I1292" t="str">
            <v>No</v>
          </cell>
          <cell r="J1292" t="str">
            <v>No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</row>
        <row r="1293">
          <cell r="A1293" t="str">
            <v>FU1291</v>
          </cell>
          <cell r="B1293" t="str">
            <v>Fusteltecnica</v>
          </cell>
          <cell r="C1293" t="str">
            <v>B01437</v>
          </cell>
          <cell r="D1293" t="str">
            <v>RCM</v>
          </cell>
          <cell r="E1293" t="str">
            <v>Interni Neri nr. 72</v>
          </cell>
          <cell r="F1293" t="str">
            <v>BOBST 1260</v>
          </cell>
          <cell r="G1293">
            <v>10</v>
          </cell>
          <cell r="H1293" t="str">
            <v>No</v>
          </cell>
          <cell r="I1293" t="str">
            <v>Si</v>
          </cell>
          <cell r="J1293" t="str">
            <v>No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</row>
        <row r="1294">
          <cell r="A1294" t="str">
            <v>FU1292</v>
          </cell>
          <cell r="B1294" t="str">
            <v>Fusteltecnica</v>
          </cell>
          <cell r="C1294" t="str">
            <v>E08914</v>
          </cell>
          <cell r="D1294" t="str">
            <v>Pantytex</v>
          </cell>
          <cell r="E1294" t="str">
            <v>Astucci DM 2021 dorso 50</v>
          </cell>
          <cell r="F1294" t="str">
            <v>BOBST 104</v>
          </cell>
          <cell r="G1294">
            <v>6</v>
          </cell>
          <cell r="H1294" t="str">
            <v>Si</v>
          </cell>
          <cell r="I1294" t="str">
            <v>No</v>
          </cell>
          <cell r="J1294" t="str">
            <v>No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</row>
        <row r="1295">
          <cell r="A1295" t="str">
            <v>FU1293</v>
          </cell>
          <cell r="B1295" t="str">
            <v>Lasercom</v>
          </cell>
          <cell r="C1295" t="str">
            <v>Lomba946</v>
          </cell>
          <cell r="D1295" t="str">
            <v>Elettroplastica</v>
          </cell>
          <cell r="E1295" t="str">
            <v>Scatola medx a430</v>
          </cell>
          <cell r="F1295" t="str">
            <v>BOBST 1260</v>
          </cell>
          <cell r="G1295">
            <v>1</v>
          </cell>
          <cell r="H1295" t="str">
            <v>No</v>
          </cell>
          <cell r="I1295" t="str">
            <v>Si</v>
          </cell>
          <cell r="J1295" t="str">
            <v>No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</row>
        <row r="1296">
          <cell r="A1296" t="str">
            <v>FU1294</v>
          </cell>
          <cell r="B1296" t="str">
            <v>Fusteltecnica</v>
          </cell>
          <cell r="C1296" t="str">
            <v>E08935</v>
          </cell>
          <cell r="D1296" t="str">
            <v>Tracy</v>
          </cell>
          <cell r="E1296" t="str">
            <v>Appendini rywan 2021</v>
          </cell>
          <cell r="F1296" t="str">
            <v>BOBST 104</v>
          </cell>
          <cell r="G1296">
            <v>8</v>
          </cell>
          <cell r="H1296" t="str">
            <v>Si</v>
          </cell>
          <cell r="I1296" t="str">
            <v>No</v>
          </cell>
          <cell r="J1296" t="str">
            <v>No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</row>
        <row r="1297">
          <cell r="A1297" t="str">
            <v>FU1295</v>
          </cell>
          <cell r="B1297" t="str">
            <v>Fusteltecnica</v>
          </cell>
          <cell r="C1297" t="str">
            <v>M06220</v>
          </cell>
          <cell r="D1297" t="str">
            <v>Bergen</v>
          </cell>
          <cell r="E1297" t="str">
            <v>Espositore evin femme</v>
          </cell>
          <cell r="F1297" t="str">
            <v>BOBST 1260</v>
          </cell>
          <cell r="G1297">
            <v>1</v>
          </cell>
          <cell r="H1297" t="str">
            <v>No</v>
          </cell>
          <cell r="I1297" t="str">
            <v>Si</v>
          </cell>
          <cell r="J1297" t="str">
            <v>No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</row>
        <row r="1298">
          <cell r="A1298" t="str">
            <v>FU1296</v>
          </cell>
          <cell r="B1298" t="str">
            <v>Fusteltecnica</v>
          </cell>
          <cell r="C1298" t="str">
            <v>M06219</v>
          </cell>
          <cell r="D1298" t="str">
            <v>Bergen</v>
          </cell>
          <cell r="E1298" t="str">
            <v>astucci evin femme 2021</v>
          </cell>
          <cell r="F1298" t="str">
            <v>BOBST 1260</v>
          </cell>
          <cell r="G1298">
            <v>6</v>
          </cell>
          <cell r="H1298" t="str">
            <v>No</v>
          </cell>
          <cell r="I1298" t="str">
            <v>Si</v>
          </cell>
          <cell r="J1298" t="str">
            <v>No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</row>
        <row r="1299">
          <cell r="A1299" t="str">
            <v>FU1297</v>
          </cell>
          <cell r="B1299" t="str">
            <v>Fusteltecnica</v>
          </cell>
          <cell r="C1299" t="str">
            <v>E09000</v>
          </cell>
          <cell r="D1299" t="str">
            <v>Alfagel</v>
          </cell>
          <cell r="E1299" t="str">
            <v>Scatola Natale oro 2021</v>
          </cell>
          <cell r="F1299" t="str">
            <v>BOBST 1260</v>
          </cell>
          <cell r="G1299">
            <v>2</v>
          </cell>
          <cell r="H1299" t="str">
            <v>No</v>
          </cell>
          <cell r="I1299" t="str">
            <v>Si</v>
          </cell>
          <cell r="J1299" t="str">
            <v>No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</row>
        <row r="1300">
          <cell r="A1300" t="str">
            <v>FU1298</v>
          </cell>
          <cell r="B1300" t="str">
            <v>Fusteltecnica</v>
          </cell>
          <cell r="C1300" t="str">
            <v>M06218</v>
          </cell>
          <cell r="D1300" t="str">
            <v>Bergen</v>
          </cell>
          <cell r="E1300" t="str">
            <v>Interni neutri tbmtb 343 F evin femme</v>
          </cell>
          <cell r="F1300" t="str">
            <v>BOBST 1260</v>
          </cell>
          <cell r="G1300">
            <v>8</v>
          </cell>
          <cell r="H1300" t="str">
            <v>No</v>
          </cell>
          <cell r="I1300" t="str">
            <v>Si</v>
          </cell>
          <cell r="J1300" t="str">
            <v>No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</row>
        <row r="1301">
          <cell r="A1301" t="str">
            <v>FU1299</v>
          </cell>
          <cell r="B1301" t="str">
            <v>Fusteltecnica</v>
          </cell>
          <cell r="C1301" t="str">
            <v>E08942</v>
          </cell>
          <cell r="D1301" t="str">
            <v>Pasta Lensi</v>
          </cell>
          <cell r="E1301" t="str">
            <v>Astucci ICA 2021</v>
          </cell>
          <cell r="F1301" t="str">
            <v>BOBST 104</v>
          </cell>
          <cell r="G1301">
            <v>4</v>
          </cell>
          <cell r="H1301" t="str">
            <v>Si</v>
          </cell>
          <cell r="I1301" t="str">
            <v>No</v>
          </cell>
          <cell r="J1301" t="str">
            <v>No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</row>
        <row r="1302">
          <cell r="A1302" t="str">
            <v>FU1300</v>
          </cell>
          <cell r="B1302" t="str">
            <v>Fusteltecnica</v>
          </cell>
          <cell r="C1302" t="str">
            <v>R11715</v>
          </cell>
          <cell r="D1302" t="str">
            <v>Necos</v>
          </cell>
          <cell r="E1302" t="str">
            <v>Astucci hickap mascara</v>
          </cell>
          <cell r="F1302" t="str">
            <v>BOBST 104</v>
          </cell>
          <cell r="G1302">
            <v>6</v>
          </cell>
          <cell r="H1302" t="str">
            <v>No</v>
          </cell>
          <cell r="I1302" t="str">
            <v>No</v>
          </cell>
          <cell r="J1302" t="str">
            <v>No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</row>
        <row r="1303">
          <cell r="A1303" t="str">
            <v>FU1301</v>
          </cell>
          <cell r="B1303" t="str">
            <v>Lasercom</v>
          </cell>
          <cell r="C1303" t="str">
            <v>Lomba948</v>
          </cell>
          <cell r="D1303" t="str">
            <v>Rcm</v>
          </cell>
          <cell r="E1303" t="str">
            <v>Astucci acid curl 2021</v>
          </cell>
          <cell r="F1303" t="str">
            <v>BOBST 1260</v>
          </cell>
          <cell r="G1303">
            <v>4</v>
          </cell>
          <cell r="H1303" t="str">
            <v>No</v>
          </cell>
          <cell r="I1303" t="str">
            <v>Si</v>
          </cell>
          <cell r="J1303" t="str">
            <v>No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</row>
        <row r="1304">
          <cell r="A1304" t="str">
            <v>FU1302</v>
          </cell>
          <cell r="B1304" t="str">
            <v>Lasercom</v>
          </cell>
          <cell r="C1304" t="str">
            <v>Lomba949</v>
          </cell>
          <cell r="D1304" t="str">
            <v>Elettroplastica</v>
          </cell>
          <cell r="E1304" t="str">
            <v>Scatola a 120 medx</v>
          </cell>
          <cell r="F1304" t="str">
            <v>BOBST 1260</v>
          </cell>
          <cell r="G1304">
            <v>2</v>
          </cell>
          <cell r="H1304" t="str">
            <v>No</v>
          </cell>
          <cell r="I1304" t="str">
            <v>Si</v>
          </cell>
          <cell r="J1304" t="str">
            <v>No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</row>
        <row r="1305">
          <cell r="A1305" t="str">
            <v>FU1303</v>
          </cell>
          <cell r="B1305" t="str">
            <v>Fusteltecnica</v>
          </cell>
          <cell r="C1305" t="str">
            <v>E09027</v>
          </cell>
          <cell r="D1305" t="str">
            <v>Pantytex</v>
          </cell>
          <cell r="E1305" t="str">
            <v>Abbinato wibra 2021</v>
          </cell>
          <cell r="F1305" t="str">
            <v>BOBST 1260</v>
          </cell>
          <cell r="G1305">
            <v>9</v>
          </cell>
          <cell r="H1305" t="str">
            <v>No</v>
          </cell>
          <cell r="I1305" t="str">
            <v>Si</v>
          </cell>
          <cell r="J1305" t="str">
            <v>No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</row>
        <row r="1306">
          <cell r="A1306" t="str">
            <v>FU1304</v>
          </cell>
          <cell r="B1306" t="str">
            <v>Fusteltecnica</v>
          </cell>
          <cell r="C1306" t="str">
            <v>B01456</v>
          </cell>
          <cell r="D1306" t="str">
            <v>Girardi</v>
          </cell>
          <cell r="E1306" t="str">
            <v>Coperchi h58</v>
          </cell>
          <cell r="F1306" t="str">
            <v>BOBST 1260</v>
          </cell>
          <cell r="G1306">
            <v>3</v>
          </cell>
          <cell r="H1306" t="str">
            <v>No</v>
          </cell>
          <cell r="I1306" t="str">
            <v>Si</v>
          </cell>
          <cell r="J1306" t="str">
            <v>No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</row>
        <row r="1307">
          <cell r="A1307" t="str">
            <v>FU1305</v>
          </cell>
          <cell r="B1307" t="str">
            <v>Fusteltecnica</v>
          </cell>
          <cell r="C1307" t="str">
            <v>B01455</v>
          </cell>
          <cell r="D1307" t="str">
            <v>Quaranta</v>
          </cell>
          <cell r="E1307" t="str">
            <v>Astucci mattonelle 2021</v>
          </cell>
          <cell r="F1307" t="str">
            <v>BOBST 1260</v>
          </cell>
          <cell r="G1307">
            <v>4</v>
          </cell>
          <cell r="H1307" t="str">
            <v>Si</v>
          </cell>
          <cell r="I1307" t="str">
            <v>Si</v>
          </cell>
          <cell r="J1307" t="str">
            <v>No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</row>
        <row r="1308">
          <cell r="A1308" t="str">
            <v>FU1306</v>
          </cell>
          <cell r="B1308" t="str">
            <v>Lasercom</v>
          </cell>
          <cell r="C1308" t="str">
            <v>Lomba950</v>
          </cell>
          <cell r="D1308" t="str">
            <v>JBS</v>
          </cell>
          <cell r="E1308" t="str">
            <v>Astucci hype d14</v>
          </cell>
          <cell r="F1308" t="str">
            <v>BOBST 1260</v>
          </cell>
          <cell r="G1308">
            <v>4</v>
          </cell>
          <cell r="H1308" t="str">
            <v>Si</v>
          </cell>
          <cell r="I1308" t="str">
            <v>Si</v>
          </cell>
          <cell r="J1308" t="str">
            <v>No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</row>
        <row r="1309">
          <cell r="A1309" t="str">
            <v>FU1307</v>
          </cell>
          <cell r="B1309" t="str">
            <v>Fusteltecnica</v>
          </cell>
          <cell r="C1309" t="str">
            <v>E09031</v>
          </cell>
          <cell r="D1309" t="str">
            <v>Moretto</v>
          </cell>
          <cell r="E1309" t="str">
            <v>Astucci 50 buste 2021</v>
          </cell>
          <cell r="F1309" t="str">
            <v>BOBST 1260</v>
          </cell>
          <cell r="G1309">
            <v>2</v>
          </cell>
          <cell r="H1309" t="str">
            <v>No</v>
          </cell>
          <cell r="I1309" t="str">
            <v>Si</v>
          </cell>
          <cell r="J1309" t="str">
            <v>No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</row>
        <row r="1310">
          <cell r="A1310" t="str">
            <v>FU1308</v>
          </cell>
          <cell r="B1310" t="str">
            <v>Lasercom</v>
          </cell>
          <cell r="C1310" t="str">
            <v>Lomba951</v>
          </cell>
          <cell r="D1310" t="str">
            <v>D&amp;G</v>
          </cell>
          <cell r="E1310" t="str">
            <v>Scatola bottiglia</v>
          </cell>
          <cell r="F1310" t="str">
            <v>BOBST 1260</v>
          </cell>
          <cell r="G1310">
            <v>2</v>
          </cell>
          <cell r="H1310" t="str">
            <v>No</v>
          </cell>
          <cell r="I1310" t="str">
            <v>Si</v>
          </cell>
          <cell r="J1310" t="str">
            <v>No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</row>
        <row r="1311">
          <cell r="A1311" t="str">
            <v>FU1309</v>
          </cell>
          <cell r="B1311" t="str">
            <v>Fusteltecnica</v>
          </cell>
          <cell r="C1311" t="str">
            <v>E09032</v>
          </cell>
          <cell r="D1311" t="str">
            <v>D&amp;G</v>
          </cell>
          <cell r="E1311" t="str">
            <v>Scatola individuale 2021</v>
          </cell>
          <cell r="F1311" t="str">
            <v>BOBST 1260</v>
          </cell>
          <cell r="G1311">
            <v>2</v>
          </cell>
          <cell r="H1311" t="str">
            <v>No</v>
          </cell>
          <cell r="I1311" t="str">
            <v>Si</v>
          </cell>
          <cell r="J1311" t="str">
            <v>No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</row>
        <row r="1312">
          <cell r="A1312" t="str">
            <v>FU1310</v>
          </cell>
          <cell r="B1312" t="str">
            <v>Lasercom</v>
          </cell>
          <cell r="C1312" t="str">
            <v>Lomb952g</v>
          </cell>
          <cell r="D1312" t="str">
            <v>Rcm</v>
          </cell>
          <cell r="E1312" t="str">
            <v>Astuccio 57 absolute foundation</v>
          </cell>
          <cell r="F1312" t="str">
            <v>BOBST 104</v>
          </cell>
          <cell r="G1312">
            <v>5</v>
          </cell>
          <cell r="H1312" t="str">
            <v>Si</v>
          </cell>
          <cell r="I1312" t="str">
            <v>No</v>
          </cell>
          <cell r="J1312" t="str">
            <v>No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</row>
        <row r="1313">
          <cell r="A1313" t="str">
            <v>FU1311</v>
          </cell>
          <cell r="B1313" t="str">
            <v>Fusteltecnica</v>
          </cell>
          <cell r="C1313" t="str">
            <v>E08952</v>
          </cell>
          <cell r="D1313" t="str">
            <v>Nero nobile</v>
          </cell>
          <cell r="E1313" t="str">
            <v>Astucci fs0386</v>
          </cell>
          <cell r="F1313" t="str">
            <v>BOBST 104</v>
          </cell>
          <cell r="G1313">
            <v>4</v>
          </cell>
          <cell r="H1313" t="str">
            <v>Si</v>
          </cell>
          <cell r="I1313" t="str">
            <v>No</v>
          </cell>
          <cell r="J1313" t="str">
            <v>No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</row>
        <row r="1314">
          <cell r="A1314" t="str">
            <v>FU1312</v>
          </cell>
          <cell r="B1314" t="str">
            <v>Fusteltecnica</v>
          </cell>
          <cell r="C1314" t="str">
            <v>E09071</v>
          </cell>
          <cell r="D1314" t="str">
            <v>Pantytex</v>
          </cell>
          <cell r="E1314" t="str">
            <v>Astucci hema d50</v>
          </cell>
          <cell r="F1314" t="str">
            <v>BOBST 1260</v>
          </cell>
          <cell r="G1314">
            <v>6</v>
          </cell>
          <cell r="H1314" t="str">
            <v>Si</v>
          </cell>
          <cell r="I1314" t="str">
            <v>Si</v>
          </cell>
          <cell r="J1314" t="str">
            <v>No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</row>
        <row r="1315">
          <cell r="A1315" t="str">
            <v>FU1313</v>
          </cell>
          <cell r="B1315" t="str">
            <v>Fusteltecnica</v>
          </cell>
          <cell r="C1315" t="str">
            <v>E09026</v>
          </cell>
          <cell r="D1315" t="str">
            <v>Gallo</v>
          </cell>
          <cell r="E1315" t="str">
            <v>Cavallotti city</v>
          </cell>
          <cell r="F1315" t="str">
            <v>BOBST 104</v>
          </cell>
          <cell r="G1315">
            <v>12</v>
          </cell>
          <cell r="H1315" t="str">
            <v>No</v>
          </cell>
          <cell r="I1315" t="str">
            <v>No</v>
          </cell>
          <cell r="J1315" t="str">
            <v>No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</row>
        <row r="1316">
          <cell r="A1316" t="str">
            <v>FU1314</v>
          </cell>
          <cell r="B1316" t="str">
            <v>Fusteltecnica</v>
          </cell>
          <cell r="C1316" t="str">
            <v>E09057</v>
          </cell>
          <cell r="D1316" t="str">
            <v>Rcm</v>
          </cell>
          <cell r="E1316" t="str">
            <v>Interni micro nee 74 75 77 78 Z</v>
          </cell>
          <cell r="F1316" t="str">
            <v>BOBST 1260</v>
          </cell>
          <cell r="G1316">
            <v>9</v>
          </cell>
          <cell r="H1316" t="str">
            <v>No</v>
          </cell>
          <cell r="I1316" t="str">
            <v>Si</v>
          </cell>
          <cell r="J1316" t="str">
            <v>No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</row>
        <row r="1317">
          <cell r="A1317" t="str">
            <v>FU1315</v>
          </cell>
          <cell r="B1317" t="str">
            <v>Fusteltecnica</v>
          </cell>
          <cell r="C1317" t="str">
            <v>E09090</v>
          </cell>
          <cell r="D1317" t="str">
            <v>Pantytex</v>
          </cell>
          <cell r="E1317" t="str">
            <v>Astucci to go hema</v>
          </cell>
          <cell r="F1317" t="str">
            <v>BOBST 1260</v>
          </cell>
          <cell r="G1317">
            <v>3</v>
          </cell>
          <cell r="H1317" t="str">
            <v>No</v>
          </cell>
          <cell r="I1317" t="str">
            <v>Si</v>
          </cell>
          <cell r="J1317" t="str">
            <v>No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</row>
        <row r="1318">
          <cell r="A1318" t="str">
            <v>FU1316</v>
          </cell>
          <cell r="B1318" t="str">
            <v>Fusteltecnica</v>
          </cell>
          <cell r="C1318" t="str">
            <v>E09105</v>
          </cell>
          <cell r="D1318" t="str">
            <v>Moretto</v>
          </cell>
          <cell r="E1318" t="str">
            <v>Astucci 12 buste 2022</v>
          </cell>
          <cell r="F1318" t="str">
            <v>BOBST 1260</v>
          </cell>
          <cell r="G1318">
            <v>4</v>
          </cell>
          <cell r="H1318" t="str">
            <v>No</v>
          </cell>
          <cell r="I1318" t="str">
            <v>Si</v>
          </cell>
          <cell r="J1318" t="str">
            <v>No</v>
          </cell>
          <cell r="K1318">
            <v>0</v>
          </cell>
          <cell r="L1318" t="str">
            <v>Si</v>
          </cell>
          <cell r="M1318" t="str">
            <v>Diana Pro 114</v>
          </cell>
          <cell r="N1318" t="str">
            <v>Fondo Automatico</v>
          </cell>
        </row>
        <row r="1319">
          <cell r="A1319" t="str">
            <v>FU1317</v>
          </cell>
          <cell r="B1319" t="str">
            <v>Lasercom</v>
          </cell>
          <cell r="C1319" t="str">
            <v>Lomb953g</v>
          </cell>
          <cell r="D1319" t="str">
            <v>Pantytex</v>
          </cell>
          <cell r="E1319" t="str">
            <v>Inserti desiree stretti</v>
          </cell>
          <cell r="F1319" t="str">
            <v>BOBST 104</v>
          </cell>
          <cell r="G1319">
            <v>7</v>
          </cell>
          <cell r="H1319" t="str">
            <v>No</v>
          </cell>
          <cell r="I1319" t="str">
            <v>No</v>
          </cell>
          <cell r="J1319" t="str">
            <v>No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</row>
        <row r="1320">
          <cell r="A1320" t="str">
            <v>FU1318</v>
          </cell>
          <cell r="B1320" t="str">
            <v>Fusteltecnica</v>
          </cell>
          <cell r="C1320" t="str">
            <v>E09108</v>
          </cell>
          <cell r="D1320" t="str">
            <v>Lane mondial</v>
          </cell>
          <cell r="E1320" t="str">
            <v>Scatola 10 gomitoli</v>
          </cell>
          <cell r="F1320" t="str">
            <v>BOBST 1260</v>
          </cell>
          <cell r="G1320">
            <v>1</v>
          </cell>
          <cell r="H1320" t="str">
            <v>No</v>
          </cell>
          <cell r="I1320" t="str">
            <v>Si</v>
          </cell>
          <cell r="J1320" t="str">
            <v>No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</row>
        <row r="1321">
          <cell r="A1321" t="str">
            <v>FU1319</v>
          </cell>
          <cell r="B1321" t="str">
            <v>Lasercom</v>
          </cell>
          <cell r="C1321" t="str">
            <v>Lomb953g</v>
          </cell>
          <cell r="D1321" t="str">
            <v>Rcm</v>
          </cell>
          <cell r="E1321" t="str">
            <v>Fascette abyssi abbinate</v>
          </cell>
          <cell r="F1321" t="str">
            <v>BOBST 1260</v>
          </cell>
          <cell r="G1321">
            <v>5</v>
          </cell>
          <cell r="H1321" t="str">
            <v>No</v>
          </cell>
          <cell r="I1321" t="str">
            <v>Si</v>
          </cell>
          <cell r="J1321" t="str">
            <v>No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</row>
        <row r="1322">
          <cell r="A1322" t="str">
            <v>FU1320</v>
          </cell>
          <cell r="B1322" t="str">
            <v>Lasercom</v>
          </cell>
          <cell r="C1322" t="str">
            <v>Lomba954</v>
          </cell>
          <cell r="D1322" t="str">
            <v>Cooperativa Vitivi.</v>
          </cell>
          <cell r="E1322" t="str">
            <v>Scatola 3 Bottiglie</v>
          </cell>
          <cell r="F1322" t="str">
            <v>BOBST 1260</v>
          </cell>
          <cell r="G1322">
            <v>1</v>
          </cell>
          <cell r="H1322" t="str">
            <v>No</v>
          </cell>
          <cell r="I1322" t="str">
            <v>Si</v>
          </cell>
          <cell r="J1322" t="str">
            <v>No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</row>
        <row r="1323">
          <cell r="A1323" t="str">
            <v>FU1321</v>
          </cell>
          <cell r="B1323" t="str">
            <v>Fusteltecnica</v>
          </cell>
          <cell r="C1323" t="str">
            <v>A06165</v>
          </cell>
          <cell r="D1323" t="str">
            <v>Gandola</v>
          </cell>
          <cell r="E1323" t="str">
            <v>Vassoi neutri</v>
          </cell>
          <cell r="F1323" t="str">
            <v>BOBST 104</v>
          </cell>
          <cell r="G1323">
            <v>8</v>
          </cell>
          <cell r="H1323" t="str">
            <v>Si</v>
          </cell>
          <cell r="I1323" t="str">
            <v>No</v>
          </cell>
          <cell r="J1323" t="str">
            <v>No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</row>
        <row r="1324">
          <cell r="A1324" t="str">
            <v>FU1322</v>
          </cell>
          <cell r="B1324" t="str">
            <v>Lasercom</v>
          </cell>
          <cell r="C1324" t="str">
            <v>Lomba953</v>
          </cell>
          <cell r="D1324" t="str">
            <v>Cooperativa Vitivi.</v>
          </cell>
          <cell r="E1324" t="str">
            <v>Astucci 2 Bottiglie</v>
          </cell>
          <cell r="F1324" t="str">
            <v>BOBST 1260</v>
          </cell>
          <cell r="G1324">
            <v>1</v>
          </cell>
          <cell r="H1324" t="str">
            <v>No</v>
          </cell>
          <cell r="I1324" t="str">
            <v>Si</v>
          </cell>
          <cell r="J1324" t="str">
            <v>No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</row>
        <row r="1325">
          <cell r="A1325" t="str">
            <v>FU1323</v>
          </cell>
          <cell r="B1325" t="str">
            <v>Fusteltecnica</v>
          </cell>
          <cell r="C1325" t="str">
            <v>M10894</v>
          </cell>
          <cell r="D1325" t="str">
            <v>D&amp;G</v>
          </cell>
          <cell r="E1325" t="str">
            <v>PANETTONE RIDIMENSIONATO</v>
          </cell>
          <cell r="F1325" t="str">
            <v>BOBST 1260</v>
          </cell>
          <cell r="G1325">
            <v>1</v>
          </cell>
          <cell r="H1325" t="str">
            <v>No</v>
          </cell>
          <cell r="I1325" t="str">
            <v>Si</v>
          </cell>
          <cell r="J1325" t="str">
            <v>No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</row>
        <row r="1326">
          <cell r="A1326" t="str">
            <v>FU1324</v>
          </cell>
          <cell r="B1326" t="str">
            <v>Fusteltecnica</v>
          </cell>
          <cell r="C1326" t="str">
            <v>M10929</v>
          </cell>
          <cell r="D1326" t="str">
            <v>O.Erre</v>
          </cell>
          <cell r="E1326" t="str">
            <v>Interni più protzione 12/5</v>
          </cell>
          <cell r="F1326" t="str">
            <v>BOBST 1260</v>
          </cell>
          <cell r="G1326">
            <v>4</v>
          </cell>
          <cell r="H1326" t="str">
            <v>Si</v>
          </cell>
          <cell r="I1326" t="str">
            <v>Si</v>
          </cell>
          <cell r="J1326" t="str">
            <v>No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</row>
        <row r="1327">
          <cell r="A1327" t="str">
            <v>FU1325</v>
          </cell>
          <cell r="B1327" t="str">
            <v>Fusteltecnica</v>
          </cell>
          <cell r="C1327" t="str">
            <v>E09207</v>
          </cell>
          <cell r="D1327" t="str">
            <v>Magazzini del Caffè</v>
          </cell>
          <cell r="E1327" t="str">
            <v>Astucci DG 30 capsule</v>
          </cell>
          <cell r="F1327" t="str">
            <v>BOBST 1260</v>
          </cell>
          <cell r="G1327">
            <v>2</v>
          </cell>
          <cell r="H1327" t="str">
            <v>No</v>
          </cell>
          <cell r="I1327" t="str">
            <v>Si</v>
          </cell>
          <cell r="J1327" t="str">
            <v>No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</row>
        <row r="1328">
          <cell r="A1328" t="str">
            <v>FU1326</v>
          </cell>
          <cell r="B1328" t="str">
            <v>Lasercom</v>
          </cell>
          <cell r="C1328" t="str">
            <v>Lomba955</v>
          </cell>
          <cell r="D1328" t="str">
            <v>Metelli</v>
          </cell>
          <cell r="E1328" t="str">
            <v>SC. PANETTONE</v>
          </cell>
          <cell r="F1328" t="str">
            <v>BOBST 1260</v>
          </cell>
          <cell r="G1328">
            <v>1</v>
          </cell>
          <cell r="H1328" t="str">
            <v>No</v>
          </cell>
          <cell r="I1328" t="str">
            <v>Si</v>
          </cell>
          <cell r="J1328" t="str">
            <v>No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</row>
        <row r="1329">
          <cell r="A1329" t="str">
            <v>FU1327</v>
          </cell>
          <cell r="B1329" t="str">
            <v>Fusteltecnica</v>
          </cell>
          <cell r="C1329" t="str">
            <v>E09222</v>
          </cell>
          <cell r="D1329" t="str">
            <v>RCM</v>
          </cell>
          <cell r="E1329" t="str">
            <v>Astucci mj hair micro</v>
          </cell>
          <cell r="F1329" t="str">
            <v>BOBST 1260</v>
          </cell>
          <cell r="G1329">
            <v>2</v>
          </cell>
          <cell r="H1329" t="str">
            <v>No</v>
          </cell>
          <cell r="I1329" t="str">
            <v>Si</v>
          </cell>
          <cell r="J1329" t="str">
            <v>No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</row>
        <row r="1330">
          <cell r="A1330" t="str">
            <v>FU1328</v>
          </cell>
          <cell r="B1330" t="str">
            <v>Lasercom</v>
          </cell>
          <cell r="C1330" t="str">
            <v>Lomba956GN</v>
          </cell>
          <cell r="D1330" t="str">
            <v>Cizeta</v>
          </cell>
          <cell r="E1330" t="str">
            <v>Astucci CZ salus abbinati</v>
          </cell>
          <cell r="F1330" t="str">
            <v>BOBST 1260</v>
          </cell>
          <cell r="G1330">
            <v>4</v>
          </cell>
          <cell r="H1330" t="str">
            <v>No</v>
          </cell>
          <cell r="I1330" t="str">
            <v>Si</v>
          </cell>
          <cell r="J1330" t="str">
            <v>No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</row>
        <row r="1331">
          <cell r="A1331" t="str">
            <v>FU1329</v>
          </cell>
          <cell r="B1331" t="str">
            <v>Fusteltecnica</v>
          </cell>
          <cell r="C1331" t="str">
            <v>BO1536</v>
          </cell>
          <cell r="D1331" t="str">
            <v>Tracy</v>
          </cell>
          <cell r="E1331" t="str">
            <v>app gemo baby</v>
          </cell>
          <cell r="F1331" t="str">
            <v>BOBST 1260</v>
          </cell>
          <cell r="G1331">
            <v>6</v>
          </cell>
          <cell r="H1331" t="str">
            <v>No</v>
          </cell>
          <cell r="I1331" t="str">
            <v>Si</v>
          </cell>
          <cell r="J1331" t="str">
            <v>No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</row>
        <row r="1332">
          <cell r="A1332" t="str">
            <v>FU1330</v>
          </cell>
          <cell r="B1332" t="str">
            <v>Fusteltecnica</v>
          </cell>
          <cell r="C1332" t="str">
            <v>M10988</v>
          </cell>
          <cell r="D1332" t="str">
            <v>quaranta</v>
          </cell>
          <cell r="E1332" t="str">
            <v>expo jolly 18 2021</v>
          </cell>
          <cell r="F1332" t="str">
            <v>BOBST 1260</v>
          </cell>
          <cell r="G1332">
            <v>1</v>
          </cell>
          <cell r="H1332" t="str">
            <v>No</v>
          </cell>
          <cell r="I1332" t="str">
            <v>Si</v>
          </cell>
          <cell r="J1332" t="str">
            <v>No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</row>
        <row r="1333">
          <cell r="A1333" t="str">
            <v>FU1331</v>
          </cell>
          <cell r="B1333" t="str">
            <v>Fusteltecnica</v>
          </cell>
          <cell r="C1333" t="str">
            <v>E09236</v>
          </cell>
          <cell r="D1333" t="str">
            <v>Tradigo</v>
          </cell>
          <cell r="E1333" t="str">
            <v>Astucci master d. 30</v>
          </cell>
          <cell r="F1333" t="str">
            <v>BOBST 1260</v>
          </cell>
          <cell r="G1333">
            <v>2</v>
          </cell>
          <cell r="H1333" t="str">
            <v>No</v>
          </cell>
          <cell r="I1333" t="str">
            <v>Si</v>
          </cell>
          <cell r="J1333" t="str">
            <v>No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</row>
        <row r="1334">
          <cell r="A1334" t="str">
            <v>FU1332</v>
          </cell>
          <cell r="B1334" t="str">
            <v>Fusteltecnica</v>
          </cell>
          <cell r="C1334" t="str">
            <v>B01530</v>
          </cell>
          <cell r="D1334" t="str">
            <v>Tradigo</v>
          </cell>
          <cell r="E1334" t="str">
            <v>astucci master abbinati</v>
          </cell>
          <cell r="F1334" t="str">
            <v>BOBST 1260</v>
          </cell>
          <cell r="G1334">
            <v>9</v>
          </cell>
          <cell r="H1334" t="str">
            <v>No</v>
          </cell>
          <cell r="I1334" t="str">
            <v>Si</v>
          </cell>
          <cell r="J1334" t="str">
            <v>No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</row>
        <row r="1335">
          <cell r="A1335" t="str">
            <v>FU1333</v>
          </cell>
          <cell r="B1335" t="str">
            <v>Lasercom</v>
          </cell>
          <cell r="C1335" t="str">
            <v>Lomba957</v>
          </cell>
          <cell r="D1335" t="str">
            <v>Pantytex</v>
          </cell>
          <cell r="E1335" t="str">
            <v>ainserti desiree</v>
          </cell>
          <cell r="F1335" t="str">
            <v>BOBST 104</v>
          </cell>
          <cell r="G1335">
            <v>7</v>
          </cell>
          <cell r="H1335" t="str">
            <v>No</v>
          </cell>
          <cell r="I1335" t="str">
            <v>No</v>
          </cell>
          <cell r="J1335" t="str">
            <v>No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</row>
        <row r="1336">
          <cell r="A1336" t="str">
            <v>FU1334</v>
          </cell>
          <cell r="B1336" t="str">
            <v>Lasercom</v>
          </cell>
          <cell r="C1336" t="str">
            <v>Lomba958</v>
          </cell>
          <cell r="D1336" t="str">
            <v>Pantytex</v>
          </cell>
          <cell r="E1336" t="str">
            <v xml:space="preserve">inserti control top </v>
          </cell>
          <cell r="F1336" t="str">
            <v>BOBST 104</v>
          </cell>
          <cell r="G1336">
            <v>6</v>
          </cell>
          <cell r="H1336" t="str">
            <v>No</v>
          </cell>
          <cell r="I1336" t="str">
            <v>No</v>
          </cell>
          <cell r="J1336" t="str">
            <v>No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</row>
        <row r="1337">
          <cell r="A1337" t="str">
            <v>FU1335</v>
          </cell>
          <cell r="B1337" t="str">
            <v>Fusteltecnica</v>
          </cell>
          <cell r="C1337" t="str">
            <v>R12032</v>
          </cell>
          <cell r="D1337" t="str">
            <v>Moretto</v>
          </cell>
          <cell r="E1337" t="str">
            <v>contenitore barbagliata</v>
          </cell>
          <cell r="F1337" t="str">
            <v>BOBST 1260</v>
          </cell>
          <cell r="G1337">
            <v>2</v>
          </cell>
          <cell r="H1337" t="str">
            <v>No</v>
          </cell>
          <cell r="I1337" t="str">
            <v>Si</v>
          </cell>
          <cell r="J1337" t="str">
            <v>No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</row>
        <row r="1338">
          <cell r="A1338" t="str">
            <v>FU1336</v>
          </cell>
          <cell r="B1338">
            <v>0</v>
          </cell>
          <cell r="C1338" t="str">
            <v>-</v>
          </cell>
          <cell r="D1338">
            <v>0</v>
          </cell>
          <cell r="E1338">
            <v>0</v>
          </cell>
          <cell r="F1338" t="str">
            <v>BOBST 104</v>
          </cell>
          <cell r="G1338">
            <v>0</v>
          </cell>
          <cell r="H1338" t="str">
            <v>No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</row>
        <row r="1339">
          <cell r="A1339" t="str">
            <v>FU1337</v>
          </cell>
          <cell r="B1339" t="str">
            <v>Fusteltecnica</v>
          </cell>
          <cell r="C1339" t="str">
            <v>E09315</v>
          </cell>
          <cell r="D1339" t="str">
            <v>Tradigo</v>
          </cell>
          <cell r="E1339" t="str">
            <v>astucci spazzola naturale</v>
          </cell>
          <cell r="F1339" t="str">
            <v>BOBST 1260</v>
          </cell>
          <cell r="G1339">
            <v>4</v>
          </cell>
          <cell r="H1339" t="str">
            <v>No</v>
          </cell>
          <cell r="I1339" t="str">
            <v>Si</v>
          </cell>
          <cell r="J1339" t="str">
            <v>No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</row>
        <row r="1340">
          <cell r="A1340" t="str">
            <v>FU1338</v>
          </cell>
          <cell r="B1340" t="str">
            <v>Fusteltecnica</v>
          </cell>
          <cell r="C1340" t="str">
            <v>E09348</v>
          </cell>
          <cell r="D1340" t="str">
            <v>Pantytex</v>
          </cell>
          <cell r="E1340" t="str">
            <v>Astucci DM30</v>
          </cell>
          <cell r="F1340" t="str">
            <v>BOBST 104</v>
          </cell>
          <cell r="G1340">
            <v>9</v>
          </cell>
          <cell r="H1340" t="str">
            <v>Si</v>
          </cell>
          <cell r="I1340" t="str">
            <v>No</v>
          </cell>
          <cell r="J1340" t="str">
            <v>No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</row>
        <row r="1341">
          <cell r="A1341" t="str">
            <v>FU1339</v>
          </cell>
          <cell r="B1341" t="str">
            <v>Fusteltecnica</v>
          </cell>
          <cell r="C1341" t="str">
            <v>M11135</v>
          </cell>
          <cell r="D1341" t="str">
            <v>Bonadei</v>
          </cell>
          <cell r="E1341" t="str">
            <v>Fondo coperchio Ant 45</v>
          </cell>
          <cell r="F1341" t="str">
            <v>BOBST 104</v>
          </cell>
          <cell r="G1341">
            <v>2</v>
          </cell>
          <cell r="H1341" t="str">
            <v>Si</v>
          </cell>
          <cell r="I1341" t="str">
            <v>No</v>
          </cell>
          <cell r="J1341" t="str">
            <v>No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</row>
        <row r="1342">
          <cell r="A1342" t="str">
            <v>FU1340</v>
          </cell>
          <cell r="B1342" t="str">
            <v>Fusteltecnica</v>
          </cell>
          <cell r="C1342" t="str">
            <v>E09363</v>
          </cell>
          <cell r="D1342" t="str">
            <v>Gizeta</v>
          </cell>
          <cell r="E1342" t="str">
            <v>Fondi Borghi Uomo</v>
          </cell>
          <cell r="F1342" t="str">
            <v>BOBST 1260</v>
          </cell>
          <cell r="G1342">
            <v>1</v>
          </cell>
          <cell r="H1342" t="str">
            <v>No</v>
          </cell>
          <cell r="I1342" t="str">
            <v>Si</v>
          </cell>
          <cell r="J1342" t="str">
            <v>No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</row>
        <row r="1343">
          <cell r="A1343" t="str">
            <v>FU1341</v>
          </cell>
          <cell r="B1343" t="str">
            <v>Fusteltecnica</v>
          </cell>
          <cell r="C1343" t="str">
            <v>B01588</v>
          </cell>
          <cell r="D1343" t="str">
            <v>Tradigo</v>
          </cell>
          <cell r="E1343" t="str">
            <v>Bueste AD L</v>
          </cell>
          <cell r="F1343" t="str">
            <v>BOBST 1260</v>
          </cell>
          <cell r="G1343">
            <v>4</v>
          </cell>
          <cell r="H1343" t="str">
            <v>No</v>
          </cell>
          <cell r="I1343" t="str">
            <v>Si</v>
          </cell>
          <cell r="J1343" t="str">
            <v>No</v>
          </cell>
          <cell r="K1343">
            <v>0</v>
          </cell>
          <cell r="L1343" t="str">
            <v>Si</v>
          </cell>
          <cell r="M1343" t="str">
            <v>Diana Pro 114</v>
          </cell>
          <cell r="N1343" t="str">
            <v>Buste a L</v>
          </cell>
        </row>
        <row r="1344">
          <cell r="A1344" t="str">
            <v>FU1342</v>
          </cell>
          <cell r="B1344" t="str">
            <v>Fusteltecnica</v>
          </cell>
          <cell r="C1344" t="str">
            <v>E09404</v>
          </cell>
          <cell r="D1344" t="str">
            <v>Cinturificio Bresciano</v>
          </cell>
          <cell r="E1344" t="str">
            <v>Coperchi GMV</v>
          </cell>
          <cell r="F1344" t="str">
            <v>BOBST 1260</v>
          </cell>
          <cell r="G1344">
            <v>2</v>
          </cell>
          <cell r="H1344" t="str">
            <v>No</v>
          </cell>
          <cell r="I1344" t="str">
            <v>Si</v>
          </cell>
          <cell r="J1344" t="str">
            <v>No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</row>
        <row r="1345">
          <cell r="A1345" t="str">
            <v>FU1343</v>
          </cell>
          <cell r="B1345" t="str">
            <v>Fusteltecnica</v>
          </cell>
          <cell r="C1345" t="str">
            <v>E09403</v>
          </cell>
          <cell r="D1345" t="str">
            <v>Cinturificio Bresciano</v>
          </cell>
          <cell r="E1345" t="str">
            <v>Fondi GMV</v>
          </cell>
          <cell r="F1345" t="str">
            <v>BOBST 1260</v>
          </cell>
          <cell r="G1345">
            <v>2</v>
          </cell>
          <cell r="H1345" t="str">
            <v>No</v>
          </cell>
          <cell r="I1345" t="str">
            <v>Si</v>
          </cell>
          <cell r="J1345" t="str">
            <v>No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</row>
        <row r="1346">
          <cell r="A1346" t="str">
            <v>FU1344</v>
          </cell>
          <cell r="B1346" t="str">
            <v>Fusteltecnica</v>
          </cell>
          <cell r="C1346" t="str">
            <v>M10895</v>
          </cell>
          <cell r="D1346" t="str">
            <v>D&amp;G</v>
          </cell>
          <cell r="E1346" t="str">
            <v>Panettone 500 g</v>
          </cell>
          <cell r="F1346" t="str">
            <v>BOBST 1260</v>
          </cell>
          <cell r="G1346">
            <v>2</v>
          </cell>
          <cell r="H1346" t="str">
            <v>No</v>
          </cell>
          <cell r="I1346" t="str">
            <v>Si</v>
          </cell>
          <cell r="J1346" t="str">
            <v>No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</row>
        <row r="1347">
          <cell r="A1347" t="str">
            <v>FU1345</v>
          </cell>
          <cell r="B1347" t="str">
            <v>Fusteltecnica</v>
          </cell>
          <cell r="C1347" t="str">
            <v>B01580</v>
          </cell>
          <cell r="D1347" t="str">
            <v>Tradigo</v>
          </cell>
          <cell r="E1347" t="str">
            <v>Scatola Calzante</v>
          </cell>
          <cell r="F1347" t="str">
            <v>BOBST 1260</v>
          </cell>
          <cell r="G1347">
            <v>1</v>
          </cell>
          <cell r="H1347" t="str">
            <v>Si</v>
          </cell>
          <cell r="I1347" t="str">
            <v>Si</v>
          </cell>
          <cell r="J1347" t="str">
            <v>No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</row>
        <row r="1348">
          <cell r="A1348" t="str">
            <v>FU1346</v>
          </cell>
          <cell r="B1348" t="str">
            <v>Fusteltecnica</v>
          </cell>
          <cell r="C1348" t="str">
            <v>B01595</v>
          </cell>
          <cell r="D1348" t="str">
            <v>Alfagel</v>
          </cell>
          <cell r="E1348" t="str">
            <v>Astucci Calippo Tubes</v>
          </cell>
          <cell r="F1348" t="str">
            <v>BOBST 104</v>
          </cell>
          <cell r="G1348">
            <v>4</v>
          </cell>
          <cell r="H1348" t="str">
            <v>Si</v>
          </cell>
          <cell r="I1348" t="str">
            <v>No</v>
          </cell>
          <cell r="J1348" t="str">
            <v>No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</row>
        <row r="1349">
          <cell r="A1349" t="str">
            <v>FU1347</v>
          </cell>
          <cell r="B1349" t="str">
            <v>Fusteltecnica</v>
          </cell>
          <cell r="C1349" t="str">
            <v>E09440</v>
          </cell>
          <cell r="D1349" t="str">
            <v>Offel</v>
          </cell>
          <cell r="E1349" t="str">
            <v>Astucci G1738</v>
          </cell>
          <cell r="F1349" t="str">
            <v>BOBST 1260</v>
          </cell>
          <cell r="G1349">
            <v>6</v>
          </cell>
          <cell r="H1349" t="str">
            <v>No</v>
          </cell>
          <cell r="I1349" t="str">
            <v>Si</v>
          </cell>
          <cell r="J1349" t="str">
            <v>No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</row>
        <row r="1350">
          <cell r="A1350" t="str">
            <v>FU1348</v>
          </cell>
          <cell r="B1350" t="str">
            <v>Fusteltecnica</v>
          </cell>
          <cell r="C1350" t="str">
            <v>R12049</v>
          </cell>
          <cell r="D1350" t="str">
            <v>Feldi</v>
          </cell>
          <cell r="E1350" t="str">
            <v>Bauletti per fascia anticellulite</v>
          </cell>
          <cell r="F1350" t="str">
            <v>BOBST 1260</v>
          </cell>
          <cell r="G1350">
            <v>2</v>
          </cell>
          <cell r="H1350" t="str">
            <v>No</v>
          </cell>
          <cell r="I1350" t="str">
            <v>Si</v>
          </cell>
          <cell r="J1350" t="str">
            <v>No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</row>
        <row r="1351">
          <cell r="A1351" t="str">
            <v>FU1349</v>
          </cell>
          <cell r="B1351" t="str">
            <v>Fusteltecnica</v>
          </cell>
          <cell r="C1351" t="str">
            <v>E09488</v>
          </cell>
          <cell r="D1351" t="str">
            <v>Quaranta</v>
          </cell>
          <cell r="E1351" t="str">
            <v>Astucci ministecche</v>
          </cell>
          <cell r="F1351" t="str">
            <v>BOBST 1260</v>
          </cell>
          <cell r="G1351">
            <v>4</v>
          </cell>
          <cell r="H1351" t="str">
            <v>No</v>
          </cell>
          <cell r="I1351" t="str">
            <v>Si</v>
          </cell>
          <cell r="J1351" t="str">
            <v>No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</row>
        <row r="1352">
          <cell r="A1352" t="str">
            <v>FU1350</v>
          </cell>
          <cell r="B1352" t="str">
            <v>Fusteltecnica</v>
          </cell>
          <cell r="C1352" t="str">
            <v>E09449</v>
          </cell>
          <cell r="D1352" t="str">
            <v>RCM</v>
          </cell>
          <cell r="E1352" t="str">
            <v>Astucci mon shampoing</v>
          </cell>
          <cell r="F1352" t="str">
            <v>BOBST 104</v>
          </cell>
          <cell r="G1352">
            <v>6</v>
          </cell>
          <cell r="H1352" t="str">
            <v>No</v>
          </cell>
          <cell r="I1352" t="str">
            <v>No</v>
          </cell>
          <cell r="J1352" t="str">
            <v>No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</row>
        <row r="1353">
          <cell r="A1353" t="str">
            <v>FU1351</v>
          </cell>
          <cell r="B1353" t="str">
            <v>Fusteltecnica</v>
          </cell>
          <cell r="C1353" t="str">
            <v>E09365</v>
          </cell>
          <cell r="D1353" t="str">
            <v>Genny</v>
          </cell>
          <cell r="E1353" t="str">
            <v>Appendini Bimba 3X</v>
          </cell>
          <cell r="F1353" t="str">
            <v>BOBST 104</v>
          </cell>
          <cell r="G1353">
            <v>4</v>
          </cell>
          <cell r="H1353" t="str">
            <v>Si</v>
          </cell>
          <cell r="I1353" t="str">
            <v>No</v>
          </cell>
          <cell r="J1353" t="str">
            <v>No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</row>
        <row r="1354">
          <cell r="A1354" t="str">
            <v>FU1352</v>
          </cell>
          <cell r="B1354" t="str">
            <v>Fusteltecnica</v>
          </cell>
          <cell r="C1354" t="str">
            <v>M11335</v>
          </cell>
          <cell r="D1354" t="str">
            <v>Quaranta</v>
          </cell>
          <cell r="E1354" t="str">
            <v>Fascette D36</v>
          </cell>
          <cell r="F1354" t="str">
            <v>BOBST 104</v>
          </cell>
          <cell r="G1354">
            <v>16</v>
          </cell>
          <cell r="H1354" t="str">
            <v>Si</v>
          </cell>
          <cell r="I1354" t="str">
            <v>No</v>
          </cell>
          <cell r="J1354" t="str">
            <v>No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</row>
        <row r="1355">
          <cell r="A1355" t="str">
            <v>FU1353</v>
          </cell>
          <cell r="B1355" t="str">
            <v>Fusteltecnica</v>
          </cell>
          <cell r="C1355" t="str">
            <v>M11336</v>
          </cell>
          <cell r="D1355" t="str">
            <v>Quaranta</v>
          </cell>
          <cell r="E1355" t="str">
            <v>Fascette D41</v>
          </cell>
          <cell r="F1355" t="str">
            <v>BOBST 104</v>
          </cell>
          <cell r="G1355">
            <v>16</v>
          </cell>
          <cell r="H1355" t="str">
            <v>Si</v>
          </cell>
          <cell r="I1355" t="str">
            <v>No</v>
          </cell>
          <cell r="J1355" t="str">
            <v>No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</row>
        <row r="1356">
          <cell r="A1356" t="str">
            <v>FU1354</v>
          </cell>
          <cell r="B1356" t="str">
            <v>Fusteltecnica</v>
          </cell>
          <cell r="C1356" t="str">
            <v>E09455</v>
          </cell>
          <cell r="D1356" t="str">
            <v>RCM</v>
          </cell>
          <cell r="E1356" t="str">
            <v>Astucci Nee 71 Australian Gold</v>
          </cell>
          <cell r="F1356" t="str">
            <v>BOBST 1260</v>
          </cell>
          <cell r="G1356">
            <v>8</v>
          </cell>
          <cell r="H1356" t="str">
            <v>No</v>
          </cell>
          <cell r="I1356" t="str">
            <v>Si</v>
          </cell>
          <cell r="J1356" t="str">
            <v>No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</row>
        <row r="1357">
          <cell r="A1357" t="str">
            <v>FU1355</v>
          </cell>
          <cell r="B1357" t="str">
            <v>Fusteltecnica</v>
          </cell>
          <cell r="C1357" t="str">
            <v>E09505</v>
          </cell>
          <cell r="D1357" t="str">
            <v>Eire</v>
          </cell>
          <cell r="E1357" t="str">
            <v>Astucci Riday</v>
          </cell>
          <cell r="F1357" t="str">
            <v>BOBST 1260</v>
          </cell>
          <cell r="G1357">
            <v>2</v>
          </cell>
          <cell r="H1357" t="str">
            <v>No</v>
          </cell>
          <cell r="I1357" t="str">
            <v>Si</v>
          </cell>
          <cell r="J1357" t="str">
            <v>No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</row>
        <row r="1358">
          <cell r="A1358" t="str">
            <v>FU1356</v>
          </cell>
          <cell r="B1358" t="str">
            <v>Fusteltecnica</v>
          </cell>
          <cell r="C1358" t="str">
            <v>B01608</v>
          </cell>
          <cell r="D1358" t="str">
            <v>Startingline</v>
          </cell>
          <cell r="E1358" t="str">
            <v>Astucci Dolcificante</v>
          </cell>
          <cell r="F1358" t="str">
            <v>BOBST 1260</v>
          </cell>
          <cell r="G1358">
            <v>8</v>
          </cell>
          <cell r="H1358" t="str">
            <v>No</v>
          </cell>
          <cell r="I1358" t="str">
            <v>Si</v>
          </cell>
          <cell r="J1358" t="str">
            <v>No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</row>
        <row r="1359">
          <cell r="A1359" t="str">
            <v>FU1357</v>
          </cell>
          <cell r="B1359">
            <v>0</v>
          </cell>
          <cell r="C1359" t="str">
            <v>-</v>
          </cell>
          <cell r="D1359" t="str">
            <v>RCM</v>
          </cell>
          <cell r="E1359" t="str">
            <v>Astucci CBD</v>
          </cell>
          <cell r="F1359" t="str">
            <v>BOBST 104</v>
          </cell>
          <cell r="G1359">
            <v>6</v>
          </cell>
          <cell r="H1359" t="str">
            <v>No</v>
          </cell>
          <cell r="I1359" t="str">
            <v>No</v>
          </cell>
          <cell r="J1359" t="str">
            <v>No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</row>
        <row r="1360">
          <cell r="A1360" t="str">
            <v>FU1358</v>
          </cell>
          <cell r="B1360" t="str">
            <v>Fusteltecnica</v>
          </cell>
          <cell r="C1360" t="str">
            <v>E09436</v>
          </cell>
          <cell r="D1360" t="str">
            <v>Quaranta</v>
          </cell>
          <cell r="E1360" t="str">
            <v>Espositore Billa</v>
          </cell>
          <cell r="F1360" t="str">
            <v>BOBST 1260</v>
          </cell>
          <cell r="G1360">
            <v>1</v>
          </cell>
          <cell r="H1360" t="str">
            <v>No</v>
          </cell>
          <cell r="I1360" t="str">
            <v>Si</v>
          </cell>
          <cell r="J1360" t="str">
            <v>No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</row>
        <row r="1361">
          <cell r="A1361" t="str">
            <v>FU1359</v>
          </cell>
          <cell r="B1361" t="str">
            <v>Fusteltecnica</v>
          </cell>
          <cell r="C1361" t="str">
            <v>E09548</v>
          </cell>
          <cell r="D1361" t="str">
            <v>EP</v>
          </cell>
          <cell r="E1361" t="str">
            <v>Scatole imballo TL 143</v>
          </cell>
          <cell r="F1361" t="str">
            <v>BOBST 1260</v>
          </cell>
          <cell r="G1361">
            <v>1</v>
          </cell>
          <cell r="H1361" t="str">
            <v>No</v>
          </cell>
          <cell r="I1361" t="str">
            <v>Si</v>
          </cell>
          <cell r="J1361" t="str">
            <v>No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</row>
        <row r="1362">
          <cell r="A1362" t="str">
            <v>FU1360</v>
          </cell>
          <cell r="B1362" t="str">
            <v>Fusteltecnica</v>
          </cell>
          <cell r="C1362" t="str">
            <v>E09572</v>
          </cell>
          <cell r="D1362" t="str">
            <v>RCM</v>
          </cell>
          <cell r="E1362" t="str">
            <v>Astucci Australian NR. 73</v>
          </cell>
          <cell r="F1362" t="str">
            <v>BOBST 1260</v>
          </cell>
          <cell r="G1362">
            <v>10</v>
          </cell>
          <cell r="H1362" t="str">
            <v>No</v>
          </cell>
          <cell r="I1362" t="str">
            <v>Si</v>
          </cell>
          <cell r="J1362" t="str">
            <v>No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</row>
        <row r="1363">
          <cell r="A1363" t="str">
            <v>FU1361</v>
          </cell>
          <cell r="B1363" t="str">
            <v>Fusteltecnica</v>
          </cell>
          <cell r="C1363" t="str">
            <v>E09582</v>
          </cell>
          <cell r="D1363" t="str">
            <v>Tracy</v>
          </cell>
          <cell r="E1363" t="str">
            <v>Appendini Gemo Kids</v>
          </cell>
          <cell r="F1363" t="str">
            <v>BOBST 104</v>
          </cell>
          <cell r="G1363">
            <v>8</v>
          </cell>
          <cell r="H1363" t="str">
            <v>No</v>
          </cell>
          <cell r="I1363" t="str">
            <v>No</v>
          </cell>
          <cell r="J1363" t="str">
            <v>No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</row>
        <row r="1364">
          <cell r="A1364" t="str">
            <v>FU1362</v>
          </cell>
          <cell r="B1364" t="str">
            <v>Fusteltecnica</v>
          </cell>
          <cell r="C1364" t="str">
            <v>B00932</v>
          </cell>
          <cell r="D1364" t="str">
            <v>Tracy</v>
          </cell>
          <cell r="E1364" t="str">
            <v>Appendini Collant donna</v>
          </cell>
          <cell r="F1364" t="str">
            <v>BOBST 104</v>
          </cell>
          <cell r="G1364">
            <v>8</v>
          </cell>
          <cell r="H1364" t="str">
            <v>No</v>
          </cell>
          <cell r="I1364" t="str">
            <v>No</v>
          </cell>
          <cell r="J1364" t="str">
            <v>No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</row>
        <row r="1365">
          <cell r="C1365"/>
          <cell r="E1365"/>
          <cell r="G1365"/>
          <cell r="H1365"/>
          <cell r="I1365"/>
          <cell r="J1365"/>
          <cell r="K1365"/>
          <cell r="L1365"/>
          <cell r="M1365"/>
          <cell r="N1365"/>
        </row>
        <row r="1366">
          <cell r="C1366"/>
          <cell r="E1366"/>
          <cell r="G1366"/>
          <cell r="H1366"/>
          <cell r="I1366"/>
          <cell r="J1366"/>
          <cell r="K1366"/>
          <cell r="L1366"/>
          <cell r="M1366"/>
          <cell r="N1366"/>
        </row>
        <row r="1367">
          <cell r="C1367"/>
          <cell r="E1367"/>
          <cell r="G1367"/>
          <cell r="H1367"/>
          <cell r="I1367"/>
          <cell r="J1367"/>
          <cell r="K1367"/>
          <cell r="L1367"/>
          <cell r="M1367"/>
          <cell r="N1367"/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ella6" displayName="Tabella6" ref="BV5:DA43" totalsRowShown="0" headerRowDxfId="36" dataDxfId="35">
  <tableColumns count="32">
    <tableColumn id="1" xr3:uid="{00000000-0010-0000-0000-000001000000}" name="ID" dataDxfId="34"/>
    <tableColumn id="8" xr3:uid="{00000000-0010-0000-0000-000008000000}" name="CERT." dataDxfId="33">
      <calculatedColumnFormula>IFERROR(VLOOKUP($BV6,[2]Giacenza_Articoli!$A$2:$AO$10000,7,FALSE),"")</calculatedColumnFormula>
    </tableColumn>
    <tableColumn id="10" xr3:uid="{00000000-0010-0000-0000-00000A000000}" name="CART." dataDxfId="32">
      <calculatedColumnFormula>IFERROR(VLOOKUP($BV6,[2]Giacenza_Articoli!$A$2:$AO$10000,8,FALSE),"")</calculatedColumnFormula>
    </tableColumn>
    <tableColumn id="12" xr3:uid="{00000000-0010-0000-0000-00000C000000}" name="GR." dataDxfId="31">
      <calculatedColumnFormula>IFERROR(VLOOKUP($BV6,[2]Giacenza_Articoli!$A$2:$AO$10000,9,FALSE),"")</calculatedColumnFormula>
    </tableColumn>
    <tableColumn id="14" xr3:uid="{00000000-0010-0000-0000-00000E000000}" name="C" dataDxfId="30">
      <calculatedColumnFormula>IFERROR(VLOOKUP($BV6,[2]Giacenza_Articoli!$A$2:$AO$10000,10,FALSE),"")</calculatedColumnFormula>
    </tableColumn>
    <tableColumn id="15" xr3:uid="{00000000-0010-0000-0000-00000F000000}" name="M" dataDxfId="29">
      <calculatedColumnFormula>IFERROR(VLOOKUP($BV6,[2]Giacenza_Articoli!$A$2:$AO$10000,11,FALSE),"")</calculatedColumnFormula>
    </tableColumn>
    <tableColumn id="16" xr3:uid="{00000000-0010-0000-0000-000010000000}" name="Y" dataDxfId="28">
      <calculatedColumnFormula>IFERROR(VLOOKUP($BV6,[2]Giacenza_Articoli!$A$2:$AO$10000,12,FALSE),"")</calculatedColumnFormula>
    </tableColumn>
    <tableColumn id="17" xr3:uid="{00000000-0010-0000-0000-000011000000}" name="K" dataDxfId="27">
      <calculatedColumnFormula>IFERROR(VLOOKUP($BV6,[2]Giacenza_Articoli!$A$2:$AO$10000,13,FALSE),"")</calculatedColumnFormula>
    </tableColumn>
    <tableColumn id="18" xr3:uid="{00000000-0010-0000-0000-000012000000}" name="PAN." dataDxfId="26">
      <calculatedColumnFormula>IFERROR(VLOOKUP($BV6,[2]Giacenza_Articoli!$A$2:$AO$10000,14,FALSE),"")</calculatedColumnFormula>
    </tableColumn>
    <tableColumn id="20" xr3:uid="{00000000-0010-0000-0000-000014000000}" name="PAN. 2" dataDxfId="25">
      <calculatedColumnFormula>IFERROR(VLOOKUP($BV6,[2]Giacenza_Articoli!$A$2:$AO$10000,15,FALSE),"")</calculatedColumnFormula>
    </tableColumn>
    <tableColumn id="22" xr3:uid="{00000000-0010-0000-0000-000016000000}" name="PAN. 3" dataDxfId="24">
      <calculatedColumnFormula>IFERROR(VLOOKUP($BV6,[2]Giacenza_Articoli!$A$2:$AO$10000,16,FALSE),"")</calculatedColumnFormula>
    </tableColumn>
    <tableColumn id="24" xr3:uid="{00000000-0010-0000-0000-000018000000}" name="PAN. 4" dataDxfId="23">
      <calculatedColumnFormula>IFERROR(VLOOKUP($BV6,[2]Giacenza_Articoli!$A$2:$AO$10000,17,FALSE),"")</calculatedColumnFormula>
    </tableColumn>
    <tableColumn id="26" xr3:uid="{00000000-0010-0000-0000-00001A000000}" name="PAN. 5" dataDxfId="22">
      <calculatedColumnFormula>IFERROR(VLOOKUP($BV6,[2]Giacenza_Articoli!$A$2:$AO$10000,18,FALSE),"")</calculatedColumnFormula>
    </tableColumn>
    <tableColumn id="28" xr3:uid="{00000000-0010-0000-0000-00001C000000}" name="PAN. 6" dataDxfId="21">
      <calculatedColumnFormula>IFERROR(VLOOKUP($BV6,[2]Giacenza_Articoli!$A$2:$AO$10000,19,FALSE),"")</calculatedColumnFormula>
    </tableColumn>
    <tableColumn id="30" xr3:uid="{00000000-0010-0000-0000-00001E000000}" name="POL." dataDxfId="20">
      <calculatedColumnFormula>IFERROR(VLOOKUP($BV6,[2]Giacenza_Articoli!$A$2:$AO$10000,20,FALSE),"")</calculatedColumnFormula>
    </tableColumn>
    <tableColumn id="32" xr3:uid="{00000000-0010-0000-0000-000020000000}" name="LINEAR." dataDxfId="19">
      <calculatedColumnFormula>IFERROR(VLOOKUP($BV6,[2]Giacenza_Articoli!$A$2:$AO$10000,21,FALSE),"")</calculatedColumnFormula>
    </tableColumn>
    <tableColumn id="34" xr3:uid="{00000000-0010-0000-0000-000022000000}" name="FINITURA" dataDxfId="18">
      <calculatedColumnFormula>IFERROR(VLOOKUP($BV6,[2]Giacenza_Articoli!$A$2:$AO$10000,22,FALSE),"")</calculatedColumnFormula>
    </tableColumn>
    <tableColumn id="38" xr3:uid="{00000000-0010-0000-0000-000026000000}" name="UV" dataDxfId="17">
      <calculatedColumnFormula>IFERROR(VLOOKUP($BV6,[2]Giacenza_Articoli!$A$2:$AO$10000,23,FALSE),"")</calculatedColumnFormula>
    </tableColumn>
    <tableColumn id="42" xr3:uid="{00000000-0010-0000-0000-00002A000000}" name="POL. UV" dataDxfId="16">
      <calculatedColumnFormula>IFERROR(VLOOKUP($BV6,[2]Giacenza_Articoli!$A$2:$AO$10000,24,FALSE),"")</calculatedColumnFormula>
    </tableColumn>
    <tableColumn id="44" xr3:uid="{00000000-0010-0000-0000-00002C000000}" name="TERZ." dataDxfId="15">
      <calculatedColumnFormula>IFERROR(VLOOKUP($BV6,[2]Giacenza_Articoli!$A$2:$AO$10000,25,FALSE),"")</calculatedColumnFormula>
    </tableColumn>
    <tableColumn id="46" xr3:uid="{00000000-0010-0000-0000-00002E000000}" name="LAVOR." dataDxfId="14">
      <calculatedColumnFormula>IFERROR(VLOOKUP($BV6,[2]Giacenza_Articoli!$A$2:$AO$10000,26,FALSE),"")</calculatedColumnFormula>
    </tableColumn>
    <tableColumn id="51" xr3:uid="{00000000-0010-0000-0000-000033000000}" name="TERZ.2" dataDxfId="13">
      <calculatedColumnFormula>IFERROR(VLOOKUP($BV6,[2]Giacenza_Articoli!$A$2:$AO$10000,27,FALSE),"")</calculatedColumnFormula>
    </tableColumn>
    <tableColumn id="53" xr3:uid="{00000000-0010-0000-0000-000035000000}" name="LAVOR. 2" dataDxfId="12">
      <calculatedColumnFormula>IFERROR(VLOOKUP($BV6,[2]Giacenza_Articoli!$A$2:$AO$10000,28,FALSE),"")</calculatedColumnFormula>
    </tableColumn>
    <tableColumn id="58" xr3:uid="{00000000-0010-0000-0000-00003A000000}" name="CLICHE'" dataDxfId="11">
      <calculatedColumnFormula>IFERROR(VLOOKUP($BV6,[2]Giacenza_Articoli!$A$2:$AO$10000,29,FALSE),"")</calculatedColumnFormula>
    </tableColumn>
    <tableColumn id="60" xr3:uid="{00000000-0010-0000-0000-00003C000000}" name="PELL." dataDxfId="10">
      <calculatedColumnFormula>IFERROR(VLOOKUP($BV6,[2]Giacenza_Articoli!$A$2:$AO$10000,30,FALSE),"")</calculatedColumnFormula>
    </tableColumn>
    <tableColumn id="62" xr3:uid="{00000000-0010-0000-0000-00003E000000}" name="FUST" dataDxfId="9">
      <calculatedColumnFormula>IFERROR(VLOOKUP($BV6,[2]Giacenza_Articoli!$A$2:$AO$10000,31,FALSE),"")</calculatedColumnFormula>
    </tableColumn>
    <tableColumn id="2" xr3:uid="{00000000-0010-0000-0000-000002000000}" name="TAX" dataDxfId="8"/>
    <tableColumn id="64" xr3:uid="{00000000-0010-0000-0000-000040000000}" name="FIN" dataDxfId="7">
      <calculatedColumnFormula>IFERROR(VLOOKUP($BV6,[2]Giacenza_Articoli!$A$2:$AO$10000,32,FALSE),"")</calculatedColumnFormula>
    </tableColumn>
    <tableColumn id="65" xr3:uid="{00000000-0010-0000-0000-000041000000}" name="H FIN" dataDxfId="6">
      <calculatedColumnFormula>IFERROR(VLOOKUP($BV6,[2]Giacenza_Articoli!$A$2:$AO$10000,33,FALSE),"")</calculatedColumnFormula>
    </tableColumn>
    <tableColumn id="67" xr3:uid="{00000000-0010-0000-0000-000043000000}" name="SCAT." dataDxfId="5">
      <calculatedColumnFormula>IFERROR(VLOOKUP($BV6,[2]Giacenza_Articoli!$A$2:$AO$10000,36,FALSE),"")</calculatedColumnFormula>
    </tableColumn>
    <tableColumn id="69" xr3:uid="{00000000-0010-0000-0000-000045000000}" name="QUANT." dataDxfId="4">
      <calculatedColumnFormula>IFERROR(VLOOKUP($BV6,[2]Giacenza_Articoli!$A$2:$AO$10000,37,FALSE),"")</calculatedColumnFormula>
    </tableColumn>
    <tableColumn id="71" xr3:uid="{00000000-0010-0000-0000-000047000000}" name="PESO" dataDxfId="3">
      <calculatedColumnFormula>IFERROR(VLOOKUP($BV6,[2]Giacenza_Articoli!$A$2:$AO$10000,38,FALSE),"")</calculatedColumnFormula>
    </tableColumn>
  </tableColumns>
  <tableStyleInfo name="Stile tabel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LIENTI" displayName="CLIENTI" ref="A1:A126" totalsRowShown="0" headerRowDxfId="2" dataDxfId="1">
  <autoFilter ref="A1:A126" xr:uid="{00000000-0009-0000-0100-000001000000}"/>
  <tableColumns count="1">
    <tableColumn id="1" xr3:uid="{00000000-0010-0000-0100-000001000000}" name="CLIENTI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DB164"/>
  <sheetViews>
    <sheetView tabSelected="1" view="pageBreakPreview" topLeftCell="A12" zoomScaleNormal="100" zoomScaleSheetLayoutView="100" zoomScalePageLayoutView="150" workbookViewId="0">
      <selection activeCell="AE40" sqref="AE40:AG41"/>
    </sheetView>
  </sheetViews>
  <sheetFormatPr defaultColWidth="2.625" defaultRowHeight="11.1" customHeight="1"/>
  <cols>
    <col min="1" max="1" width="0.375" style="5" customWidth="1"/>
    <col min="2" max="73" width="2.625" style="5"/>
    <col min="74" max="74" width="14" style="5" bestFit="1" customWidth="1"/>
    <col min="75" max="75" width="7.5" style="5" bestFit="1" customWidth="1"/>
    <col min="76" max="82" width="5.375" style="5" bestFit="1" customWidth="1"/>
    <col min="83" max="83" width="5.625" style="5" bestFit="1" customWidth="1"/>
    <col min="84" max="84" width="5.875" style="5" bestFit="1" customWidth="1"/>
    <col min="85" max="87" width="5.625" style="5" bestFit="1" customWidth="1"/>
    <col min="88" max="88" width="4.625" style="5" bestFit="1" customWidth="1"/>
    <col min="89" max="89" width="6.625" style="5" bestFit="1" customWidth="1"/>
    <col min="90" max="90" width="10.375" style="5" bestFit="1" customWidth="1"/>
    <col min="91" max="91" width="4.625" style="5" bestFit="1" customWidth="1"/>
    <col min="92" max="92" width="6.5" style="5" bestFit="1" customWidth="1"/>
    <col min="93" max="93" width="5.125" style="5" bestFit="1" customWidth="1"/>
    <col min="94" max="95" width="6" style="5" bestFit="1" customWidth="1"/>
    <col min="96" max="96" width="7.125" style="5" bestFit="1" customWidth="1"/>
    <col min="97" max="97" width="6.5" style="5" bestFit="1" customWidth="1"/>
    <col min="98" max="98" width="4.875" style="5" bestFit="1" customWidth="1"/>
    <col min="99" max="99" width="5.375" style="5" bestFit="1" customWidth="1"/>
    <col min="100" max="100" width="5.375" style="5" customWidth="1"/>
    <col min="101" max="101" width="4.625" style="5" bestFit="1" customWidth="1"/>
    <col min="102" max="103" width="5.125" style="5" bestFit="1" customWidth="1"/>
    <col min="104" max="104" width="6.5" style="5" bestFit="1" customWidth="1"/>
    <col min="105" max="105" width="4.875" style="5" bestFit="1" customWidth="1"/>
    <col min="106" max="106" width="2.5" style="5" customWidth="1"/>
    <col min="107" max="107" width="2.625" style="5" customWidth="1"/>
    <col min="108" max="16384" width="2.625" style="5"/>
  </cols>
  <sheetData>
    <row r="1" spans="2:106" ht="2.1" customHeight="1" thickBot="1">
      <c r="AK1" s="6"/>
      <c r="AL1" s="6"/>
      <c r="AM1" s="132" t="s">
        <v>130</v>
      </c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2"/>
      <c r="BD1" s="132"/>
      <c r="BE1" s="132"/>
      <c r="BF1" s="132"/>
      <c r="BG1" s="132"/>
      <c r="BH1" s="132"/>
      <c r="BI1" s="132"/>
      <c r="BJ1" s="132"/>
      <c r="BK1" s="132"/>
      <c r="BL1" s="132"/>
      <c r="BM1" s="132"/>
      <c r="BN1" s="132"/>
      <c r="BO1" s="132"/>
      <c r="BP1" s="132"/>
      <c r="BQ1" s="132"/>
      <c r="BR1" s="132"/>
      <c r="BS1" s="132"/>
      <c r="BT1" s="132"/>
      <c r="BU1" s="132"/>
    </row>
    <row r="2" spans="2:106" ht="11.1" customHeight="1" thickBot="1">
      <c r="B2" s="115" t="s">
        <v>0</v>
      </c>
      <c r="C2" s="116"/>
      <c r="D2" s="116"/>
      <c r="E2" s="116"/>
      <c r="F2" s="117">
        <f>AQ3</f>
        <v>202207960</v>
      </c>
      <c r="G2" s="117"/>
      <c r="H2" s="117"/>
      <c r="I2" s="117"/>
      <c r="J2" s="117"/>
      <c r="K2" s="117"/>
      <c r="L2" s="116" t="s">
        <v>1</v>
      </c>
      <c r="M2" s="116"/>
      <c r="N2" s="116"/>
      <c r="O2" s="116"/>
      <c r="P2" s="118">
        <f ca="1">BA3</f>
        <v>44882</v>
      </c>
      <c r="Q2" s="117"/>
      <c r="R2" s="117"/>
      <c r="S2" s="117"/>
      <c r="T2" s="116" t="s">
        <v>2</v>
      </c>
      <c r="U2" s="116"/>
      <c r="V2" s="116"/>
      <c r="W2" s="116"/>
      <c r="X2" s="117">
        <f>BI3</f>
        <v>724</v>
      </c>
      <c r="Y2" s="117"/>
      <c r="Z2" s="117"/>
      <c r="AA2" s="117"/>
      <c r="AB2" s="117"/>
      <c r="AC2" s="116" t="s">
        <v>3</v>
      </c>
      <c r="AD2" s="116"/>
      <c r="AE2" s="116"/>
      <c r="AF2" s="116"/>
      <c r="AG2" s="118">
        <f>BR3</f>
        <v>44845</v>
      </c>
      <c r="AH2" s="117"/>
      <c r="AI2" s="117"/>
      <c r="AJ2" s="125"/>
      <c r="AK2" s="6"/>
      <c r="AL2" s="6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5">
        <f>IFERROR(IF(BW2&gt;0,13,8),8)</f>
        <v>13</v>
      </c>
      <c r="BW2" s="5">
        <f>FIND("EPAL",X6)</f>
        <v>1</v>
      </c>
    </row>
    <row r="3" spans="2:106" ht="11.1" customHeight="1">
      <c r="B3" s="126" t="s">
        <v>5</v>
      </c>
      <c r="C3" s="127"/>
      <c r="D3" s="127"/>
      <c r="E3" s="127"/>
      <c r="F3" s="130" t="str">
        <f>AQ4</f>
        <v>Nero Nobile</v>
      </c>
      <c r="G3" s="130"/>
      <c r="H3" s="130"/>
      <c r="I3" s="130"/>
      <c r="J3" s="130"/>
      <c r="K3" s="130"/>
      <c r="L3" s="130"/>
      <c r="M3" s="130"/>
      <c r="N3" s="130"/>
      <c r="O3" s="130"/>
      <c r="P3" s="127" t="s">
        <v>4</v>
      </c>
      <c r="Q3" s="127"/>
      <c r="R3" s="127"/>
      <c r="S3" s="127"/>
      <c r="T3" s="119" t="str">
        <f>BE4</f>
        <v>Astucci FS0383</v>
      </c>
      <c r="U3" s="120"/>
      <c r="V3" s="120"/>
      <c r="W3" s="120"/>
      <c r="X3" s="120"/>
      <c r="Y3" s="120"/>
      <c r="Z3" s="120"/>
      <c r="AA3" s="120"/>
      <c r="AB3" s="121"/>
      <c r="AC3" s="127" t="s">
        <v>74</v>
      </c>
      <c r="AD3" s="127"/>
      <c r="AE3" s="127"/>
      <c r="AF3" s="127"/>
      <c r="AG3" s="119" t="str">
        <f>BR4</f>
        <v>NO</v>
      </c>
      <c r="AH3" s="120"/>
      <c r="AI3" s="120"/>
      <c r="AJ3" s="172"/>
      <c r="AK3" s="6"/>
      <c r="AL3" s="6"/>
      <c r="AM3" s="115" t="s">
        <v>0</v>
      </c>
      <c r="AN3" s="116"/>
      <c r="AO3" s="116"/>
      <c r="AP3" s="116"/>
      <c r="AQ3" s="136">
        <v>202207960</v>
      </c>
      <c r="AR3" s="136"/>
      <c r="AS3" s="136"/>
      <c r="AT3" s="136"/>
      <c r="AU3" s="136"/>
      <c r="AV3" s="136"/>
      <c r="AW3" s="116" t="s">
        <v>1</v>
      </c>
      <c r="AX3" s="116"/>
      <c r="AY3" s="116"/>
      <c r="AZ3" s="116"/>
      <c r="BA3" s="137">
        <f ca="1">TODAY()</f>
        <v>44882</v>
      </c>
      <c r="BB3" s="107"/>
      <c r="BC3" s="107"/>
      <c r="BD3" s="107"/>
      <c r="BE3" s="116" t="s">
        <v>2</v>
      </c>
      <c r="BF3" s="116"/>
      <c r="BG3" s="116"/>
      <c r="BH3" s="116"/>
      <c r="BI3" s="107">
        <f>IFERROR(VLOOKUP($AQ3,[1]Lista!$A$2:$W$10000,7,FALSE),"")</f>
        <v>724</v>
      </c>
      <c r="BJ3" s="107"/>
      <c r="BK3" s="107"/>
      <c r="BL3" s="107"/>
      <c r="BM3" s="107"/>
      <c r="BN3" s="116" t="s">
        <v>3</v>
      </c>
      <c r="BO3" s="116"/>
      <c r="BP3" s="116"/>
      <c r="BQ3" s="116"/>
      <c r="BR3" s="137">
        <f>IFERROR(VLOOKUP($AQ3,[1]Lista!$A$2:$W$10000,8,FALSE),"")</f>
        <v>44845</v>
      </c>
      <c r="BS3" s="137"/>
      <c r="BT3" s="137"/>
      <c r="BU3" s="138"/>
      <c r="BV3" s="5" t="b">
        <f>IF(BR4="SI","*"&amp;AQ3&amp;"*")</f>
        <v>0</v>
      </c>
    </row>
    <row r="4" spans="2:106" ht="11.1" customHeight="1" thickBot="1">
      <c r="B4" s="128"/>
      <c r="C4" s="129"/>
      <c r="D4" s="129"/>
      <c r="E4" s="129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29"/>
      <c r="Q4" s="129"/>
      <c r="R4" s="129"/>
      <c r="S4" s="129"/>
      <c r="T4" s="122"/>
      <c r="U4" s="123"/>
      <c r="V4" s="123"/>
      <c r="W4" s="123"/>
      <c r="X4" s="123"/>
      <c r="Y4" s="123"/>
      <c r="Z4" s="123"/>
      <c r="AA4" s="123"/>
      <c r="AB4" s="124"/>
      <c r="AC4" s="129"/>
      <c r="AD4" s="129"/>
      <c r="AE4" s="129"/>
      <c r="AF4" s="129"/>
      <c r="AG4" s="122"/>
      <c r="AH4" s="123"/>
      <c r="AI4" s="123"/>
      <c r="AJ4" s="173"/>
      <c r="AK4" s="6"/>
      <c r="AL4" s="6"/>
      <c r="AM4" s="126" t="s">
        <v>5</v>
      </c>
      <c r="AN4" s="127"/>
      <c r="AO4" s="127"/>
      <c r="AP4" s="127"/>
      <c r="AQ4" s="134" t="str">
        <f>IFERROR(VLOOKUP($AQ3,[1]Lista!$A$2:$W$10000,4,FALSE),"")</f>
        <v>Nero Nobile</v>
      </c>
      <c r="AR4" s="134"/>
      <c r="AS4" s="134"/>
      <c r="AT4" s="134"/>
      <c r="AU4" s="134"/>
      <c r="AV4" s="134"/>
      <c r="AW4" s="134"/>
      <c r="AX4" s="134"/>
      <c r="AY4" s="134"/>
      <c r="AZ4" s="134"/>
      <c r="BA4" s="127" t="s">
        <v>4</v>
      </c>
      <c r="BB4" s="127"/>
      <c r="BC4" s="127"/>
      <c r="BD4" s="127"/>
      <c r="BE4" s="134" t="str">
        <f>IFERROR(VLOOKUP($AQ3,[1]Lista!$A$2:$W$10000,5,FALSE),"")</f>
        <v>Astucci FS0383</v>
      </c>
      <c r="BF4" s="134"/>
      <c r="BG4" s="134"/>
      <c r="BH4" s="134"/>
      <c r="BI4" s="134"/>
      <c r="BJ4" s="134"/>
      <c r="BK4" s="134"/>
      <c r="BL4" s="134"/>
      <c r="BM4" s="134"/>
      <c r="BN4" s="127" t="s">
        <v>74</v>
      </c>
      <c r="BO4" s="127"/>
      <c r="BP4" s="127"/>
      <c r="BQ4" s="127"/>
      <c r="BR4" s="139" t="str">
        <f>IF(BW43="ISO22000","SI","NO")</f>
        <v>NO</v>
      </c>
      <c r="BS4" s="140"/>
      <c r="BT4" s="140"/>
      <c r="BU4" s="141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</row>
    <row r="5" spans="2:106" ht="11.1" customHeight="1" thickBot="1">
      <c r="AK5" s="6"/>
      <c r="AL5" s="6"/>
      <c r="AM5" s="128"/>
      <c r="AN5" s="129"/>
      <c r="AO5" s="129"/>
      <c r="AP5" s="129"/>
      <c r="AQ5" s="135"/>
      <c r="AR5" s="135"/>
      <c r="AS5" s="135"/>
      <c r="AT5" s="135"/>
      <c r="AU5" s="135"/>
      <c r="AV5" s="135"/>
      <c r="AW5" s="135"/>
      <c r="AX5" s="135"/>
      <c r="AY5" s="135"/>
      <c r="AZ5" s="135"/>
      <c r="BA5" s="129"/>
      <c r="BB5" s="129"/>
      <c r="BC5" s="129"/>
      <c r="BD5" s="129"/>
      <c r="BE5" s="135"/>
      <c r="BF5" s="135"/>
      <c r="BG5" s="135"/>
      <c r="BH5" s="135"/>
      <c r="BI5" s="135"/>
      <c r="BJ5" s="135"/>
      <c r="BK5" s="135"/>
      <c r="BL5" s="135"/>
      <c r="BM5" s="135"/>
      <c r="BN5" s="129"/>
      <c r="BO5" s="129"/>
      <c r="BP5" s="129"/>
      <c r="BQ5" s="129"/>
      <c r="BR5" s="142"/>
      <c r="BS5" s="143"/>
      <c r="BT5" s="143"/>
      <c r="BU5" s="144"/>
      <c r="BV5" s="11" t="s">
        <v>12</v>
      </c>
      <c r="BW5" s="11" t="s">
        <v>168</v>
      </c>
      <c r="BX5" s="11" t="s">
        <v>169</v>
      </c>
      <c r="BY5" s="11" t="s">
        <v>170</v>
      </c>
      <c r="BZ5" s="11" t="s">
        <v>156</v>
      </c>
      <c r="CA5" s="11" t="s">
        <v>157</v>
      </c>
      <c r="CB5" s="11" t="s">
        <v>158</v>
      </c>
      <c r="CC5" s="11" t="s">
        <v>159</v>
      </c>
      <c r="CD5" s="11" t="s">
        <v>162</v>
      </c>
      <c r="CE5" s="11" t="s">
        <v>163</v>
      </c>
      <c r="CF5" s="11" t="s">
        <v>164</v>
      </c>
      <c r="CG5" s="11" t="s">
        <v>165</v>
      </c>
      <c r="CH5" s="11" t="s">
        <v>166</v>
      </c>
      <c r="CI5" s="11" t="s">
        <v>167</v>
      </c>
      <c r="CJ5" s="11" t="s">
        <v>171</v>
      </c>
      <c r="CK5" s="11" t="s">
        <v>172</v>
      </c>
      <c r="CL5" s="11" t="s">
        <v>160</v>
      </c>
      <c r="CM5" s="11" t="s">
        <v>70</v>
      </c>
      <c r="CN5" s="11" t="s">
        <v>173</v>
      </c>
      <c r="CO5" s="11" t="s">
        <v>174</v>
      </c>
      <c r="CP5" s="11" t="s">
        <v>183</v>
      </c>
      <c r="CQ5" s="11" t="s">
        <v>175</v>
      </c>
      <c r="CR5" s="11" t="s">
        <v>184</v>
      </c>
      <c r="CS5" s="11" t="s">
        <v>176</v>
      </c>
      <c r="CT5" s="11" t="s">
        <v>177</v>
      </c>
      <c r="CU5" s="11" t="s">
        <v>178</v>
      </c>
      <c r="CV5" s="11" t="s">
        <v>185</v>
      </c>
      <c r="CW5" s="11" t="s">
        <v>179</v>
      </c>
      <c r="CX5" s="11" t="s">
        <v>180</v>
      </c>
      <c r="CY5" s="11" t="s">
        <v>181</v>
      </c>
      <c r="CZ5" s="11" t="s">
        <v>182</v>
      </c>
      <c r="DA5" s="11" t="s">
        <v>161</v>
      </c>
      <c r="DB5" s="12"/>
    </row>
    <row r="6" spans="2:106" ht="11.1" customHeight="1" thickBot="1">
      <c r="B6" s="218" t="s">
        <v>115</v>
      </c>
      <c r="C6" s="219"/>
      <c r="D6" s="219"/>
      <c r="E6" s="246">
        <f>IF(CZ$43&lt;&gt;"ERR.",CZ$43,0)</f>
        <v>325</v>
      </c>
      <c r="F6" s="246"/>
      <c r="G6" s="246"/>
      <c r="H6" s="219" t="s">
        <v>116</v>
      </c>
      <c r="I6" s="219"/>
      <c r="J6" s="219"/>
      <c r="K6" s="219"/>
      <c r="L6" s="246">
        <f>IF(DA$43&lt;&gt;"ERR.",DA$43,0)</f>
        <v>6.65</v>
      </c>
      <c r="M6" s="246"/>
      <c r="N6" s="246"/>
      <c r="O6" s="219" t="s">
        <v>117</v>
      </c>
      <c r="P6" s="219"/>
      <c r="Q6" s="219"/>
      <c r="R6" s="246" t="str">
        <f>IF(CY$43&lt;&gt;"ERR.",CY$43,0)</f>
        <v>T1</v>
      </c>
      <c r="S6" s="246"/>
      <c r="T6" s="246"/>
      <c r="U6" s="219" t="s">
        <v>118</v>
      </c>
      <c r="V6" s="219"/>
      <c r="W6" s="219"/>
      <c r="X6" s="248" t="str">
        <f>IFERROR(VLOOKUP($AB9,[2]Clienti!$A$2:$M$10000,3,FALSE),"")</f>
        <v>EPAL</v>
      </c>
      <c r="Y6" s="248"/>
      <c r="Z6" s="248"/>
      <c r="AA6" s="219" t="s">
        <v>119</v>
      </c>
      <c r="AB6" s="219"/>
      <c r="AC6" s="219"/>
      <c r="AD6" s="181" t="str">
        <f>IFERROR(VLOOKUP($AB9,[2]Clienti!$A$2:$M$10000,4,FALSE),"")</f>
        <v>SI</v>
      </c>
      <c r="AE6" s="181"/>
      <c r="AF6" s="219" t="s">
        <v>120</v>
      </c>
      <c r="AG6" s="219"/>
      <c r="AH6" s="219"/>
      <c r="AI6" s="181" t="str">
        <f>IF(BR4="SI","X","")</f>
        <v/>
      </c>
      <c r="AJ6" s="182"/>
      <c r="AK6" s="6"/>
      <c r="AL6" s="6"/>
      <c r="BV6" s="64" t="s">
        <v>313</v>
      </c>
      <c r="BW6" s="12" t="str">
        <f>IFERROR(VLOOKUP($BV6,[2]Giacenza_Articoli!$A$2:$AO$10000,7,FALSE),"")</f>
        <v>-</v>
      </c>
      <c r="BX6" s="12" t="str">
        <f>IFERROR(VLOOKUP($BV6,[2]Giacenza_Articoli!$A$2:$AO$10000,8,FALSE),"")</f>
        <v>GC2</v>
      </c>
      <c r="BY6" s="12">
        <f>IFERROR(VLOOKUP($BV6,[2]Giacenza_Articoli!$A$2:$AO$10000,9,FALSE),"")</f>
        <v>270</v>
      </c>
      <c r="BZ6" s="12" t="str">
        <f>IFERROR(VLOOKUP($BV6,[2]Giacenza_Articoli!$A$2:$AO$10000,10,FALSE),"")</f>
        <v>C</v>
      </c>
      <c r="CA6" s="12" t="str">
        <f>IFERROR(VLOOKUP($BV6,[2]Giacenza_Articoli!$A$2:$AO$10000,11,FALSE),"")</f>
        <v>M</v>
      </c>
      <c r="CB6" s="12" t="str">
        <f>IFERROR(VLOOKUP($BV6,[2]Giacenza_Articoli!$A$2:$AO$10000,12,FALSE),"")</f>
        <v>Y</v>
      </c>
      <c r="CC6" s="12" t="str">
        <f>IFERROR(VLOOKUP($BV6,[2]Giacenza_Articoli!$A$2:$AO$10000,13,FALSE),"")</f>
        <v>K</v>
      </c>
      <c r="CD6" s="12">
        <f>IFERROR(VLOOKUP($BV6,[2]Giacenza_Articoli!$A$2:$AO$10000,14,FALSE),"")</f>
        <v>877</v>
      </c>
      <c r="CE6" s="12">
        <f>IFERROR(VLOOKUP($BV6,[2]Giacenza_Articoli!$A$2:$AO$10000,15,FALSE),"")</f>
        <v>0</v>
      </c>
      <c r="CF6" s="12">
        <f>IFERROR(VLOOKUP($BV6,[2]Giacenza_Articoli!$A$2:$AO$10000,16,FALSE),"")</f>
        <v>0</v>
      </c>
      <c r="CG6" s="12">
        <f>IFERROR(VLOOKUP($BV6,[2]Giacenza_Articoli!$A$2:$AO$10000,17,FALSE),"")</f>
        <v>0</v>
      </c>
      <c r="CH6" s="12">
        <f>IFERROR(VLOOKUP($BV6,[2]Giacenza_Articoli!$A$2:$AO$10000,18,FALSE),"")</f>
        <v>0</v>
      </c>
      <c r="CI6" s="12">
        <f>IFERROR(VLOOKUP($BV6,[2]Giacenza_Articoli!$A$2:$AO$10000,19,FALSE),"")</f>
        <v>0</v>
      </c>
      <c r="CJ6" s="12" t="str">
        <f>IFERROR(VLOOKUP($BV6,[2]Giacenza_Articoli!$A$2:$AO$10000,20,FALSE),"")</f>
        <v>PO0039</v>
      </c>
      <c r="CK6" s="12">
        <f>IFERROR(VLOOKUP($BV6,[2]Giacenza_Articoli!$A$2:$AO$10000,21,FALSE),"")</f>
        <v>80</v>
      </c>
      <c r="CL6" s="12" t="str">
        <f>IFERROR(VLOOKUP($BV6,[2]Giacenza_Articoli!$A$2:$AO$10000,22,FALSE),"")</f>
        <v>DRIP OFF</v>
      </c>
      <c r="CM6" s="12" t="str">
        <f>IFERROR(VLOOKUP($BV6,[2]Giacenza_Articoli!$A$2:$AO$10000,23,FALSE),"")</f>
        <v>UV LUCIDO</v>
      </c>
      <c r="CN6" s="12">
        <f>IFERROR(VLOOKUP($BV6,[2]Giacenza_Articoli!$A$2:$AO$10000,24,FALSE),"")</f>
        <v>0</v>
      </c>
      <c r="CO6" s="12">
        <f>IFERROR(VLOOKUP($BV6,[2]Giacenza_Articoli!$A$2:$AO$10000,25,FALSE),"")</f>
        <v>0</v>
      </c>
      <c r="CP6" s="12">
        <f>IFERROR(VLOOKUP($BV6,[2]Giacenza_Articoli!$A$2:$AO$10000,26,FALSE),"")</f>
        <v>0</v>
      </c>
      <c r="CQ6" s="12">
        <f>IFERROR(VLOOKUP($BV6,[2]Giacenza_Articoli!$A$2:$AO$10000,27,FALSE),"")</f>
        <v>0</v>
      </c>
      <c r="CR6" s="12">
        <f>IFERROR(VLOOKUP($BV6,[2]Giacenza_Articoli!$A$2:$AO$10000,28,FALSE),"")</f>
        <v>0</v>
      </c>
      <c r="CS6" s="12">
        <f>IFERROR(VLOOKUP($BV6,[2]Giacenza_Articoli!$A$2:$AO$10000,29,FALSE),"")</f>
        <v>0</v>
      </c>
      <c r="CT6" s="12">
        <f>IFERROR(VLOOKUP($BV6,[2]Giacenza_Articoli!$A$2:$AO$10000,30,FALSE),"")</f>
        <v>0</v>
      </c>
      <c r="CU6" s="12" t="str">
        <f>IFERROR(VLOOKUP($BV6,[2]Giacenza_Articoli!$A$2:$AO$10000,31,FALSE),"")</f>
        <v>FU0443</v>
      </c>
      <c r="CV6" s="12">
        <f>IFERROR(VLOOKUP($BV6,[2]Giacenza_Articoli!$A$2:$AO$10000,32,FALSE),"")</f>
        <v>0</v>
      </c>
      <c r="CW6" s="12" t="str">
        <f>IFERROR(VLOOKUP($BV6,[2]Giacenza_Articoli!$A$2:$AO$10000,33,FALSE),"")</f>
        <v>NO</v>
      </c>
      <c r="CX6" s="12">
        <f>IFERROR(VLOOKUP($BV6,[2]Giacenza_Articoli!$A$2:$AO$10000,34,FALSE),"")</f>
        <v>0</v>
      </c>
      <c r="CY6" s="12" t="str">
        <f>IFERROR(VLOOKUP($BV6,[2]Giacenza_Articoli!$A$2:$AO$10000,37,FALSE),"")</f>
        <v>T1</v>
      </c>
      <c r="CZ6" s="12">
        <f>IFERROR(VLOOKUP($BV6,[2]Giacenza_Articoli!$A$2:$AO$10000,38,FALSE),"")</f>
        <v>325</v>
      </c>
      <c r="DA6" s="12">
        <f>IFERROR(VLOOKUP($BV6,[2]Giacenza_Articoli!$A$2:$AO$10000,39,FALSE),"")</f>
        <v>6.65</v>
      </c>
    </row>
    <row r="7" spans="2:106" ht="11.1" customHeight="1" thickBot="1">
      <c r="B7" s="220"/>
      <c r="C7" s="221"/>
      <c r="D7" s="221"/>
      <c r="E7" s="247"/>
      <c r="F7" s="247"/>
      <c r="G7" s="247"/>
      <c r="H7" s="221"/>
      <c r="I7" s="221"/>
      <c r="J7" s="221"/>
      <c r="K7" s="221"/>
      <c r="L7" s="247"/>
      <c r="M7" s="247"/>
      <c r="N7" s="247"/>
      <c r="O7" s="221"/>
      <c r="P7" s="221"/>
      <c r="Q7" s="221"/>
      <c r="R7" s="247"/>
      <c r="S7" s="247"/>
      <c r="T7" s="247"/>
      <c r="U7" s="221"/>
      <c r="V7" s="221"/>
      <c r="W7" s="221"/>
      <c r="X7" s="249"/>
      <c r="Y7" s="249"/>
      <c r="Z7" s="249"/>
      <c r="AA7" s="221"/>
      <c r="AB7" s="221"/>
      <c r="AC7" s="221"/>
      <c r="AD7" s="183"/>
      <c r="AE7" s="183"/>
      <c r="AF7" s="221"/>
      <c r="AG7" s="221"/>
      <c r="AH7" s="221"/>
      <c r="AI7" s="183"/>
      <c r="AJ7" s="184"/>
      <c r="AK7" s="6"/>
      <c r="AL7" s="6"/>
      <c r="AM7" s="109" t="s">
        <v>6</v>
      </c>
      <c r="AN7" s="110"/>
      <c r="AO7" s="110"/>
      <c r="AP7" s="110"/>
      <c r="AQ7" s="111" t="s">
        <v>7</v>
      </c>
      <c r="AR7" s="111"/>
      <c r="AS7" s="111"/>
      <c r="AT7" s="111"/>
      <c r="AU7" s="111" t="s">
        <v>8</v>
      </c>
      <c r="AV7" s="111"/>
      <c r="AW7" s="111"/>
      <c r="AX7" s="103"/>
      <c r="AY7" s="103"/>
      <c r="AZ7" s="103"/>
      <c r="BA7" s="111" t="s">
        <v>9</v>
      </c>
      <c r="BB7" s="111"/>
      <c r="BC7" s="111"/>
      <c r="BD7" s="103"/>
      <c r="BE7" s="103"/>
      <c r="BF7" s="103"/>
      <c r="BG7" s="111" t="s">
        <v>20</v>
      </c>
      <c r="BH7" s="111"/>
      <c r="BI7" s="111"/>
      <c r="BJ7" s="111"/>
      <c r="BK7" s="103"/>
      <c r="BL7" s="103"/>
      <c r="BM7" s="103"/>
      <c r="BN7" s="103"/>
      <c r="BO7" s="104" t="s">
        <v>10</v>
      </c>
      <c r="BP7" s="105"/>
      <c r="BQ7" s="106"/>
      <c r="BR7" s="103"/>
      <c r="BS7" s="103"/>
      <c r="BT7" s="103"/>
      <c r="BU7" s="185"/>
      <c r="BV7" s="64" t="s">
        <v>314</v>
      </c>
      <c r="BW7" s="12" t="str">
        <f>IFERROR(VLOOKUP($BV7,[2]Giacenza_Articoli!$A$2:$AO$10000,7,FALSE),"")</f>
        <v>-</v>
      </c>
      <c r="BX7" s="12" t="str">
        <f>IFERROR(VLOOKUP($BV7,[2]Giacenza_Articoli!$A$2:$AO$10000,8,FALSE),"")</f>
        <v>GC2</v>
      </c>
      <c r="BY7" s="12">
        <f>IFERROR(VLOOKUP($BV7,[2]Giacenza_Articoli!$A$2:$AO$10000,9,FALSE),"")</f>
        <v>270</v>
      </c>
      <c r="BZ7" s="12" t="str">
        <f>IFERROR(VLOOKUP($BV7,[2]Giacenza_Articoli!$A$2:$AO$10000,10,FALSE),"")</f>
        <v>C</v>
      </c>
      <c r="CA7" s="12" t="str">
        <f>IFERROR(VLOOKUP($BV7,[2]Giacenza_Articoli!$A$2:$AO$10000,11,FALSE),"")</f>
        <v>M</v>
      </c>
      <c r="CB7" s="12" t="str">
        <f>IFERROR(VLOOKUP($BV7,[2]Giacenza_Articoli!$A$2:$AO$10000,12,FALSE),"")</f>
        <v>Y</v>
      </c>
      <c r="CC7" s="12" t="str">
        <f>IFERROR(VLOOKUP($BV7,[2]Giacenza_Articoli!$A$2:$AO$10000,13,FALSE),"")</f>
        <v>K</v>
      </c>
      <c r="CD7" s="12">
        <f>IFERROR(VLOOKUP($BV7,[2]Giacenza_Articoli!$A$2:$AO$10000,14,FALSE),"")</f>
        <v>877</v>
      </c>
      <c r="CE7" s="12">
        <f>IFERROR(VLOOKUP($BV7,[2]Giacenza_Articoli!$A$2:$AO$10000,15,FALSE),"")</f>
        <v>0</v>
      </c>
      <c r="CF7" s="12">
        <f>IFERROR(VLOOKUP($BV7,[2]Giacenza_Articoli!$A$2:$AO$10000,16,FALSE),"")</f>
        <v>0</v>
      </c>
      <c r="CG7" s="12">
        <f>IFERROR(VLOOKUP($BV7,[2]Giacenza_Articoli!$A$2:$AO$10000,17,FALSE),"")</f>
        <v>0</v>
      </c>
      <c r="CH7" s="12">
        <f>IFERROR(VLOOKUP($BV7,[2]Giacenza_Articoli!$A$2:$AO$10000,18,FALSE),"")</f>
        <v>0</v>
      </c>
      <c r="CI7" s="12">
        <f>IFERROR(VLOOKUP($BV7,[2]Giacenza_Articoli!$A$2:$AO$10000,19,FALSE),"")</f>
        <v>0</v>
      </c>
      <c r="CJ7" s="12" t="str">
        <f>IFERROR(VLOOKUP($BV7,[2]Giacenza_Articoli!$A$2:$AO$10000,20,FALSE),"")</f>
        <v>PO0039</v>
      </c>
      <c r="CK7" s="12">
        <f>IFERROR(VLOOKUP($BV7,[2]Giacenza_Articoli!$A$2:$AO$10000,21,FALSE),"")</f>
        <v>80</v>
      </c>
      <c r="CL7" s="12" t="str">
        <f>IFERROR(VLOOKUP($BV7,[2]Giacenza_Articoli!$A$2:$AO$10000,22,FALSE),"")</f>
        <v>DRIP OFF</v>
      </c>
      <c r="CM7" s="12" t="str">
        <f>IFERROR(VLOOKUP($BV7,[2]Giacenza_Articoli!$A$2:$AO$10000,23,FALSE),"")</f>
        <v>UV LUCIDO</v>
      </c>
      <c r="CN7" s="12">
        <f>IFERROR(VLOOKUP($BV7,[2]Giacenza_Articoli!$A$2:$AO$10000,24,FALSE),"")</f>
        <v>0</v>
      </c>
      <c r="CO7" s="12">
        <f>IFERROR(VLOOKUP($BV7,[2]Giacenza_Articoli!$A$2:$AO$10000,25,FALSE),"")</f>
        <v>0</v>
      </c>
      <c r="CP7" s="12">
        <f>IFERROR(VLOOKUP($BV7,[2]Giacenza_Articoli!$A$2:$AO$10000,26,FALSE),"")</f>
        <v>0</v>
      </c>
      <c r="CQ7" s="12">
        <f>IFERROR(VLOOKUP($BV7,[2]Giacenza_Articoli!$A$2:$AO$10000,27,FALSE),"")</f>
        <v>0</v>
      </c>
      <c r="CR7" s="12">
        <f>IFERROR(VLOOKUP($BV7,[2]Giacenza_Articoli!$A$2:$AO$10000,28,FALSE),"")</f>
        <v>0</v>
      </c>
      <c r="CS7" s="12">
        <f>IFERROR(VLOOKUP($BV7,[2]Giacenza_Articoli!$A$2:$AO$10000,29,FALSE),"")</f>
        <v>0</v>
      </c>
      <c r="CT7" s="12">
        <f>IFERROR(VLOOKUP($BV7,[2]Giacenza_Articoli!$A$2:$AO$10000,30,FALSE),"")</f>
        <v>0</v>
      </c>
      <c r="CU7" s="12" t="str">
        <f>IFERROR(VLOOKUP($BV7,[2]Giacenza_Articoli!$A$2:$AO$10000,31,FALSE),"")</f>
        <v>FU0443</v>
      </c>
      <c r="CV7" s="12">
        <f>IFERROR(VLOOKUP($BV7,[2]Giacenza_Articoli!$A$2:$AO$10000,32,FALSE),"")</f>
        <v>0</v>
      </c>
      <c r="CW7" s="12" t="str">
        <f>IFERROR(VLOOKUP($BV7,[2]Giacenza_Articoli!$A$2:$AO$10000,33,FALSE),"")</f>
        <v>NO</v>
      </c>
      <c r="CX7" s="12">
        <f>IFERROR(VLOOKUP($BV7,[2]Giacenza_Articoli!$A$2:$AO$10000,34,FALSE),"")</f>
        <v>0</v>
      </c>
      <c r="CY7" s="12" t="str">
        <f>IFERROR(VLOOKUP($BV7,[2]Giacenza_Articoli!$A$2:$AO$10000,37,FALSE),"")</f>
        <v>T1</v>
      </c>
      <c r="CZ7" s="12">
        <f>IFERROR(VLOOKUP($BV7,[2]Giacenza_Articoli!$A$2:$AO$10000,38,FALSE),"")</f>
        <v>325</v>
      </c>
      <c r="DA7" s="12">
        <f>IFERROR(VLOOKUP($BV7,[2]Giacenza_Articoli!$A$2:$AO$10000,39,FALSE),"")</f>
        <v>6.65</v>
      </c>
    </row>
    <row r="8" spans="2:106" ht="11.1" customHeight="1" thickBot="1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6"/>
      <c r="AL8" s="6"/>
      <c r="BV8" s="64" t="s">
        <v>315</v>
      </c>
      <c r="BW8" s="12" t="str">
        <f>IFERROR(VLOOKUP($BV8,[2]Giacenza_Articoli!$A$2:$AO$10000,7,FALSE),"")</f>
        <v>-</v>
      </c>
      <c r="BX8" s="12" t="str">
        <f>IFERROR(VLOOKUP($BV8,[2]Giacenza_Articoli!$A$2:$AO$10000,8,FALSE),"")</f>
        <v>GC2</v>
      </c>
      <c r="BY8" s="12">
        <f>IFERROR(VLOOKUP($BV8,[2]Giacenza_Articoli!$A$2:$AO$10000,9,FALSE),"")</f>
        <v>270</v>
      </c>
      <c r="BZ8" s="12" t="str">
        <f>IFERROR(VLOOKUP($BV8,[2]Giacenza_Articoli!$A$2:$AO$10000,10,FALSE),"")</f>
        <v>C</v>
      </c>
      <c r="CA8" s="12" t="str">
        <f>IFERROR(VLOOKUP($BV8,[2]Giacenza_Articoli!$A$2:$AO$10000,11,FALSE),"")</f>
        <v>M</v>
      </c>
      <c r="CB8" s="12" t="str">
        <f>IFERROR(VLOOKUP($BV8,[2]Giacenza_Articoli!$A$2:$AO$10000,12,FALSE),"")</f>
        <v>Y</v>
      </c>
      <c r="CC8" s="12" t="str">
        <f>IFERROR(VLOOKUP($BV8,[2]Giacenza_Articoli!$A$2:$AO$10000,13,FALSE),"")</f>
        <v>K</v>
      </c>
      <c r="CD8" s="12">
        <f>IFERROR(VLOOKUP($BV8,[2]Giacenza_Articoli!$A$2:$AO$10000,14,FALSE),"")</f>
        <v>877</v>
      </c>
      <c r="CE8" s="12">
        <f>IFERROR(VLOOKUP($BV8,[2]Giacenza_Articoli!$A$2:$AO$10000,15,FALSE),"")</f>
        <v>0</v>
      </c>
      <c r="CF8" s="12">
        <f>IFERROR(VLOOKUP($BV8,[2]Giacenza_Articoli!$A$2:$AO$10000,16,FALSE),"")</f>
        <v>0</v>
      </c>
      <c r="CG8" s="12">
        <f>IFERROR(VLOOKUP($BV8,[2]Giacenza_Articoli!$A$2:$AO$10000,17,FALSE),"")</f>
        <v>0</v>
      </c>
      <c r="CH8" s="12">
        <f>IFERROR(VLOOKUP($BV8,[2]Giacenza_Articoli!$A$2:$AO$10000,18,FALSE),"")</f>
        <v>0</v>
      </c>
      <c r="CI8" s="12">
        <f>IFERROR(VLOOKUP($BV8,[2]Giacenza_Articoli!$A$2:$AO$10000,19,FALSE),"")</f>
        <v>0</v>
      </c>
      <c r="CJ8" s="12" t="str">
        <f>IFERROR(VLOOKUP($BV8,[2]Giacenza_Articoli!$A$2:$AO$10000,20,FALSE),"")</f>
        <v>PO0039</v>
      </c>
      <c r="CK8" s="12">
        <f>IFERROR(VLOOKUP($BV8,[2]Giacenza_Articoli!$A$2:$AO$10000,21,FALSE),"")</f>
        <v>80</v>
      </c>
      <c r="CL8" s="12" t="str">
        <f>IFERROR(VLOOKUP($BV8,[2]Giacenza_Articoli!$A$2:$AO$10000,22,FALSE),"")</f>
        <v>DRIP OFF</v>
      </c>
      <c r="CM8" s="12" t="str">
        <f>IFERROR(VLOOKUP($BV8,[2]Giacenza_Articoli!$A$2:$AO$10000,23,FALSE),"")</f>
        <v>UV LUCIDO</v>
      </c>
      <c r="CN8" s="12">
        <f>IFERROR(VLOOKUP($BV8,[2]Giacenza_Articoli!$A$2:$AO$10000,24,FALSE),"")</f>
        <v>0</v>
      </c>
      <c r="CO8" s="12">
        <f>IFERROR(VLOOKUP($BV8,[2]Giacenza_Articoli!$A$2:$AO$10000,25,FALSE),"")</f>
        <v>0</v>
      </c>
      <c r="CP8" s="12">
        <f>IFERROR(VLOOKUP($BV8,[2]Giacenza_Articoli!$A$2:$AO$10000,26,FALSE),"")</f>
        <v>0</v>
      </c>
      <c r="CQ8" s="12">
        <f>IFERROR(VLOOKUP($BV8,[2]Giacenza_Articoli!$A$2:$AO$10000,27,FALSE),"")</f>
        <v>0</v>
      </c>
      <c r="CR8" s="12">
        <f>IFERROR(VLOOKUP($BV8,[2]Giacenza_Articoli!$A$2:$AO$10000,28,FALSE),"")</f>
        <v>0</v>
      </c>
      <c r="CS8" s="12">
        <f>IFERROR(VLOOKUP($BV8,[2]Giacenza_Articoli!$A$2:$AO$10000,29,FALSE),"")</f>
        <v>0</v>
      </c>
      <c r="CT8" s="12">
        <f>IFERROR(VLOOKUP($BV8,[2]Giacenza_Articoli!$A$2:$AO$10000,30,FALSE),"")</f>
        <v>0</v>
      </c>
      <c r="CU8" s="12" t="str">
        <f>IFERROR(VLOOKUP($BV8,[2]Giacenza_Articoli!$A$2:$AO$10000,31,FALSE),"")</f>
        <v>FU0443</v>
      </c>
      <c r="CV8" s="12">
        <f>IFERROR(VLOOKUP($BV8,[2]Giacenza_Articoli!$A$2:$AO$10000,32,FALSE),"")</f>
        <v>0</v>
      </c>
      <c r="CW8" s="12" t="str">
        <f>IFERROR(VLOOKUP($BV8,[2]Giacenza_Articoli!$A$2:$AO$10000,33,FALSE),"")</f>
        <v>NO</v>
      </c>
      <c r="CX8" s="12">
        <f>IFERROR(VLOOKUP($BV8,[2]Giacenza_Articoli!$A$2:$AO$10000,34,FALSE),"")</f>
        <v>0</v>
      </c>
      <c r="CY8" s="12" t="str">
        <f>IFERROR(VLOOKUP($BV8,[2]Giacenza_Articoli!$A$2:$AO$10000,37,FALSE),"")</f>
        <v>T1</v>
      </c>
      <c r="CZ8" s="12">
        <f>IFERROR(VLOOKUP($BV8,[2]Giacenza_Articoli!$A$2:$AO$10000,38,FALSE),"")</f>
        <v>325</v>
      </c>
      <c r="DA8" s="12">
        <f>IFERROR(VLOOKUP($BV8,[2]Giacenza_Articoli!$A$2:$AO$10000,39,FALSE),"")</f>
        <v>6.65</v>
      </c>
    </row>
    <row r="9" spans="2:106" ht="11.1" customHeight="1">
      <c r="B9" s="99" t="s">
        <v>151</v>
      </c>
      <c r="C9" s="97"/>
      <c r="D9" s="97"/>
      <c r="E9" s="97"/>
      <c r="F9" s="97"/>
      <c r="G9" s="97"/>
      <c r="H9" s="97"/>
      <c r="I9" s="97"/>
      <c r="J9" s="164"/>
      <c r="K9" s="233"/>
      <c r="L9" s="234"/>
      <c r="M9" s="234"/>
      <c r="N9" s="234"/>
      <c r="O9" s="234"/>
      <c r="P9" s="234"/>
      <c r="Q9" s="234"/>
      <c r="R9" s="234"/>
      <c r="S9" s="97" t="s">
        <v>142</v>
      </c>
      <c r="T9" s="97"/>
      <c r="U9" s="97"/>
      <c r="V9" s="97"/>
      <c r="W9" s="97"/>
      <c r="X9" s="97"/>
      <c r="Y9" s="97"/>
      <c r="Z9" s="97"/>
      <c r="AA9" s="164"/>
      <c r="AB9" s="166" t="s">
        <v>269</v>
      </c>
      <c r="AC9" s="167"/>
      <c r="AD9" s="167"/>
      <c r="AE9" s="167"/>
      <c r="AF9" s="167"/>
      <c r="AG9" s="167"/>
      <c r="AH9" s="167"/>
      <c r="AI9" s="167"/>
      <c r="AJ9" s="168"/>
      <c r="AK9" s="6"/>
      <c r="AL9" s="6"/>
      <c r="AM9" s="192" t="s">
        <v>11</v>
      </c>
      <c r="AN9" s="193"/>
      <c r="AO9" s="193"/>
      <c r="AP9" s="14" t="s">
        <v>12</v>
      </c>
      <c r="AQ9" s="194" t="s">
        <v>312</v>
      </c>
      <c r="AR9" s="194"/>
      <c r="AS9" s="194"/>
      <c r="AT9" s="194"/>
      <c r="AU9" s="116" t="s">
        <v>19</v>
      </c>
      <c r="AV9" s="116"/>
      <c r="AW9" s="186">
        <v>6</v>
      </c>
      <c r="AX9" s="186"/>
      <c r="AY9" s="186"/>
      <c r="AZ9" s="186"/>
      <c r="BA9" s="186"/>
      <c r="BB9" s="186"/>
      <c r="BC9" s="116" t="s">
        <v>16</v>
      </c>
      <c r="BD9" s="116"/>
      <c r="BE9" s="116"/>
      <c r="BF9" s="116"/>
      <c r="BG9" s="116"/>
      <c r="BH9" s="107">
        <f>SUM(AR14:AV43)</f>
        <v>17000</v>
      </c>
      <c r="BI9" s="107"/>
      <c r="BJ9" s="107"/>
      <c r="BK9" s="107"/>
      <c r="BL9" s="107"/>
      <c r="BM9" s="116" t="s">
        <v>15</v>
      </c>
      <c r="BN9" s="116"/>
      <c r="BO9" s="116"/>
      <c r="BP9" s="107">
        <f>BH9*AW9</f>
        <v>102000</v>
      </c>
      <c r="BQ9" s="107"/>
      <c r="BR9" s="107"/>
      <c r="BS9" s="107"/>
      <c r="BT9" s="107"/>
      <c r="BU9" s="108"/>
      <c r="BV9" s="64"/>
      <c r="BW9" s="12" t="str">
        <f>IFERROR(VLOOKUP($BV9,[2]Giacenza_Articoli!$A$2:$AO$10000,7,FALSE),"")</f>
        <v/>
      </c>
      <c r="BX9" s="12" t="str">
        <f>IFERROR(VLOOKUP($BV9,[2]Giacenza_Articoli!$A$2:$AO$10000,8,FALSE),"")</f>
        <v/>
      </c>
      <c r="BY9" s="12" t="str">
        <f>IFERROR(VLOOKUP($BV9,[2]Giacenza_Articoli!$A$2:$AO$10000,9,FALSE),"")</f>
        <v/>
      </c>
      <c r="BZ9" s="12" t="str">
        <f>IFERROR(VLOOKUP($BV9,[2]Giacenza_Articoli!$A$2:$AO$10000,10,FALSE),"")</f>
        <v/>
      </c>
      <c r="CA9" s="12" t="str">
        <f>IFERROR(VLOOKUP($BV9,[2]Giacenza_Articoli!$A$2:$AO$10000,11,FALSE),"")</f>
        <v/>
      </c>
      <c r="CB9" s="12" t="str">
        <f>IFERROR(VLOOKUP($BV9,[2]Giacenza_Articoli!$A$2:$AO$10000,12,FALSE),"")</f>
        <v/>
      </c>
      <c r="CC9" s="12" t="str">
        <f>IFERROR(VLOOKUP($BV9,[2]Giacenza_Articoli!$A$2:$AO$10000,13,FALSE),"")</f>
        <v/>
      </c>
      <c r="CD9" s="12" t="str">
        <f>IFERROR(VLOOKUP($BV9,[2]Giacenza_Articoli!$A$2:$AO$10000,14,FALSE),"")</f>
        <v/>
      </c>
      <c r="CE9" s="12" t="str">
        <f>IFERROR(VLOOKUP($BV9,[2]Giacenza_Articoli!$A$2:$AO$10000,15,FALSE),"")</f>
        <v/>
      </c>
      <c r="CF9" s="12" t="str">
        <f>IFERROR(VLOOKUP($BV9,[2]Giacenza_Articoli!$A$2:$AO$10000,16,FALSE),"")</f>
        <v/>
      </c>
      <c r="CG9" s="12" t="str">
        <f>IFERROR(VLOOKUP($BV9,[2]Giacenza_Articoli!$A$2:$AO$10000,17,FALSE),"")</f>
        <v/>
      </c>
      <c r="CH9" s="12" t="str">
        <f>IFERROR(VLOOKUP($BV9,[2]Giacenza_Articoli!$A$2:$AO$10000,18,FALSE),"")</f>
        <v/>
      </c>
      <c r="CI9" s="12" t="str">
        <f>IFERROR(VLOOKUP($BV9,[2]Giacenza_Articoli!$A$2:$AO$10000,19,FALSE),"")</f>
        <v/>
      </c>
      <c r="CJ9" s="12" t="str">
        <f>IFERROR(VLOOKUP($BV9,[2]Giacenza_Articoli!$A$2:$AO$10000,20,FALSE),"")</f>
        <v/>
      </c>
      <c r="CK9" s="12" t="str">
        <f>IFERROR(VLOOKUP($BV9,[2]Giacenza_Articoli!$A$2:$AO$10000,21,FALSE),"")</f>
        <v/>
      </c>
      <c r="CL9" s="12" t="str">
        <f>IFERROR(VLOOKUP($BV9,[2]Giacenza_Articoli!$A$2:$AO$10000,22,FALSE),"")</f>
        <v/>
      </c>
      <c r="CM9" s="12" t="str">
        <f>IFERROR(VLOOKUP($BV9,[2]Giacenza_Articoli!$A$2:$AO$10000,23,FALSE),"")</f>
        <v/>
      </c>
      <c r="CN9" s="12" t="str">
        <f>IFERROR(VLOOKUP($BV9,[2]Giacenza_Articoli!$A$2:$AO$10000,24,FALSE),"")</f>
        <v/>
      </c>
      <c r="CO9" s="12" t="str">
        <f>IFERROR(VLOOKUP($BV9,[2]Giacenza_Articoli!$A$2:$AO$10000,25,FALSE),"")</f>
        <v/>
      </c>
      <c r="CP9" s="12" t="str">
        <f>IFERROR(VLOOKUP($BV9,[2]Giacenza_Articoli!$A$2:$AO$10000,26,FALSE),"")</f>
        <v/>
      </c>
      <c r="CQ9" s="12" t="str">
        <f>IFERROR(VLOOKUP($BV9,[2]Giacenza_Articoli!$A$2:$AO$10000,27,FALSE),"")</f>
        <v/>
      </c>
      <c r="CR9" s="12" t="str">
        <f>IFERROR(VLOOKUP($BV9,[2]Giacenza_Articoli!$A$2:$AO$10000,28,FALSE),"")</f>
        <v/>
      </c>
      <c r="CS9" s="12" t="str">
        <f>IFERROR(VLOOKUP($BV9,[2]Giacenza_Articoli!$A$2:$AO$10000,29,FALSE),"")</f>
        <v/>
      </c>
      <c r="CT9" s="12" t="str">
        <f>IFERROR(VLOOKUP($BV9,[2]Giacenza_Articoli!$A$2:$AO$10000,30,FALSE),"")</f>
        <v/>
      </c>
      <c r="CU9" s="12" t="str">
        <f>IFERROR(VLOOKUP($BV9,[2]Giacenza_Articoli!$A$2:$AO$10000,31,FALSE),"")</f>
        <v/>
      </c>
      <c r="CV9" s="12" t="str">
        <f>IFERROR(VLOOKUP($BV9,[2]Giacenza_Articoli!$A$2:$AO$10000,32,FALSE),"")</f>
        <v/>
      </c>
      <c r="CW9" s="12" t="str">
        <f>IFERROR(VLOOKUP($BV9,[2]Giacenza_Articoli!$A$2:$AO$10000,33,FALSE),"")</f>
        <v/>
      </c>
      <c r="CX9" s="12" t="str">
        <f>IFERROR(VLOOKUP($BV9,[2]Giacenza_Articoli!$A$2:$AO$10000,34,FALSE),"")</f>
        <v/>
      </c>
      <c r="CY9" s="12" t="str">
        <f>IFERROR(VLOOKUP($BV9,[2]Giacenza_Articoli!$A$2:$AO$10000,37,FALSE),"")</f>
        <v/>
      </c>
      <c r="CZ9" s="12" t="str">
        <f>IFERROR(VLOOKUP($BV9,[2]Giacenza_Articoli!$A$2:$AO$10000,38,FALSE),"")</f>
        <v/>
      </c>
      <c r="DA9" s="12" t="str">
        <f>IFERROR(VLOOKUP($BV9,[2]Giacenza_Articoli!$A$2:$AO$10000,39,FALSE),"")</f>
        <v/>
      </c>
    </row>
    <row r="10" spans="2:106" ht="11.1" customHeight="1">
      <c r="B10" s="71"/>
      <c r="C10" s="72"/>
      <c r="D10" s="72"/>
      <c r="E10" s="72"/>
      <c r="F10" s="72"/>
      <c r="G10" s="72"/>
      <c r="H10" s="72"/>
      <c r="I10" s="72"/>
      <c r="J10" s="165"/>
      <c r="K10" s="235"/>
      <c r="L10" s="236"/>
      <c r="M10" s="236"/>
      <c r="N10" s="236"/>
      <c r="O10" s="236"/>
      <c r="P10" s="236"/>
      <c r="Q10" s="236"/>
      <c r="R10" s="236"/>
      <c r="S10" s="72"/>
      <c r="T10" s="72"/>
      <c r="U10" s="72"/>
      <c r="V10" s="72"/>
      <c r="W10" s="72"/>
      <c r="X10" s="72"/>
      <c r="Y10" s="72"/>
      <c r="Z10" s="72"/>
      <c r="AA10" s="165"/>
      <c r="AB10" s="169"/>
      <c r="AC10" s="170"/>
      <c r="AD10" s="170"/>
      <c r="AE10" s="170"/>
      <c r="AF10" s="170"/>
      <c r="AG10" s="170"/>
      <c r="AH10" s="170"/>
      <c r="AI10" s="170"/>
      <c r="AJ10" s="171"/>
      <c r="AK10" s="6"/>
      <c r="AL10" s="6"/>
      <c r="AM10" s="190" t="s">
        <v>13</v>
      </c>
      <c r="AN10" s="191"/>
      <c r="AO10" s="191"/>
      <c r="AP10" s="187" t="str">
        <f>IFERROR(VLOOKUP($AQ9,[3]DB_Giacenza!$A$3:$O$10000,2,FALSE),"")</f>
        <v>Cartularia</v>
      </c>
      <c r="AQ10" s="187"/>
      <c r="AR10" s="187"/>
      <c r="AS10" s="187"/>
      <c r="AT10" s="187"/>
      <c r="AU10" s="8" t="s">
        <v>2</v>
      </c>
      <c r="AV10" s="8"/>
      <c r="AW10" s="8"/>
      <c r="AX10" s="187" t="str">
        <f>IFERROR(VLOOKUP($AQ9,[3]DB_Giacenza!$A$3:$O$10000,3,FALSE),"")</f>
        <v>533/2022</v>
      </c>
      <c r="AY10" s="187"/>
      <c r="AZ10" s="187"/>
      <c r="BA10" s="187"/>
      <c r="BB10" s="187"/>
      <c r="BC10" s="191" t="s">
        <v>14</v>
      </c>
      <c r="BD10" s="191"/>
      <c r="BE10" s="187" t="str">
        <f>IFERROR(VLOOKUP($AQ9,[3]DB_Giacenza!$A$3:$O$10000,4,FALSE),"")</f>
        <v>3935 - 11/10/2022</v>
      </c>
      <c r="BF10" s="187"/>
      <c r="BG10" s="187"/>
      <c r="BH10" s="187"/>
      <c r="BI10" s="187"/>
      <c r="BJ10" s="187"/>
      <c r="BK10" s="187"/>
      <c r="BL10" s="15" t="s">
        <v>10</v>
      </c>
      <c r="BM10" s="15"/>
      <c r="BN10" s="16"/>
      <c r="BO10" s="188" t="str">
        <f>IFERROR(VLOOKUP($AQ9,[3]DB_Giacenza!$A$3:$O$10000,5,FALSE),"")</f>
        <v>GC2 Tambrite</v>
      </c>
      <c r="BP10" s="188"/>
      <c r="BQ10" s="188"/>
      <c r="BR10" s="188"/>
      <c r="BS10" s="188"/>
      <c r="BT10" s="188"/>
      <c r="BU10" s="189"/>
      <c r="BV10" s="64"/>
      <c r="BW10" s="12" t="str">
        <f>IFERROR(VLOOKUP($BV10,[2]Giacenza_Articoli!$A$2:$AO$10000,7,FALSE),"")</f>
        <v/>
      </c>
      <c r="BX10" s="12" t="str">
        <f>IFERROR(VLOOKUP($BV10,[2]Giacenza_Articoli!$A$2:$AO$10000,8,FALSE),"")</f>
        <v/>
      </c>
      <c r="BY10" s="12" t="str">
        <f>IFERROR(VLOOKUP($BV10,[2]Giacenza_Articoli!$A$2:$AO$10000,9,FALSE),"")</f>
        <v/>
      </c>
      <c r="BZ10" s="12" t="str">
        <f>IFERROR(VLOOKUP($BV10,[2]Giacenza_Articoli!$A$2:$AO$10000,10,FALSE),"")</f>
        <v/>
      </c>
      <c r="CA10" s="12" t="str">
        <f>IFERROR(VLOOKUP($BV10,[2]Giacenza_Articoli!$A$2:$AO$10000,11,FALSE),"")</f>
        <v/>
      </c>
      <c r="CB10" s="12" t="str">
        <f>IFERROR(VLOOKUP($BV10,[2]Giacenza_Articoli!$A$2:$AO$10000,12,FALSE),"")</f>
        <v/>
      </c>
      <c r="CC10" s="12" t="str">
        <f>IFERROR(VLOOKUP($BV10,[2]Giacenza_Articoli!$A$2:$AO$10000,13,FALSE),"")</f>
        <v/>
      </c>
      <c r="CD10" s="12" t="str">
        <f>IFERROR(VLOOKUP($BV10,[2]Giacenza_Articoli!$A$2:$AO$10000,14,FALSE),"")</f>
        <v/>
      </c>
      <c r="CE10" s="12" t="str">
        <f>IFERROR(VLOOKUP($BV10,[2]Giacenza_Articoli!$A$2:$AO$10000,15,FALSE),"")</f>
        <v/>
      </c>
      <c r="CF10" s="12" t="str">
        <f>IFERROR(VLOOKUP($BV10,[2]Giacenza_Articoli!$A$2:$AO$10000,16,FALSE),"")</f>
        <v/>
      </c>
      <c r="CG10" s="12" t="str">
        <f>IFERROR(VLOOKUP($BV10,[2]Giacenza_Articoli!$A$2:$AO$10000,17,FALSE),"")</f>
        <v/>
      </c>
      <c r="CH10" s="12" t="str">
        <f>IFERROR(VLOOKUP($BV10,[2]Giacenza_Articoli!$A$2:$AO$10000,18,FALSE),"")</f>
        <v/>
      </c>
      <c r="CI10" s="12" t="str">
        <f>IFERROR(VLOOKUP($BV10,[2]Giacenza_Articoli!$A$2:$AO$10000,19,FALSE),"")</f>
        <v/>
      </c>
      <c r="CJ10" s="12" t="str">
        <f>IFERROR(VLOOKUP($BV10,[2]Giacenza_Articoli!$A$2:$AO$10000,20,FALSE),"")</f>
        <v/>
      </c>
      <c r="CK10" s="12" t="str">
        <f>IFERROR(VLOOKUP($BV10,[2]Giacenza_Articoli!$A$2:$AO$10000,21,FALSE),"")</f>
        <v/>
      </c>
      <c r="CL10" s="12" t="str">
        <f>IFERROR(VLOOKUP($BV10,[2]Giacenza_Articoli!$A$2:$AO$10000,22,FALSE),"")</f>
        <v/>
      </c>
      <c r="CM10" s="12" t="str">
        <f>IFERROR(VLOOKUP($BV10,[2]Giacenza_Articoli!$A$2:$AO$10000,23,FALSE),"")</f>
        <v/>
      </c>
      <c r="CN10" s="12" t="str">
        <f>IFERROR(VLOOKUP($BV10,[2]Giacenza_Articoli!$A$2:$AO$10000,24,FALSE),"")</f>
        <v/>
      </c>
      <c r="CO10" s="12" t="str">
        <f>IFERROR(VLOOKUP($BV10,[2]Giacenza_Articoli!$A$2:$AO$10000,25,FALSE),"")</f>
        <v/>
      </c>
      <c r="CP10" s="12" t="str">
        <f>IFERROR(VLOOKUP($BV10,[2]Giacenza_Articoli!$A$2:$AO$10000,26,FALSE),"")</f>
        <v/>
      </c>
      <c r="CQ10" s="12" t="str">
        <f>IFERROR(VLOOKUP($BV10,[2]Giacenza_Articoli!$A$2:$AO$10000,27,FALSE),"")</f>
        <v/>
      </c>
      <c r="CR10" s="12" t="str">
        <f>IFERROR(VLOOKUP($BV10,[2]Giacenza_Articoli!$A$2:$AO$10000,28,FALSE),"")</f>
        <v/>
      </c>
      <c r="CS10" s="12" t="str">
        <f>IFERROR(VLOOKUP($BV10,[2]Giacenza_Articoli!$A$2:$AO$10000,29,FALSE),"")</f>
        <v/>
      </c>
      <c r="CT10" s="12" t="str">
        <f>IFERROR(VLOOKUP($BV10,[2]Giacenza_Articoli!$A$2:$AO$10000,30,FALSE),"")</f>
        <v/>
      </c>
      <c r="CU10" s="12" t="str">
        <f>IFERROR(VLOOKUP($BV10,[2]Giacenza_Articoli!$A$2:$AO$10000,31,FALSE),"")</f>
        <v/>
      </c>
      <c r="CV10" s="12" t="str">
        <f>IFERROR(VLOOKUP($BV10,[2]Giacenza_Articoli!$A$2:$AO$10000,32,FALSE),"")</f>
        <v/>
      </c>
      <c r="CW10" s="12" t="str">
        <f>IFERROR(VLOOKUP($BV10,[2]Giacenza_Articoli!$A$2:$AO$10000,33,FALSE),"")</f>
        <v/>
      </c>
      <c r="CX10" s="12" t="str">
        <f>IFERROR(VLOOKUP($BV10,[2]Giacenza_Articoli!$A$2:$AO$10000,34,FALSE),"")</f>
        <v/>
      </c>
      <c r="CY10" s="12" t="str">
        <f>IFERROR(VLOOKUP($BV10,[2]Giacenza_Articoli!$A$2:$AO$10000,37,FALSE),"")</f>
        <v/>
      </c>
      <c r="CZ10" s="12" t="str">
        <f>IFERROR(VLOOKUP($BV10,[2]Giacenza_Articoli!$A$2:$AO$10000,38,FALSE),"")</f>
        <v/>
      </c>
      <c r="DA10" s="12" t="str">
        <f>IFERROR(VLOOKUP($BV10,[2]Giacenza_Articoli!$A$2:$AO$10000,39,FALSE),"")</f>
        <v/>
      </c>
    </row>
    <row r="11" spans="2:106" ht="11.1" customHeight="1" thickBot="1">
      <c r="B11" s="228" t="s">
        <v>134</v>
      </c>
      <c r="C11" s="229"/>
      <c r="D11" s="229"/>
      <c r="E11" s="229"/>
      <c r="F11" s="230"/>
      <c r="G11" s="204" t="str">
        <f>IFERROR(VLOOKUP($AB9,[2]Clienti!$A$2:$M$10000,5,FALSE),"")</f>
        <v>H 1.30</v>
      </c>
      <c r="H11" s="205"/>
      <c r="I11" s="231"/>
      <c r="J11" s="232" t="s">
        <v>135</v>
      </c>
      <c r="K11" s="229"/>
      <c r="L11" s="229"/>
      <c r="M11" s="229"/>
      <c r="N11" s="205" t="str">
        <f>IFERROR(VLOOKUP($AB9,[2]Clienti!$A$2:$M$10000,7,FALSE),"")</f>
        <v>MAX 2</v>
      </c>
      <c r="O11" s="205"/>
      <c r="P11" s="205"/>
      <c r="Q11" s="231"/>
      <c r="R11" s="232" t="s">
        <v>136</v>
      </c>
      <c r="S11" s="229"/>
      <c r="T11" s="229"/>
      <c r="U11" s="229"/>
      <c r="V11" s="229"/>
      <c r="W11" s="229"/>
      <c r="X11" s="230"/>
      <c r="Y11" s="204" t="str">
        <f>IFERROR(VLOOKUP($AB9,[2]Clienti!$A$2:$M$10000,8,FALSE),"")</f>
        <v>SI</v>
      </c>
      <c r="Z11" s="205"/>
      <c r="AA11" s="231"/>
      <c r="AB11" s="232" t="s">
        <v>137</v>
      </c>
      <c r="AC11" s="229"/>
      <c r="AD11" s="229"/>
      <c r="AE11" s="230"/>
      <c r="AF11" s="201">
        <f>IFERROR(VLOOKUP($AB9,[2]Clienti!$A$2:$M$10000,6,FALSE),"")</f>
        <v>0</v>
      </c>
      <c r="AG11" s="202"/>
      <c r="AH11" s="202"/>
      <c r="AI11" s="202"/>
      <c r="AJ11" s="203"/>
      <c r="AK11" s="6"/>
      <c r="AL11" s="6"/>
      <c r="AM11" s="112" t="s">
        <v>17</v>
      </c>
      <c r="AN11" s="113"/>
      <c r="AO11" s="113"/>
      <c r="AP11" s="114">
        <f>IFERROR(VLOOKUP($AQ9,[3]DB_Giacenza!$A$3:$O$10000,7,FALSE),"")</f>
        <v>72</v>
      </c>
      <c r="AQ11" s="114"/>
      <c r="AR11" s="17" t="str">
        <f>IFERROR(VLOOKUP($AQ9,[3]DB_Giacenza!$A$3:$O$10000,8,FALSE),"")</f>
        <v>x</v>
      </c>
      <c r="AS11" s="250">
        <f>IFERROR(VLOOKUP($AQ9,[3]DB_Giacenza!$A$3:$O$10000,9,FALSE),"")</f>
        <v>75</v>
      </c>
      <c r="AT11" s="250"/>
      <c r="AU11" s="250"/>
      <c r="AV11" s="95" t="s">
        <v>152</v>
      </c>
      <c r="AW11" s="95"/>
      <c r="AX11" s="95"/>
      <c r="AY11" s="241">
        <f>IFERROR(VLOOKUP($AQ9,[3]DB_Giacenza!$A$3:$O$10000,6,FALSE),"")</f>
        <v>270</v>
      </c>
      <c r="AZ11" s="241"/>
      <c r="BA11" s="241"/>
      <c r="BB11" s="113" t="s">
        <v>153</v>
      </c>
      <c r="BC11" s="113"/>
      <c r="BD11" s="113"/>
      <c r="BE11" s="113"/>
      <c r="BF11" s="113"/>
      <c r="BG11" s="242"/>
      <c r="BH11" s="243"/>
      <c r="BI11" s="243"/>
      <c r="BJ11" s="18" t="s">
        <v>154</v>
      </c>
      <c r="BK11" s="244"/>
      <c r="BL11" s="244"/>
      <c r="BM11" s="245"/>
      <c r="BN11" s="195" t="s">
        <v>155</v>
      </c>
      <c r="BO11" s="196"/>
      <c r="BP11" s="196"/>
      <c r="BQ11" s="196"/>
      <c r="BR11" s="196"/>
      <c r="BS11" s="196"/>
      <c r="BT11" s="196"/>
      <c r="BU11" s="207"/>
      <c r="BV11" s="64"/>
      <c r="BW11" s="12" t="str">
        <f>IFERROR(VLOOKUP($BV11,[2]Giacenza_Articoli!$A$2:$AO$10000,7,FALSE),"")</f>
        <v/>
      </c>
      <c r="BX11" s="12" t="str">
        <f>IFERROR(VLOOKUP($BV11,[2]Giacenza_Articoli!$A$2:$AO$10000,8,FALSE),"")</f>
        <v/>
      </c>
      <c r="BY11" s="12" t="str">
        <f>IFERROR(VLOOKUP($BV11,[2]Giacenza_Articoli!$A$2:$AO$10000,9,FALSE),"")</f>
        <v/>
      </c>
      <c r="BZ11" s="12" t="str">
        <f>IFERROR(VLOOKUP($BV11,[2]Giacenza_Articoli!$A$2:$AO$10000,10,FALSE),"")</f>
        <v/>
      </c>
      <c r="CA11" s="12" t="str">
        <f>IFERROR(VLOOKUP($BV11,[2]Giacenza_Articoli!$A$2:$AO$10000,11,FALSE),"")</f>
        <v/>
      </c>
      <c r="CB11" s="12" t="str">
        <f>IFERROR(VLOOKUP($BV11,[2]Giacenza_Articoli!$A$2:$AO$10000,12,FALSE),"")</f>
        <v/>
      </c>
      <c r="CC11" s="12" t="str">
        <f>IFERROR(VLOOKUP($BV11,[2]Giacenza_Articoli!$A$2:$AO$10000,13,FALSE),"")</f>
        <v/>
      </c>
      <c r="CD11" s="12" t="str">
        <f>IFERROR(VLOOKUP($BV11,[2]Giacenza_Articoli!$A$2:$AO$10000,14,FALSE),"")</f>
        <v/>
      </c>
      <c r="CE11" s="12" t="str">
        <f>IFERROR(VLOOKUP($BV11,[2]Giacenza_Articoli!$A$2:$AO$10000,15,FALSE),"")</f>
        <v/>
      </c>
      <c r="CF11" s="12" t="str">
        <f>IFERROR(VLOOKUP($BV11,[2]Giacenza_Articoli!$A$2:$AO$10000,16,FALSE),"")</f>
        <v/>
      </c>
      <c r="CG11" s="12" t="str">
        <f>IFERROR(VLOOKUP($BV11,[2]Giacenza_Articoli!$A$2:$AO$10000,17,FALSE),"")</f>
        <v/>
      </c>
      <c r="CH11" s="12" t="str">
        <f>IFERROR(VLOOKUP($BV11,[2]Giacenza_Articoli!$A$2:$AO$10000,18,FALSE),"")</f>
        <v/>
      </c>
      <c r="CI11" s="12" t="str">
        <f>IFERROR(VLOOKUP($BV11,[2]Giacenza_Articoli!$A$2:$AO$10000,19,FALSE),"")</f>
        <v/>
      </c>
      <c r="CJ11" s="12" t="str">
        <f>IFERROR(VLOOKUP($BV11,[2]Giacenza_Articoli!$A$2:$AO$10000,20,FALSE),"")</f>
        <v/>
      </c>
      <c r="CK11" s="12" t="str">
        <f>IFERROR(VLOOKUP($BV11,[2]Giacenza_Articoli!$A$2:$AO$10000,21,FALSE),"")</f>
        <v/>
      </c>
      <c r="CL11" s="12" t="str">
        <f>IFERROR(VLOOKUP($BV11,[2]Giacenza_Articoli!$A$2:$AO$10000,22,FALSE),"")</f>
        <v/>
      </c>
      <c r="CM11" s="12" t="str">
        <f>IFERROR(VLOOKUP($BV11,[2]Giacenza_Articoli!$A$2:$AO$10000,23,FALSE),"")</f>
        <v/>
      </c>
      <c r="CN11" s="12" t="str">
        <f>IFERROR(VLOOKUP($BV11,[2]Giacenza_Articoli!$A$2:$AO$10000,24,FALSE),"")</f>
        <v/>
      </c>
      <c r="CO11" s="12" t="str">
        <f>IFERROR(VLOOKUP($BV11,[2]Giacenza_Articoli!$A$2:$AO$10000,25,FALSE),"")</f>
        <v/>
      </c>
      <c r="CP11" s="12" t="str">
        <f>IFERROR(VLOOKUP($BV11,[2]Giacenza_Articoli!$A$2:$AO$10000,26,FALSE),"")</f>
        <v/>
      </c>
      <c r="CQ11" s="12" t="str">
        <f>IFERROR(VLOOKUP($BV11,[2]Giacenza_Articoli!$A$2:$AO$10000,27,FALSE),"")</f>
        <v/>
      </c>
      <c r="CR11" s="12" t="str">
        <f>IFERROR(VLOOKUP($BV11,[2]Giacenza_Articoli!$A$2:$AO$10000,28,FALSE),"")</f>
        <v/>
      </c>
      <c r="CS11" s="12" t="str">
        <f>IFERROR(VLOOKUP($BV11,[2]Giacenza_Articoli!$A$2:$AO$10000,29,FALSE),"")</f>
        <v/>
      </c>
      <c r="CT11" s="12" t="str">
        <f>IFERROR(VLOOKUP($BV11,[2]Giacenza_Articoli!$A$2:$AO$10000,30,FALSE),"")</f>
        <v/>
      </c>
      <c r="CU11" s="12" t="str">
        <f>IFERROR(VLOOKUP($BV11,[2]Giacenza_Articoli!$A$2:$AO$10000,31,FALSE),"")</f>
        <v/>
      </c>
      <c r="CV11" s="12" t="str">
        <f>IFERROR(VLOOKUP($BV11,[2]Giacenza_Articoli!$A$2:$AO$10000,32,FALSE),"")</f>
        <v/>
      </c>
      <c r="CW11" s="12" t="str">
        <f>IFERROR(VLOOKUP($BV11,[2]Giacenza_Articoli!$A$2:$AO$10000,33,FALSE),"")</f>
        <v/>
      </c>
      <c r="CX11" s="12" t="str">
        <f>IFERROR(VLOOKUP($BV11,[2]Giacenza_Articoli!$A$2:$AO$10000,34,FALSE),"")</f>
        <v/>
      </c>
      <c r="CY11" s="12" t="str">
        <f>IFERROR(VLOOKUP($BV11,[2]Giacenza_Articoli!$A$2:$AO$10000,37,FALSE),"")</f>
        <v/>
      </c>
      <c r="CZ11" s="12" t="str">
        <f>IFERROR(VLOOKUP($BV11,[2]Giacenza_Articoli!$A$2:$AO$10000,38,FALSE),"")</f>
        <v/>
      </c>
      <c r="DA11" s="12" t="str">
        <f>IFERROR(VLOOKUP($BV11,[2]Giacenza_Articoli!$A$2:$AO$10000,39,FALSE),"")</f>
        <v/>
      </c>
    </row>
    <row r="12" spans="2:106" ht="11.1" customHeight="1" thickBot="1">
      <c r="B12" s="239" t="s">
        <v>138</v>
      </c>
      <c r="C12" s="196"/>
      <c r="D12" s="196"/>
      <c r="E12" s="196"/>
      <c r="F12" s="196"/>
      <c r="G12" s="197"/>
      <c r="H12" s="198">
        <f>IFERROR(VLOOKUP($AB9,[2]Clienti!$A$2:$M$10000,9,FALSE),"")</f>
        <v>2</v>
      </c>
      <c r="I12" s="199"/>
      <c r="J12" s="195" t="s">
        <v>139</v>
      </c>
      <c r="K12" s="196"/>
      <c r="L12" s="196"/>
      <c r="M12" s="196"/>
      <c r="N12" s="196"/>
      <c r="O12" s="197"/>
      <c r="P12" s="198" t="str">
        <f>IFERROR(VLOOKUP($AB9,[2]Clienti!$A$2:$M$10000,10,FALSE),"")</f>
        <v>GIALLO X1</v>
      </c>
      <c r="Q12" s="240"/>
      <c r="R12" s="240"/>
      <c r="S12" s="240"/>
      <c r="T12" s="199"/>
      <c r="U12" s="195" t="s">
        <v>140</v>
      </c>
      <c r="V12" s="196"/>
      <c r="W12" s="196"/>
      <c r="X12" s="196"/>
      <c r="Y12" s="197"/>
      <c r="Z12" s="198" t="str">
        <f>IFERROR(VLOOKUP($AB9,[2]Clienti!$A$2:$M$10000,11,FALSE),"")</f>
        <v>SI X2</v>
      </c>
      <c r="AA12" s="199"/>
      <c r="AB12" s="195" t="s">
        <v>141</v>
      </c>
      <c r="AC12" s="196"/>
      <c r="AD12" s="196"/>
      <c r="AE12" s="196"/>
      <c r="AF12" s="196"/>
      <c r="AG12" s="196"/>
      <c r="AH12" s="197"/>
      <c r="AI12" s="198" t="str">
        <f>IFERROR(VLOOKUP($AB9,[2]Clienti!$A$2:$M$10000,12,FALSE),"")</f>
        <v>SI IN A3</v>
      </c>
      <c r="AJ12" s="200"/>
      <c r="AK12" s="6"/>
      <c r="AL12" s="6"/>
      <c r="BV12" s="64"/>
      <c r="BW12" s="12" t="str">
        <f>IFERROR(VLOOKUP($BV12,[2]Giacenza_Articoli!$A$2:$AO$10000,7,FALSE),"")</f>
        <v/>
      </c>
      <c r="BX12" s="12" t="str">
        <f>IFERROR(VLOOKUP($BV12,[2]Giacenza_Articoli!$A$2:$AO$10000,8,FALSE),"")</f>
        <v/>
      </c>
      <c r="BY12" s="12" t="str">
        <f>IFERROR(VLOOKUP($BV12,[2]Giacenza_Articoli!$A$2:$AO$10000,9,FALSE),"")</f>
        <v/>
      </c>
      <c r="BZ12" s="12" t="str">
        <f>IFERROR(VLOOKUP($BV12,[2]Giacenza_Articoli!$A$2:$AO$10000,10,FALSE),"")</f>
        <v/>
      </c>
      <c r="CA12" s="12" t="str">
        <f>IFERROR(VLOOKUP($BV12,[2]Giacenza_Articoli!$A$2:$AO$10000,11,FALSE),"")</f>
        <v/>
      </c>
      <c r="CB12" s="12" t="str">
        <f>IFERROR(VLOOKUP($BV12,[2]Giacenza_Articoli!$A$2:$AO$10000,12,FALSE),"")</f>
        <v/>
      </c>
      <c r="CC12" s="12" t="str">
        <f>IFERROR(VLOOKUP($BV12,[2]Giacenza_Articoli!$A$2:$AO$10000,13,FALSE),"")</f>
        <v/>
      </c>
      <c r="CD12" s="12" t="str">
        <f>IFERROR(VLOOKUP($BV12,[2]Giacenza_Articoli!$A$2:$AO$10000,14,FALSE),"")</f>
        <v/>
      </c>
      <c r="CE12" s="12" t="str">
        <f>IFERROR(VLOOKUP($BV12,[2]Giacenza_Articoli!$A$2:$AO$10000,15,FALSE),"")</f>
        <v/>
      </c>
      <c r="CF12" s="12" t="str">
        <f>IFERROR(VLOOKUP($BV12,[2]Giacenza_Articoli!$A$2:$AO$10000,16,FALSE),"")</f>
        <v/>
      </c>
      <c r="CG12" s="12" t="str">
        <f>IFERROR(VLOOKUP($BV12,[2]Giacenza_Articoli!$A$2:$AO$10000,17,FALSE),"")</f>
        <v/>
      </c>
      <c r="CH12" s="12" t="str">
        <f>IFERROR(VLOOKUP($BV12,[2]Giacenza_Articoli!$A$2:$AO$10000,18,FALSE),"")</f>
        <v/>
      </c>
      <c r="CI12" s="12" t="str">
        <f>IFERROR(VLOOKUP($BV12,[2]Giacenza_Articoli!$A$2:$AO$10000,19,FALSE),"")</f>
        <v/>
      </c>
      <c r="CJ12" s="12" t="str">
        <f>IFERROR(VLOOKUP($BV12,[2]Giacenza_Articoli!$A$2:$AO$10000,20,FALSE),"")</f>
        <v/>
      </c>
      <c r="CK12" s="12" t="str">
        <f>IFERROR(VLOOKUP($BV12,[2]Giacenza_Articoli!$A$2:$AO$10000,21,FALSE),"")</f>
        <v/>
      </c>
      <c r="CL12" s="12" t="str">
        <f>IFERROR(VLOOKUP($BV12,[2]Giacenza_Articoli!$A$2:$AO$10000,22,FALSE),"")</f>
        <v/>
      </c>
      <c r="CM12" s="12" t="str">
        <f>IFERROR(VLOOKUP($BV12,[2]Giacenza_Articoli!$A$2:$AO$10000,23,FALSE),"")</f>
        <v/>
      </c>
      <c r="CN12" s="12" t="str">
        <f>IFERROR(VLOOKUP($BV12,[2]Giacenza_Articoli!$A$2:$AO$10000,24,FALSE),"")</f>
        <v/>
      </c>
      <c r="CO12" s="12" t="str">
        <f>IFERROR(VLOOKUP($BV12,[2]Giacenza_Articoli!$A$2:$AO$10000,25,FALSE),"")</f>
        <v/>
      </c>
      <c r="CP12" s="12" t="str">
        <f>IFERROR(VLOOKUP($BV12,[2]Giacenza_Articoli!$A$2:$AO$10000,26,FALSE),"")</f>
        <v/>
      </c>
      <c r="CQ12" s="12" t="str">
        <f>IFERROR(VLOOKUP($BV12,[2]Giacenza_Articoli!$A$2:$AO$10000,27,FALSE),"")</f>
        <v/>
      </c>
      <c r="CR12" s="12" t="str">
        <f>IFERROR(VLOOKUP($BV12,[2]Giacenza_Articoli!$A$2:$AO$10000,28,FALSE),"")</f>
        <v/>
      </c>
      <c r="CS12" s="12" t="str">
        <f>IFERROR(VLOOKUP($BV12,[2]Giacenza_Articoli!$A$2:$AO$10000,29,FALSE),"")</f>
        <v/>
      </c>
      <c r="CT12" s="12" t="str">
        <f>IFERROR(VLOOKUP($BV12,[2]Giacenza_Articoli!$A$2:$AO$10000,30,FALSE),"")</f>
        <v/>
      </c>
      <c r="CU12" s="12" t="str">
        <f>IFERROR(VLOOKUP($BV12,[2]Giacenza_Articoli!$A$2:$AO$10000,31,FALSE),"")</f>
        <v/>
      </c>
      <c r="CV12" s="12" t="str">
        <f>IFERROR(VLOOKUP($BV12,[2]Giacenza_Articoli!$A$2:$AO$10000,32,FALSE),"")</f>
        <v/>
      </c>
      <c r="CW12" s="12" t="str">
        <f>IFERROR(VLOOKUP($BV12,[2]Giacenza_Articoli!$A$2:$AO$10000,33,FALSE),"")</f>
        <v/>
      </c>
      <c r="CX12" s="12" t="str">
        <f>IFERROR(VLOOKUP($BV12,[2]Giacenza_Articoli!$A$2:$AO$10000,34,FALSE),"")</f>
        <v/>
      </c>
      <c r="CY12" s="12" t="str">
        <f>IFERROR(VLOOKUP($BV12,[2]Giacenza_Articoli!$A$2:$AO$10000,37,FALSE),"")</f>
        <v/>
      </c>
      <c r="CZ12" s="12" t="str">
        <f>IFERROR(VLOOKUP($BV12,[2]Giacenza_Articoli!$A$2:$AO$10000,38,FALSE),"")</f>
        <v/>
      </c>
      <c r="DA12" s="12" t="str">
        <f>IFERROR(VLOOKUP($BV12,[2]Giacenza_Articoli!$A$2:$AO$10000,39,FALSE),"")</f>
        <v/>
      </c>
    </row>
    <row r="13" spans="2:106" ht="11.1" customHeight="1" thickBot="1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6"/>
      <c r="AL13" s="6"/>
      <c r="AM13" s="99" t="s">
        <v>18</v>
      </c>
      <c r="AN13" s="97"/>
      <c r="AO13" s="97"/>
      <c r="AP13" s="97"/>
      <c r="AQ13" s="97"/>
      <c r="AR13" s="97" t="s">
        <v>21</v>
      </c>
      <c r="AS13" s="97"/>
      <c r="AT13" s="97"/>
      <c r="AU13" s="97"/>
      <c r="AV13" s="97"/>
      <c r="AW13" s="97" t="s">
        <v>33</v>
      </c>
      <c r="AX13" s="97"/>
      <c r="AY13" s="97"/>
      <c r="AZ13" s="97"/>
      <c r="BA13" s="97"/>
      <c r="BB13" s="100" t="s">
        <v>34</v>
      </c>
      <c r="BC13" s="101"/>
      <c r="BD13" s="101"/>
      <c r="BE13" s="101"/>
      <c r="BF13" s="102"/>
      <c r="BG13" s="100" t="s">
        <v>35</v>
      </c>
      <c r="BH13" s="101"/>
      <c r="BI13" s="101"/>
      <c r="BJ13" s="101"/>
      <c r="BK13" s="102"/>
      <c r="BL13" s="100" t="s">
        <v>36</v>
      </c>
      <c r="BM13" s="101"/>
      <c r="BN13" s="101"/>
      <c r="BO13" s="101"/>
      <c r="BP13" s="102"/>
      <c r="BQ13" s="97" t="s">
        <v>22</v>
      </c>
      <c r="BR13" s="97"/>
      <c r="BS13" s="97"/>
      <c r="BT13" s="97"/>
      <c r="BU13" s="98"/>
      <c r="BV13" s="64"/>
      <c r="BW13" s="12" t="str">
        <f>IFERROR(VLOOKUP($BV13,[2]Giacenza_Articoli!$A$2:$AO$10000,7,FALSE),"")</f>
        <v/>
      </c>
      <c r="BX13" s="12" t="str">
        <f>IFERROR(VLOOKUP($BV13,[2]Giacenza_Articoli!$A$2:$AO$10000,8,FALSE),"")</f>
        <v/>
      </c>
      <c r="BY13" s="12" t="str">
        <f>IFERROR(VLOOKUP($BV13,[2]Giacenza_Articoli!$A$2:$AO$10000,9,FALSE),"")</f>
        <v/>
      </c>
      <c r="BZ13" s="12" t="str">
        <f>IFERROR(VLOOKUP($BV13,[2]Giacenza_Articoli!$A$2:$AO$10000,10,FALSE),"")</f>
        <v/>
      </c>
      <c r="CA13" s="12" t="str">
        <f>IFERROR(VLOOKUP($BV13,[2]Giacenza_Articoli!$A$2:$AO$10000,11,FALSE),"")</f>
        <v/>
      </c>
      <c r="CB13" s="12" t="str">
        <f>IFERROR(VLOOKUP($BV13,[2]Giacenza_Articoli!$A$2:$AO$10000,12,FALSE),"")</f>
        <v/>
      </c>
      <c r="CC13" s="12" t="str">
        <f>IFERROR(VLOOKUP($BV13,[2]Giacenza_Articoli!$A$2:$AO$10000,13,FALSE),"")</f>
        <v/>
      </c>
      <c r="CD13" s="12" t="str">
        <f>IFERROR(VLOOKUP($BV13,[2]Giacenza_Articoli!$A$2:$AO$10000,14,FALSE),"")</f>
        <v/>
      </c>
      <c r="CE13" s="12" t="str">
        <f>IFERROR(VLOOKUP($BV13,[2]Giacenza_Articoli!$A$2:$AO$10000,15,FALSE),"")</f>
        <v/>
      </c>
      <c r="CF13" s="12" t="str">
        <f>IFERROR(VLOOKUP($BV13,[2]Giacenza_Articoli!$A$2:$AO$10000,16,FALSE),"")</f>
        <v/>
      </c>
      <c r="CG13" s="12" t="str">
        <f>IFERROR(VLOOKUP($BV13,[2]Giacenza_Articoli!$A$2:$AO$10000,17,FALSE),"")</f>
        <v/>
      </c>
      <c r="CH13" s="12" t="str">
        <f>IFERROR(VLOOKUP($BV13,[2]Giacenza_Articoli!$A$2:$AO$10000,18,FALSE),"")</f>
        <v/>
      </c>
      <c r="CI13" s="12" t="str">
        <f>IFERROR(VLOOKUP($BV13,[2]Giacenza_Articoli!$A$2:$AO$10000,19,FALSE),"")</f>
        <v/>
      </c>
      <c r="CJ13" s="12" t="str">
        <f>IFERROR(VLOOKUP($BV13,[2]Giacenza_Articoli!$A$2:$AO$10000,20,FALSE),"")</f>
        <v/>
      </c>
      <c r="CK13" s="12" t="str">
        <f>IFERROR(VLOOKUP($BV13,[2]Giacenza_Articoli!$A$2:$AO$10000,21,FALSE),"")</f>
        <v/>
      </c>
      <c r="CL13" s="12" t="str">
        <f>IFERROR(VLOOKUP($BV13,[2]Giacenza_Articoli!$A$2:$AO$10000,22,FALSE),"")</f>
        <v/>
      </c>
      <c r="CM13" s="12" t="str">
        <f>IFERROR(VLOOKUP($BV13,[2]Giacenza_Articoli!$A$2:$AO$10000,23,FALSE),"")</f>
        <v/>
      </c>
      <c r="CN13" s="12" t="str">
        <f>IFERROR(VLOOKUP($BV13,[2]Giacenza_Articoli!$A$2:$AO$10000,24,FALSE),"")</f>
        <v/>
      </c>
      <c r="CO13" s="12" t="str">
        <f>IFERROR(VLOOKUP($BV13,[2]Giacenza_Articoli!$A$2:$AO$10000,25,FALSE),"")</f>
        <v/>
      </c>
      <c r="CP13" s="12" t="str">
        <f>IFERROR(VLOOKUP($BV13,[2]Giacenza_Articoli!$A$2:$AO$10000,26,FALSE),"")</f>
        <v/>
      </c>
      <c r="CQ13" s="12" t="str">
        <f>IFERROR(VLOOKUP($BV13,[2]Giacenza_Articoli!$A$2:$AO$10000,27,FALSE),"")</f>
        <v/>
      </c>
      <c r="CR13" s="12" t="str">
        <f>IFERROR(VLOOKUP($BV13,[2]Giacenza_Articoli!$A$2:$AO$10000,28,FALSE),"")</f>
        <v/>
      </c>
      <c r="CS13" s="12" t="str">
        <f>IFERROR(VLOOKUP($BV13,[2]Giacenza_Articoli!$A$2:$AO$10000,29,FALSE),"")</f>
        <v/>
      </c>
      <c r="CT13" s="12" t="str">
        <f>IFERROR(VLOOKUP($BV13,[2]Giacenza_Articoli!$A$2:$AO$10000,30,FALSE),"")</f>
        <v/>
      </c>
      <c r="CU13" s="12" t="str">
        <f>IFERROR(VLOOKUP($BV13,[2]Giacenza_Articoli!$A$2:$AO$10000,31,FALSE),"")</f>
        <v/>
      </c>
      <c r="CV13" s="12" t="str">
        <f>IFERROR(VLOOKUP($BV13,[2]Giacenza_Articoli!$A$2:$AO$10000,32,FALSE),"")</f>
        <v/>
      </c>
      <c r="CW13" s="12" t="str">
        <f>IFERROR(VLOOKUP($BV13,[2]Giacenza_Articoli!$A$2:$AO$10000,33,FALSE),"")</f>
        <v/>
      </c>
      <c r="CX13" s="12" t="str">
        <f>IFERROR(VLOOKUP($BV13,[2]Giacenza_Articoli!$A$2:$AO$10000,34,FALSE),"")</f>
        <v/>
      </c>
      <c r="CY13" s="12" t="str">
        <f>IFERROR(VLOOKUP($BV13,[2]Giacenza_Articoli!$A$2:$AO$10000,37,FALSE),"")</f>
        <v/>
      </c>
      <c r="CZ13" s="12" t="str">
        <f>IFERROR(VLOOKUP($BV13,[2]Giacenza_Articoli!$A$2:$AO$10000,38,FALSE),"")</f>
        <v/>
      </c>
      <c r="DA13" s="12" t="str">
        <f>IFERROR(VLOOKUP($BV13,[2]Giacenza_Articoli!$A$2:$AO$10000,39,FALSE),"")</f>
        <v/>
      </c>
    </row>
    <row r="14" spans="2:106" ht="11.1" customHeight="1">
      <c r="B14" s="99" t="s">
        <v>151</v>
      </c>
      <c r="C14" s="97"/>
      <c r="D14" s="97"/>
      <c r="E14" s="97"/>
      <c r="F14" s="97"/>
      <c r="G14" s="97"/>
      <c r="H14" s="97"/>
      <c r="I14" s="97"/>
      <c r="J14" s="164"/>
      <c r="K14" s="233"/>
      <c r="L14" s="234"/>
      <c r="M14" s="234"/>
      <c r="N14" s="234"/>
      <c r="O14" s="234"/>
      <c r="P14" s="234"/>
      <c r="Q14" s="234"/>
      <c r="R14" s="234"/>
      <c r="S14" s="97" t="s">
        <v>142</v>
      </c>
      <c r="T14" s="97"/>
      <c r="U14" s="97"/>
      <c r="V14" s="97"/>
      <c r="W14" s="97"/>
      <c r="X14" s="97"/>
      <c r="Y14" s="97"/>
      <c r="Z14" s="97"/>
      <c r="AA14" s="164"/>
      <c r="AB14" s="233"/>
      <c r="AC14" s="234"/>
      <c r="AD14" s="234"/>
      <c r="AE14" s="234"/>
      <c r="AF14" s="234"/>
      <c r="AG14" s="234"/>
      <c r="AH14" s="234"/>
      <c r="AI14" s="234"/>
      <c r="AJ14" s="237"/>
      <c r="AK14" s="6"/>
      <c r="AL14" s="6"/>
      <c r="AM14" s="71" t="s">
        <v>23</v>
      </c>
      <c r="AN14" s="72"/>
      <c r="AO14" s="72"/>
      <c r="AP14" s="72"/>
      <c r="AQ14" s="72"/>
      <c r="AR14" s="73">
        <v>17000</v>
      </c>
      <c r="AS14" s="73"/>
      <c r="AT14" s="73"/>
      <c r="AU14" s="73"/>
      <c r="AV14" s="73"/>
      <c r="AW14" s="73"/>
      <c r="AX14" s="73"/>
      <c r="AY14" s="73"/>
      <c r="AZ14" s="73"/>
      <c r="BA14" s="73"/>
      <c r="BB14" s="73">
        <v>17250</v>
      </c>
      <c r="BC14" s="73"/>
      <c r="BD14" s="73"/>
      <c r="BE14" s="73"/>
      <c r="BF14" s="73"/>
      <c r="BG14" s="73">
        <v>17300</v>
      </c>
      <c r="BH14" s="73"/>
      <c r="BI14" s="73"/>
      <c r="BJ14" s="73"/>
      <c r="BK14" s="73"/>
      <c r="BL14" s="73">
        <v>17230</v>
      </c>
      <c r="BM14" s="73"/>
      <c r="BN14" s="73"/>
      <c r="BO14" s="73"/>
      <c r="BP14" s="73"/>
      <c r="BQ14" s="74"/>
      <c r="BR14" s="75"/>
      <c r="BS14" s="75"/>
      <c r="BT14" s="75"/>
      <c r="BU14" s="76"/>
      <c r="BV14" s="64"/>
      <c r="BW14" s="12" t="str">
        <f>IFERROR(VLOOKUP($BV14,[2]Giacenza_Articoli!$A$2:$AO$10000,7,FALSE),"")</f>
        <v/>
      </c>
      <c r="BX14" s="12" t="str">
        <f>IFERROR(VLOOKUP($BV14,[2]Giacenza_Articoli!$A$2:$AO$10000,8,FALSE),"")</f>
        <v/>
      </c>
      <c r="BY14" s="12" t="str">
        <f>IFERROR(VLOOKUP($BV14,[2]Giacenza_Articoli!$A$2:$AO$10000,9,FALSE),"")</f>
        <v/>
      </c>
      <c r="BZ14" s="12" t="str">
        <f>IFERROR(VLOOKUP($BV14,[2]Giacenza_Articoli!$A$2:$AO$10000,10,FALSE),"")</f>
        <v/>
      </c>
      <c r="CA14" s="12" t="str">
        <f>IFERROR(VLOOKUP($BV14,[2]Giacenza_Articoli!$A$2:$AO$10000,11,FALSE),"")</f>
        <v/>
      </c>
      <c r="CB14" s="12" t="str">
        <f>IFERROR(VLOOKUP($BV14,[2]Giacenza_Articoli!$A$2:$AO$10000,12,FALSE),"")</f>
        <v/>
      </c>
      <c r="CC14" s="12" t="str">
        <f>IFERROR(VLOOKUP($BV14,[2]Giacenza_Articoli!$A$2:$AO$10000,13,FALSE),"")</f>
        <v/>
      </c>
      <c r="CD14" s="12" t="str">
        <f>IFERROR(VLOOKUP($BV14,[2]Giacenza_Articoli!$A$2:$AO$10000,14,FALSE),"")</f>
        <v/>
      </c>
      <c r="CE14" s="12" t="str">
        <f>IFERROR(VLOOKUP($BV14,[2]Giacenza_Articoli!$A$2:$AO$10000,15,FALSE),"")</f>
        <v/>
      </c>
      <c r="CF14" s="12" t="str">
        <f>IFERROR(VLOOKUP($BV14,[2]Giacenza_Articoli!$A$2:$AO$10000,16,FALSE),"")</f>
        <v/>
      </c>
      <c r="CG14" s="12" t="str">
        <f>IFERROR(VLOOKUP($BV14,[2]Giacenza_Articoli!$A$2:$AO$10000,17,FALSE),"")</f>
        <v/>
      </c>
      <c r="CH14" s="12" t="str">
        <f>IFERROR(VLOOKUP($BV14,[2]Giacenza_Articoli!$A$2:$AO$10000,18,FALSE),"")</f>
        <v/>
      </c>
      <c r="CI14" s="12" t="str">
        <f>IFERROR(VLOOKUP($BV14,[2]Giacenza_Articoli!$A$2:$AO$10000,19,FALSE),"")</f>
        <v/>
      </c>
      <c r="CJ14" s="12" t="str">
        <f>IFERROR(VLOOKUP($BV14,[2]Giacenza_Articoli!$A$2:$AO$10000,20,FALSE),"")</f>
        <v/>
      </c>
      <c r="CK14" s="12" t="str">
        <f>IFERROR(VLOOKUP($BV14,[2]Giacenza_Articoli!$A$2:$AO$10000,21,FALSE),"")</f>
        <v/>
      </c>
      <c r="CL14" s="12" t="str">
        <f>IFERROR(VLOOKUP($BV14,[2]Giacenza_Articoli!$A$2:$AO$10000,22,FALSE),"")</f>
        <v/>
      </c>
      <c r="CM14" s="12" t="str">
        <f>IFERROR(VLOOKUP($BV14,[2]Giacenza_Articoli!$A$2:$AO$10000,23,FALSE),"")</f>
        <v/>
      </c>
      <c r="CN14" s="12" t="str">
        <f>IFERROR(VLOOKUP($BV14,[2]Giacenza_Articoli!$A$2:$AO$10000,24,FALSE),"")</f>
        <v/>
      </c>
      <c r="CO14" s="12" t="str">
        <f>IFERROR(VLOOKUP($BV14,[2]Giacenza_Articoli!$A$2:$AO$10000,25,FALSE),"")</f>
        <v/>
      </c>
      <c r="CP14" s="12" t="str">
        <f>IFERROR(VLOOKUP($BV14,[2]Giacenza_Articoli!$A$2:$AO$10000,26,FALSE),"")</f>
        <v/>
      </c>
      <c r="CQ14" s="12" t="str">
        <f>IFERROR(VLOOKUP($BV14,[2]Giacenza_Articoli!$A$2:$AO$10000,27,FALSE),"")</f>
        <v/>
      </c>
      <c r="CR14" s="12" t="str">
        <f>IFERROR(VLOOKUP($BV14,[2]Giacenza_Articoli!$A$2:$AO$10000,28,FALSE),"")</f>
        <v/>
      </c>
      <c r="CS14" s="12" t="str">
        <f>IFERROR(VLOOKUP($BV14,[2]Giacenza_Articoli!$A$2:$AO$10000,29,FALSE),"")</f>
        <v/>
      </c>
      <c r="CT14" s="12" t="str">
        <f>IFERROR(VLOOKUP($BV14,[2]Giacenza_Articoli!$A$2:$AO$10000,30,FALSE),"")</f>
        <v/>
      </c>
      <c r="CU14" s="12" t="str">
        <f>IFERROR(VLOOKUP($BV14,[2]Giacenza_Articoli!$A$2:$AO$10000,31,FALSE),"")</f>
        <v/>
      </c>
      <c r="CV14" s="12" t="str">
        <f>IFERROR(VLOOKUP($BV14,[2]Giacenza_Articoli!$A$2:$AO$10000,32,FALSE),"")</f>
        <v/>
      </c>
      <c r="CW14" s="12" t="str">
        <f>IFERROR(VLOOKUP($BV14,[2]Giacenza_Articoli!$A$2:$AO$10000,33,FALSE),"")</f>
        <v/>
      </c>
      <c r="CX14" s="12" t="str">
        <f>IFERROR(VLOOKUP($BV14,[2]Giacenza_Articoli!$A$2:$AO$10000,34,FALSE),"")</f>
        <v/>
      </c>
      <c r="CY14" s="12" t="str">
        <f>IFERROR(VLOOKUP($BV14,[2]Giacenza_Articoli!$A$2:$AO$10000,37,FALSE),"")</f>
        <v/>
      </c>
      <c r="CZ14" s="12" t="str">
        <f>IFERROR(VLOOKUP($BV14,[2]Giacenza_Articoli!$A$2:$AO$10000,38,FALSE),"")</f>
        <v/>
      </c>
      <c r="DA14" s="12" t="str">
        <f>IFERROR(VLOOKUP($BV14,[2]Giacenza_Articoli!$A$2:$AO$10000,39,FALSE),"")</f>
        <v/>
      </c>
    </row>
    <row r="15" spans="2:106" ht="11.1" customHeight="1">
      <c r="B15" s="71"/>
      <c r="C15" s="72"/>
      <c r="D15" s="72"/>
      <c r="E15" s="72"/>
      <c r="F15" s="72"/>
      <c r="G15" s="72"/>
      <c r="H15" s="72"/>
      <c r="I15" s="72"/>
      <c r="J15" s="165"/>
      <c r="K15" s="235"/>
      <c r="L15" s="236"/>
      <c r="M15" s="236"/>
      <c r="N15" s="236"/>
      <c r="O15" s="236"/>
      <c r="P15" s="236"/>
      <c r="Q15" s="236"/>
      <c r="R15" s="236"/>
      <c r="S15" s="72"/>
      <c r="T15" s="72"/>
      <c r="U15" s="72"/>
      <c r="V15" s="72"/>
      <c r="W15" s="72"/>
      <c r="X15" s="72"/>
      <c r="Y15" s="72"/>
      <c r="Z15" s="72"/>
      <c r="AA15" s="165"/>
      <c r="AB15" s="235"/>
      <c r="AC15" s="236"/>
      <c r="AD15" s="236"/>
      <c r="AE15" s="236"/>
      <c r="AF15" s="236"/>
      <c r="AG15" s="236"/>
      <c r="AH15" s="236"/>
      <c r="AI15" s="236"/>
      <c r="AJ15" s="238"/>
      <c r="AK15" s="6"/>
      <c r="AL15" s="6"/>
      <c r="AM15" s="71"/>
      <c r="AN15" s="72"/>
      <c r="AO15" s="72"/>
      <c r="AP15" s="72"/>
      <c r="AQ15" s="72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4"/>
      <c r="BR15" s="75"/>
      <c r="BS15" s="75"/>
      <c r="BT15" s="75"/>
      <c r="BU15" s="76"/>
      <c r="BV15" s="64"/>
      <c r="BW15" s="12" t="str">
        <f>IFERROR(VLOOKUP($BV15,[2]Giacenza_Articoli!$A$2:$AO$10000,7,FALSE),"")</f>
        <v/>
      </c>
      <c r="BX15" s="12" t="str">
        <f>IFERROR(VLOOKUP($BV15,[2]Giacenza_Articoli!$A$2:$AO$10000,8,FALSE),"")</f>
        <v/>
      </c>
      <c r="BY15" s="12" t="str">
        <f>IFERROR(VLOOKUP($BV15,[2]Giacenza_Articoli!$A$2:$AO$10000,9,FALSE),"")</f>
        <v/>
      </c>
      <c r="BZ15" s="12" t="str">
        <f>IFERROR(VLOOKUP($BV15,[2]Giacenza_Articoli!$A$2:$AO$10000,10,FALSE),"")</f>
        <v/>
      </c>
      <c r="CA15" s="12" t="str">
        <f>IFERROR(VLOOKUP($BV15,[2]Giacenza_Articoli!$A$2:$AO$10000,11,FALSE),"")</f>
        <v/>
      </c>
      <c r="CB15" s="12" t="str">
        <f>IFERROR(VLOOKUP($BV15,[2]Giacenza_Articoli!$A$2:$AO$10000,12,FALSE),"")</f>
        <v/>
      </c>
      <c r="CC15" s="12" t="str">
        <f>IFERROR(VLOOKUP($BV15,[2]Giacenza_Articoli!$A$2:$AO$10000,13,FALSE),"")</f>
        <v/>
      </c>
      <c r="CD15" s="12" t="str">
        <f>IFERROR(VLOOKUP($BV15,[2]Giacenza_Articoli!$A$2:$AO$10000,14,FALSE),"")</f>
        <v/>
      </c>
      <c r="CE15" s="12" t="str">
        <f>IFERROR(VLOOKUP($BV15,[2]Giacenza_Articoli!$A$2:$AO$10000,15,FALSE),"")</f>
        <v/>
      </c>
      <c r="CF15" s="12" t="str">
        <f>IFERROR(VLOOKUP($BV15,[2]Giacenza_Articoli!$A$2:$AO$10000,16,FALSE),"")</f>
        <v/>
      </c>
      <c r="CG15" s="12" t="str">
        <f>IFERROR(VLOOKUP($BV15,[2]Giacenza_Articoli!$A$2:$AO$10000,17,FALSE),"")</f>
        <v/>
      </c>
      <c r="CH15" s="12" t="str">
        <f>IFERROR(VLOOKUP($BV15,[2]Giacenza_Articoli!$A$2:$AO$10000,18,FALSE),"")</f>
        <v/>
      </c>
      <c r="CI15" s="12" t="str">
        <f>IFERROR(VLOOKUP($BV15,[2]Giacenza_Articoli!$A$2:$AO$10000,19,FALSE),"")</f>
        <v/>
      </c>
      <c r="CJ15" s="12" t="str">
        <f>IFERROR(VLOOKUP($BV15,[2]Giacenza_Articoli!$A$2:$AO$10000,20,FALSE),"")</f>
        <v/>
      </c>
      <c r="CK15" s="12" t="str">
        <f>IFERROR(VLOOKUP($BV15,[2]Giacenza_Articoli!$A$2:$AO$10000,21,FALSE),"")</f>
        <v/>
      </c>
      <c r="CL15" s="12" t="str">
        <f>IFERROR(VLOOKUP($BV15,[2]Giacenza_Articoli!$A$2:$AO$10000,22,FALSE),"")</f>
        <v/>
      </c>
      <c r="CM15" s="12" t="str">
        <f>IFERROR(VLOOKUP($BV15,[2]Giacenza_Articoli!$A$2:$AO$10000,23,FALSE),"")</f>
        <v/>
      </c>
      <c r="CN15" s="12" t="str">
        <f>IFERROR(VLOOKUP($BV15,[2]Giacenza_Articoli!$A$2:$AO$10000,24,FALSE),"")</f>
        <v/>
      </c>
      <c r="CO15" s="12" t="str">
        <f>IFERROR(VLOOKUP($BV15,[2]Giacenza_Articoli!$A$2:$AO$10000,25,FALSE),"")</f>
        <v/>
      </c>
      <c r="CP15" s="12" t="str">
        <f>IFERROR(VLOOKUP($BV15,[2]Giacenza_Articoli!$A$2:$AO$10000,26,FALSE),"")</f>
        <v/>
      </c>
      <c r="CQ15" s="12" t="str">
        <f>IFERROR(VLOOKUP($BV15,[2]Giacenza_Articoli!$A$2:$AO$10000,27,FALSE),"")</f>
        <v/>
      </c>
      <c r="CR15" s="12" t="str">
        <f>IFERROR(VLOOKUP($BV15,[2]Giacenza_Articoli!$A$2:$AO$10000,28,FALSE),"")</f>
        <v/>
      </c>
      <c r="CS15" s="12" t="str">
        <f>IFERROR(VLOOKUP($BV15,[2]Giacenza_Articoli!$A$2:$AO$10000,29,FALSE),"")</f>
        <v/>
      </c>
      <c r="CT15" s="12" t="str">
        <f>IFERROR(VLOOKUP($BV15,[2]Giacenza_Articoli!$A$2:$AO$10000,30,FALSE),"")</f>
        <v/>
      </c>
      <c r="CU15" s="12" t="str">
        <f>IFERROR(VLOOKUP($BV15,[2]Giacenza_Articoli!$A$2:$AO$10000,31,FALSE),"")</f>
        <v/>
      </c>
      <c r="CV15" s="12" t="str">
        <f>IFERROR(VLOOKUP($BV15,[2]Giacenza_Articoli!$A$2:$AO$10000,32,FALSE),"")</f>
        <v/>
      </c>
      <c r="CW15" s="12" t="str">
        <f>IFERROR(VLOOKUP($BV15,[2]Giacenza_Articoli!$A$2:$AO$10000,33,FALSE),"")</f>
        <v/>
      </c>
      <c r="CX15" s="12" t="str">
        <f>IFERROR(VLOOKUP($BV15,[2]Giacenza_Articoli!$A$2:$AO$10000,34,FALSE),"")</f>
        <v/>
      </c>
      <c r="CY15" s="12" t="str">
        <f>IFERROR(VLOOKUP($BV15,[2]Giacenza_Articoli!$A$2:$AO$10000,37,FALSE),"")</f>
        <v/>
      </c>
      <c r="CZ15" s="12" t="str">
        <f>IFERROR(VLOOKUP($BV15,[2]Giacenza_Articoli!$A$2:$AO$10000,38,FALSE),"")</f>
        <v/>
      </c>
      <c r="DA15" s="12" t="str">
        <f>IFERROR(VLOOKUP($BV15,[2]Giacenza_Articoli!$A$2:$AO$10000,39,FALSE),"")</f>
        <v/>
      </c>
    </row>
    <row r="16" spans="2:106" ht="11.1" customHeight="1">
      <c r="B16" s="228" t="s">
        <v>134</v>
      </c>
      <c r="C16" s="229"/>
      <c r="D16" s="229"/>
      <c r="E16" s="229"/>
      <c r="F16" s="230"/>
      <c r="G16" s="204" t="str">
        <f>IFERROR(VLOOKUP($AB14,[2]Clienti!$A$2:$M$10000,5,FALSE),"")</f>
        <v/>
      </c>
      <c r="H16" s="205"/>
      <c r="I16" s="231"/>
      <c r="J16" s="232" t="s">
        <v>135</v>
      </c>
      <c r="K16" s="229"/>
      <c r="L16" s="229"/>
      <c r="M16" s="229"/>
      <c r="N16" s="205" t="str">
        <f>IFERROR(VLOOKUP($AB14,[2]Clienti!$A$2:$M$10000,7,FALSE),"")</f>
        <v/>
      </c>
      <c r="O16" s="205"/>
      <c r="P16" s="205"/>
      <c r="Q16" s="231"/>
      <c r="R16" s="232" t="s">
        <v>136</v>
      </c>
      <c r="S16" s="229"/>
      <c r="T16" s="229"/>
      <c r="U16" s="229"/>
      <c r="V16" s="229"/>
      <c r="W16" s="229"/>
      <c r="X16" s="230"/>
      <c r="Y16" s="204" t="str">
        <f>IFERROR(VLOOKUP($AB14,[2]Clienti!$A$2:$M$10000,8,FALSE),"")</f>
        <v/>
      </c>
      <c r="Z16" s="205"/>
      <c r="AA16" s="231"/>
      <c r="AB16" s="232" t="s">
        <v>137</v>
      </c>
      <c r="AC16" s="229"/>
      <c r="AD16" s="229"/>
      <c r="AE16" s="230"/>
      <c r="AF16" s="204" t="str">
        <f>IFERROR(VLOOKUP($AB14,[2]Clienti!$A$2:$M$10000,6,FALSE),"")</f>
        <v/>
      </c>
      <c r="AG16" s="205"/>
      <c r="AH16" s="205"/>
      <c r="AI16" s="205"/>
      <c r="AJ16" s="206"/>
      <c r="AK16" s="6"/>
      <c r="AL16" s="6"/>
      <c r="AM16" s="71"/>
      <c r="AN16" s="72"/>
      <c r="AO16" s="72"/>
      <c r="AP16" s="72"/>
      <c r="AQ16" s="72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4"/>
      <c r="BR16" s="75"/>
      <c r="BS16" s="75"/>
      <c r="BT16" s="75"/>
      <c r="BU16" s="76"/>
      <c r="BV16" s="64"/>
      <c r="BW16" s="12" t="str">
        <f>IFERROR(VLOOKUP($BV16,[2]Giacenza_Articoli!$A$2:$AO$10000,7,FALSE),"")</f>
        <v/>
      </c>
      <c r="BX16" s="12" t="str">
        <f>IFERROR(VLOOKUP($BV16,[2]Giacenza_Articoli!$A$2:$AO$10000,8,FALSE),"")</f>
        <v/>
      </c>
      <c r="BY16" s="12" t="str">
        <f>IFERROR(VLOOKUP($BV16,[2]Giacenza_Articoli!$A$2:$AO$10000,9,FALSE),"")</f>
        <v/>
      </c>
      <c r="BZ16" s="12" t="str">
        <f>IFERROR(VLOOKUP($BV16,[2]Giacenza_Articoli!$A$2:$AO$10000,10,FALSE),"")</f>
        <v/>
      </c>
      <c r="CA16" s="12" t="str">
        <f>IFERROR(VLOOKUP($BV16,[2]Giacenza_Articoli!$A$2:$AO$10000,11,FALSE),"")</f>
        <v/>
      </c>
      <c r="CB16" s="12" t="str">
        <f>IFERROR(VLOOKUP($BV16,[2]Giacenza_Articoli!$A$2:$AO$10000,12,FALSE),"")</f>
        <v/>
      </c>
      <c r="CC16" s="12" t="str">
        <f>IFERROR(VLOOKUP($BV16,[2]Giacenza_Articoli!$A$2:$AO$10000,13,FALSE),"")</f>
        <v/>
      </c>
      <c r="CD16" s="12" t="str">
        <f>IFERROR(VLOOKUP($BV16,[2]Giacenza_Articoli!$A$2:$AO$10000,14,FALSE),"")</f>
        <v/>
      </c>
      <c r="CE16" s="12" t="str">
        <f>IFERROR(VLOOKUP($BV16,[2]Giacenza_Articoli!$A$2:$AO$10000,15,FALSE),"")</f>
        <v/>
      </c>
      <c r="CF16" s="12" t="str">
        <f>IFERROR(VLOOKUP($BV16,[2]Giacenza_Articoli!$A$2:$AO$10000,16,FALSE),"")</f>
        <v/>
      </c>
      <c r="CG16" s="12" t="str">
        <f>IFERROR(VLOOKUP($BV16,[2]Giacenza_Articoli!$A$2:$AO$10000,17,FALSE),"")</f>
        <v/>
      </c>
      <c r="CH16" s="12" t="str">
        <f>IFERROR(VLOOKUP($BV16,[2]Giacenza_Articoli!$A$2:$AO$10000,18,FALSE),"")</f>
        <v/>
      </c>
      <c r="CI16" s="12" t="str">
        <f>IFERROR(VLOOKUP($BV16,[2]Giacenza_Articoli!$A$2:$AO$10000,19,FALSE),"")</f>
        <v/>
      </c>
      <c r="CJ16" s="12" t="str">
        <f>IFERROR(VLOOKUP($BV16,[2]Giacenza_Articoli!$A$2:$AO$10000,20,FALSE),"")</f>
        <v/>
      </c>
      <c r="CK16" s="12" t="str">
        <f>IFERROR(VLOOKUP($BV16,[2]Giacenza_Articoli!$A$2:$AO$10000,21,FALSE),"")</f>
        <v/>
      </c>
      <c r="CL16" s="12" t="str">
        <f>IFERROR(VLOOKUP($BV16,[2]Giacenza_Articoli!$A$2:$AO$10000,22,FALSE),"")</f>
        <v/>
      </c>
      <c r="CM16" s="12" t="str">
        <f>IFERROR(VLOOKUP($BV16,[2]Giacenza_Articoli!$A$2:$AO$10000,23,FALSE),"")</f>
        <v/>
      </c>
      <c r="CN16" s="12" t="str">
        <f>IFERROR(VLOOKUP($BV16,[2]Giacenza_Articoli!$A$2:$AO$10000,24,FALSE),"")</f>
        <v/>
      </c>
      <c r="CO16" s="12" t="str">
        <f>IFERROR(VLOOKUP($BV16,[2]Giacenza_Articoli!$A$2:$AO$10000,25,FALSE),"")</f>
        <v/>
      </c>
      <c r="CP16" s="12" t="str">
        <f>IFERROR(VLOOKUP($BV16,[2]Giacenza_Articoli!$A$2:$AO$10000,26,FALSE),"")</f>
        <v/>
      </c>
      <c r="CQ16" s="12" t="str">
        <f>IFERROR(VLOOKUP($BV16,[2]Giacenza_Articoli!$A$2:$AO$10000,27,FALSE),"")</f>
        <v/>
      </c>
      <c r="CR16" s="12" t="str">
        <f>IFERROR(VLOOKUP($BV16,[2]Giacenza_Articoli!$A$2:$AO$10000,28,FALSE),"")</f>
        <v/>
      </c>
      <c r="CS16" s="12" t="str">
        <f>IFERROR(VLOOKUP($BV16,[2]Giacenza_Articoli!$A$2:$AO$10000,29,FALSE),"")</f>
        <v/>
      </c>
      <c r="CT16" s="12" t="str">
        <f>IFERROR(VLOOKUP($BV16,[2]Giacenza_Articoli!$A$2:$AO$10000,30,FALSE),"")</f>
        <v/>
      </c>
      <c r="CU16" s="12" t="str">
        <f>IFERROR(VLOOKUP($BV16,[2]Giacenza_Articoli!$A$2:$AO$10000,31,FALSE),"")</f>
        <v/>
      </c>
      <c r="CV16" s="12" t="str">
        <f>IFERROR(VLOOKUP($BV16,[2]Giacenza_Articoli!$A$2:$AO$10000,32,FALSE),"")</f>
        <v/>
      </c>
      <c r="CW16" s="12" t="str">
        <f>IFERROR(VLOOKUP($BV16,[2]Giacenza_Articoli!$A$2:$AO$10000,33,FALSE),"")</f>
        <v/>
      </c>
      <c r="CX16" s="12" t="str">
        <f>IFERROR(VLOOKUP($BV16,[2]Giacenza_Articoli!$A$2:$AO$10000,34,FALSE),"")</f>
        <v/>
      </c>
      <c r="CY16" s="12" t="str">
        <f>IFERROR(VLOOKUP($BV16,[2]Giacenza_Articoli!$A$2:$AO$10000,37,FALSE),"")</f>
        <v/>
      </c>
      <c r="CZ16" s="12" t="str">
        <f>IFERROR(VLOOKUP($BV16,[2]Giacenza_Articoli!$A$2:$AO$10000,38,FALSE),"")</f>
        <v/>
      </c>
      <c r="DA16" s="12" t="str">
        <f>IFERROR(VLOOKUP($BV16,[2]Giacenza_Articoli!$A$2:$AO$10000,39,FALSE),"")</f>
        <v/>
      </c>
    </row>
    <row r="17" spans="1:105" ht="11.1" customHeight="1" thickBot="1">
      <c r="B17" s="239" t="s">
        <v>138</v>
      </c>
      <c r="C17" s="196"/>
      <c r="D17" s="196"/>
      <c r="E17" s="196"/>
      <c r="F17" s="196"/>
      <c r="G17" s="197"/>
      <c r="H17" s="198" t="str">
        <f>IFERROR(VLOOKUP($AB14,[2]Clienti!$A$2:$M$10000,9,FALSE),"")</f>
        <v/>
      </c>
      <c r="I17" s="199"/>
      <c r="J17" s="195" t="s">
        <v>139</v>
      </c>
      <c r="K17" s="196"/>
      <c r="L17" s="196"/>
      <c r="M17" s="196"/>
      <c r="N17" s="196"/>
      <c r="O17" s="197"/>
      <c r="P17" s="198" t="str">
        <f>IFERROR(VLOOKUP($AB14,[2]Clienti!$A$2:$M$10000,10,FALSE),"")</f>
        <v/>
      </c>
      <c r="Q17" s="240"/>
      <c r="R17" s="240"/>
      <c r="S17" s="240"/>
      <c r="T17" s="199"/>
      <c r="U17" s="195" t="s">
        <v>140</v>
      </c>
      <c r="V17" s="196"/>
      <c r="W17" s="196"/>
      <c r="X17" s="196"/>
      <c r="Y17" s="197"/>
      <c r="Z17" s="198" t="str">
        <f>IFERROR(VLOOKUP($AB14,[2]Clienti!$A$2:$M$10000,11,FALSE),"")</f>
        <v/>
      </c>
      <c r="AA17" s="199"/>
      <c r="AB17" s="195" t="s">
        <v>141</v>
      </c>
      <c r="AC17" s="196"/>
      <c r="AD17" s="196"/>
      <c r="AE17" s="196"/>
      <c r="AF17" s="196"/>
      <c r="AG17" s="196"/>
      <c r="AH17" s="197"/>
      <c r="AI17" s="198" t="str">
        <f>IFERROR(VLOOKUP($AB14,[2]Clienti!$A$2:$M$10000,12,FALSE),"")</f>
        <v/>
      </c>
      <c r="AJ17" s="200"/>
      <c r="AK17" s="6"/>
      <c r="AL17" s="6"/>
      <c r="AM17" s="71" t="s">
        <v>24</v>
      </c>
      <c r="AN17" s="72"/>
      <c r="AO17" s="72"/>
      <c r="AP17" s="72"/>
      <c r="AQ17" s="72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4"/>
      <c r="BR17" s="75"/>
      <c r="BS17" s="75"/>
      <c r="BT17" s="75"/>
      <c r="BU17" s="76"/>
      <c r="BV17" s="64"/>
      <c r="BW17" s="12" t="str">
        <f>IFERROR(VLOOKUP($BV17,[2]Giacenza_Articoli!$A$2:$AO$10000,7,FALSE),"")</f>
        <v/>
      </c>
      <c r="BX17" s="12" t="str">
        <f>IFERROR(VLOOKUP($BV17,[2]Giacenza_Articoli!$A$2:$AO$10000,8,FALSE),"")</f>
        <v/>
      </c>
      <c r="BY17" s="12" t="str">
        <f>IFERROR(VLOOKUP($BV17,[2]Giacenza_Articoli!$A$2:$AO$10000,9,FALSE),"")</f>
        <v/>
      </c>
      <c r="BZ17" s="12" t="str">
        <f>IFERROR(VLOOKUP($BV17,[2]Giacenza_Articoli!$A$2:$AO$10000,10,FALSE),"")</f>
        <v/>
      </c>
      <c r="CA17" s="12" t="str">
        <f>IFERROR(VLOOKUP($BV17,[2]Giacenza_Articoli!$A$2:$AO$10000,11,FALSE),"")</f>
        <v/>
      </c>
      <c r="CB17" s="12" t="str">
        <f>IFERROR(VLOOKUP($BV17,[2]Giacenza_Articoli!$A$2:$AO$10000,12,FALSE),"")</f>
        <v/>
      </c>
      <c r="CC17" s="12" t="str">
        <f>IFERROR(VLOOKUP($BV17,[2]Giacenza_Articoli!$A$2:$AO$10000,13,FALSE),"")</f>
        <v/>
      </c>
      <c r="CD17" s="12" t="str">
        <f>IFERROR(VLOOKUP($BV17,[2]Giacenza_Articoli!$A$2:$AO$10000,14,FALSE),"")</f>
        <v/>
      </c>
      <c r="CE17" s="12" t="str">
        <f>IFERROR(VLOOKUP($BV17,[2]Giacenza_Articoli!$A$2:$AO$10000,15,FALSE),"")</f>
        <v/>
      </c>
      <c r="CF17" s="12" t="str">
        <f>IFERROR(VLOOKUP($BV17,[2]Giacenza_Articoli!$A$2:$AO$10000,16,FALSE),"")</f>
        <v/>
      </c>
      <c r="CG17" s="12" t="str">
        <f>IFERROR(VLOOKUP($BV17,[2]Giacenza_Articoli!$A$2:$AO$10000,17,FALSE),"")</f>
        <v/>
      </c>
      <c r="CH17" s="12" t="str">
        <f>IFERROR(VLOOKUP($BV17,[2]Giacenza_Articoli!$A$2:$AO$10000,18,FALSE),"")</f>
        <v/>
      </c>
      <c r="CI17" s="12" t="str">
        <f>IFERROR(VLOOKUP($BV17,[2]Giacenza_Articoli!$A$2:$AO$10000,19,FALSE),"")</f>
        <v/>
      </c>
      <c r="CJ17" s="12" t="str">
        <f>IFERROR(VLOOKUP($BV17,[2]Giacenza_Articoli!$A$2:$AO$10000,20,FALSE),"")</f>
        <v/>
      </c>
      <c r="CK17" s="12" t="str">
        <f>IFERROR(VLOOKUP($BV17,[2]Giacenza_Articoli!$A$2:$AO$10000,21,FALSE),"")</f>
        <v/>
      </c>
      <c r="CL17" s="12" t="str">
        <f>IFERROR(VLOOKUP($BV17,[2]Giacenza_Articoli!$A$2:$AO$10000,22,FALSE),"")</f>
        <v/>
      </c>
      <c r="CM17" s="12" t="str">
        <f>IFERROR(VLOOKUP($BV17,[2]Giacenza_Articoli!$A$2:$AO$10000,23,FALSE),"")</f>
        <v/>
      </c>
      <c r="CN17" s="12" t="str">
        <f>IFERROR(VLOOKUP($BV17,[2]Giacenza_Articoli!$A$2:$AO$10000,24,FALSE),"")</f>
        <v/>
      </c>
      <c r="CO17" s="12" t="str">
        <f>IFERROR(VLOOKUP($BV17,[2]Giacenza_Articoli!$A$2:$AO$10000,25,FALSE),"")</f>
        <v/>
      </c>
      <c r="CP17" s="12" t="str">
        <f>IFERROR(VLOOKUP($BV17,[2]Giacenza_Articoli!$A$2:$AO$10000,26,FALSE),"")</f>
        <v/>
      </c>
      <c r="CQ17" s="12" t="str">
        <f>IFERROR(VLOOKUP($BV17,[2]Giacenza_Articoli!$A$2:$AO$10000,27,FALSE),"")</f>
        <v/>
      </c>
      <c r="CR17" s="12" t="str">
        <f>IFERROR(VLOOKUP($BV17,[2]Giacenza_Articoli!$A$2:$AO$10000,28,FALSE),"")</f>
        <v/>
      </c>
      <c r="CS17" s="12" t="str">
        <f>IFERROR(VLOOKUP($BV17,[2]Giacenza_Articoli!$A$2:$AO$10000,29,FALSE),"")</f>
        <v/>
      </c>
      <c r="CT17" s="12" t="str">
        <f>IFERROR(VLOOKUP($BV17,[2]Giacenza_Articoli!$A$2:$AO$10000,30,FALSE),"")</f>
        <v/>
      </c>
      <c r="CU17" s="12" t="str">
        <f>IFERROR(VLOOKUP($BV17,[2]Giacenza_Articoli!$A$2:$AO$10000,31,FALSE),"")</f>
        <v/>
      </c>
      <c r="CV17" s="12" t="str">
        <f>IFERROR(VLOOKUP($BV17,[2]Giacenza_Articoli!$A$2:$AO$10000,32,FALSE),"")</f>
        <v/>
      </c>
      <c r="CW17" s="12" t="str">
        <f>IFERROR(VLOOKUP($BV17,[2]Giacenza_Articoli!$A$2:$AO$10000,33,FALSE),"")</f>
        <v/>
      </c>
      <c r="CX17" s="12" t="str">
        <f>IFERROR(VLOOKUP($BV17,[2]Giacenza_Articoli!$A$2:$AO$10000,34,FALSE),"")</f>
        <v/>
      </c>
      <c r="CY17" s="12" t="str">
        <f>IFERROR(VLOOKUP($BV17,[2]Giacenza_Articoli!$A$2:$AO$10000,37,FALSE),"")</f>
        <v/>
      </c>
      <c r="CZ17" s="12" t="str">
        <f>IFERROR(VLOOKUP($BV17,[2]Giacenza_Articoli!$A$2:$AO$10000,38,FALSE),"")</f>
        <v/>
      </c>
      <c r="DA17" s="12" t="str">
        <f>IFERROR(VLOOKUP($BV17,[2]Giacenza_Articoli!$A$2:$AO$10000,39,FALSE),"")</f>
        <v/>
      </c>
    </row>
    <row r="18" spans="1:105" ht="11.1" customHeight="1" thickBot="1">
      <c r="AK18" s="6"/>
      <c r="AL18" s="6"/>
      <c r="AM18" s="71"/>
      <c r="AN18" s="72"/>
      <c r="AO18" s="72"/>
      <c r="AP18" s="72"/>
      <c r="AQ18" s="72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/>
      <c r="BL18" s="73"/>
      <c r="BM18" s="73"/>
      <c r="BN18" s="73"/>
      <c r="BO18" s="73"/>
      <c r="BP18" s="73"/>
      <c r="BQ18" s="74"/>
      <c r="BR18" s="75"/>
      <c r="BS18" s="75"/>
      <c r="BT18" s="75"/>
      <c r="BU18" s="76"/>
      <c r="BV18" s="64"/>
      <c r="BW18" s="12" t="str">
        <f>IFERROR(VLOOKUP($BV18,[2]Giacenza_Articoli!$A$2:$AO$10000,7,FALSE),"")</f>
        <v/>
      </c>
      <c r="BX18" s="12" t="str">
        <f>IFERROR(VLOOKUP($BV18,[2]Giacenza_Articoli!$A$2:$AO$10000,8,FALSE),"")</f>
        <v/>
      </c>
      <c r="BY18" s="12" t="str">
        <f>IFERROR(VLOOKUP($BV18,[2]Giacenza_Articoli!$A$2:$AO$10000,9,FALSE),"")</f>
        <v/>
      </c>
      <c r="BZ18" s="12" t="str">
        <f>IFERROR(VLOOKUP($BV18,[2]Giacenza_Articoli!$A$2:$AO$10000,10,FALSE),"")</f>
        <v/>
      </c>
      <c r="CA18" s="12" t="str">
        <f>IFERROR(VLOOKUP($BV18,[2]Giacenza_Articoli!$A$2:$AO$10000,11,FALSE),"")</f>
        <v/>
      </c>
      <c r="CB18" s="12" t="str">
        <f>IFERROR(VLOOKUP($BV18,[2]Giacenza_Articoli!$A$2:$AO$10000,12,FALSE),"")</f>
        <v/>
      </c>
      <c r="CC18" s="12" t="str">
        <f>IFERROR(VLOOKUP($BV18,[2]Giacenza_Articoli!$A$2:$AO$10000,13,FALSE),"")</f>
        <v/>
      </c>
      <c r="CD18" s="12" t="str">
        <f>IFERROR(VLOOKUP($BV18,[2]Giacenza_Articoli!$A$2:$AO$10000,14,FALSE),"")</f>
        <v/>
      </c>
      <c r="CE18" s="12" t="str">
        <f>IFERROR(VLOOKUP($BV18,[2]Giacenza_Articoli!$A$2:$AO$10000,15,FALSE),"")</f>
        <v/>
      </c>
      <c r="CF18" s="12" t="str">
        <f>IFERROR(VLOOKUP($BV18,[2]Giacenza_Articoli!$A$2:$AO$10000,16,FALSE),"")</f>
        <v/>
      </c>
      <c r="CG18" s="12" t="str">
        <f>IFERROR(VLOOKUP($BV18,[2]Giacenza_Articoli!$A$2:$AO$10000,17,FALSE),"")</f>
        <v/>
      </c>
      <c r="CH18" s="12" t="str">
        <f>IFERROR(VLOOKUP($BV18,[2]Giacenza_Articoli!$A$2:$AO$10000,18,FALSE),"")</f>
        <v/>
      </c>
      <c r="CI18" s="12" t="str">
        <f>IFERROR(VLOOKUP($BV18,[2]Giacenza_Articoli!$A$2:$AO$10000,19,FALSE),"")</f>
        <v/>
      </c>
      <c r="CJ18" s="12" t="str">
        <f>IFERROR(VLOOKUP($BV18,[2]Giacenza_Articoli!$A$2:$AO$10000,20,FALSE),"")</f>
        <v/>
      </c>
      <c r="CK18" s="12" t="str">
        <f>IFERROR(VLOOKUP($BV18,[2]Giacenza_Articoli!$A$2:$AO$10000,21,FALSE),"")</f>
        <v/>
      </c>
      <c r="CL18" s="12" t="str">
        <f>IFERROR(VLOOKUP($BV18,[2]Giacenza_Articoli!$A$2:$AO$10000,22,FALSE),"")</f>
        <v/>
      </c>
      <c r="CM18" s="12" t="str">
        <f>IFERROR(VLOOKUP($BV18,[2]Giacenza_Articoli!$A$2:$AO$10000,23,FALSE),"")</f>
        <v/>
      </c>
      <c r="CN18" s="12" t="str">
        <f>IFERROR(VLOOKUP($BV18,[2]Giacenza_Articoli!$A$2:$AO$10000,24,FALSE),"")</f>
        <v/>
      </c>
      <c r="CO18" s="12" t="str">
        <f>IFERROR(VLOOKUP($BV18,[2]Giacenza_Articoli!$A$2:$AO$10000,25,FALSE),"")</f>
        <v/>
      </c>
      <c r="CP18" s="12" t="str">
        <f>IFERROR(VLOOKUP($BV18,[2]Giacenza_Articoli!$A$2:$AO$10000,26,FALSE),"")</f>
        <v/>
      </c>
      <c r="CQ18" s="12" t="str">
        <f>IFERROR(VLOOKUP($BV18,[2]Giacenza_Articoli!$A$2:$AO$10000,27,FALSE),"")</f>
        <v/>
      </c>
      <c r="CR18" s="12" t="str">
        <f>IFERROR(VLOOKUP($BV18,[2]Giacenza_Articoli!$A$2:$AO$10000,28,FALSE),"")</f>
        <v/>
      </c>
      <c r="CS18" s="12" t="str">
        <f>IFERROR(VLOOKUP($BV18,[2]Giacenza_Articoli!$A$2:$AO$10000,29,FALSE),"")</f>
        <v/>
      </c>
      <c r="CT18" s="12" t="str">
        <f>IFERROR(VLOOKUP($BV18,[2]Giacenza_Articoli!$A$2:$AO$10000,30,FALSE),"")</f>
        <v/>
      </c>
      <c r="CU18" s="12" t="str">
        <f>IFERROR(VLOOKUP($BV18,[2]Giacenza_Articoli!$A$2:$AO$10000,31,FALSE),"")</f>
        <v/>
      </c>
      <c r="CV18" s="12" t="str">
        <f>IFERROR(VLOOKUP($BV18,[2]Giacenza_Articoli!$A$2:$AO$10000,32,FALSE),"")</f>
        <v/>
      </c>
      <c r="CW18" s="12" t="str">
        <f>IFERROR(VLOOKUP($BV18,[2]Giacenza_Articoli!$A$2:$AO$10000,33,FALSE),"")</f>
        <v/>
      </c>
      <c r="CX18" s="12" t="str">
        <f>IFERROR(VLOOKUP($BV18,[2]Giacenza_Articoli!$A$2:$AO$10000,34,FALSE),"")</f>
        <v/>
      </c>
      <c r="CY18" s="12" t="str">
        <f>IFERROR(VLOOKUP($BV18,[2]Giacenza_Articoli!$A$2:$AO$10000,37,FALSE),"")</f>
        <v/>
      </c>
      <c r="CZ18" s="12" t="str">
        <f>IFERROR(VLOOKUP($BV18,[2]Giacenza_Articoli!$A$2:$AO$10000,38,FALSE),"")</f>
        <v/>
      </c>
      <c r="DA18" s="12" t="str">
        <f>IFERROR(VLOOKUP($BV18,[2]Giacenza_Articoli!$A$2:$AO$10000,39,FALSE),"")</f>
        <v/>
      </c>
    </row>
    <row r="19" spans="1:105" ht="11.1" customHeight="1">
      <c r="B19" s="99" t="s">
        <v>126</v>
      </c>
      <c r="C19" s="97"/>
      <c r="D19" s="97"/>
      <c r="E19" s="97" t="s">
        <v>121</v>
      </c>
      <c r="F19" s="97"/>
      <c r="G19" s="97"/>
      <c r="H19" s="97"/>
      <c r="I19" s="97"/>
      <c r="J19" s="97"/>
      <c r="K19" s="97"/>
      <c r="L19" s="97"/>
      <c r="M19" s="97"/>
      <c r="N19" s="97" t="s">
        <v>122</v>
      </c>
      <c r="O19" s="97"/>
      <c r="P19" s="97"/>
      <c r="Q19" s="97"/>
      <c r="R19" s="97"/>
      <c r="S19" s="100" t="s">
        <v>123</v>
      </c>
      <c r="T19" s="101"/>
      <c r="U19" s="101"/>
      <c r="V19" s="102"/>
      <c r="W19" s="100" t="s">
        <v>124</v>
      </c>
      <c r="X19" s="101"/>
      <c r="Y19" s="102"/>
      <c r="Z19" s="100" t="s">
        <v>143</v>
      </c>
      <c r="AA19" s="101"/>
      <c r="AB19" s="101"/>
      <c r="AC19" s="101"/>
      <c r="AD19" s="102"/>
      <c r="AE19" s="97" t="s">
        <v>125</v>
      </c>
      <c r="AF19" s="97"/>
      <c r="AG19" s="97"/>
      <c r="AH19" s="97" t="s">
        <v>127</v>
      </c>
      <c r="AI19" s="97"/>
      <c r="AJ19" s="98"/>
      <c r="AK19" s="6"/>
      <c r="AL19" s="6"/>
      <c r="AM19" s="71"/>
      <c r="AN19" s="72"/>
      <c r="AO19" s="72"/>
      <c r="AP19" s="72"/>
      <c r="AQ19" s="72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4"/>
      <c r="BR19" s="75"/>
      <c r="BS19" s="75"/>
      <c r="BT19" s="75"/>
      <c r="BU19" s="76"/>
      <c r="BV19" s="64"/>
      <c r="BW19" s="12" t="str">
        <f>IFERROR(VLOOKUP($BV19,[2]Giacenza_Articoli!$A$2:$AO$10000,7,FALSE),"")</f>
        <v/>
      </c>
      <c r="BX19" s="12" t="str">
        <f>IFERROR(VLOOKUP($BV19,[2]Giacenza_Articoli!$A$2:$AO$10000,8,FALSE),"")</f>
        <v/>
      </c>
      <c r="BY19" s="12" t="str">
        <f>IFERROR(VLOOKUP($BV19,[2]Giacenza_Articoli!$A$2:$AO$10000,9,FALSE),"")</f>
        <v/>
      </c>
      <c r="BZ19" s="12" t="str">
        <f>IFERROR(VLOOKUP($BV19,[2]Giacenza_Articoli!$A$2:$AO$10000,10,FALSE),"")</f>
        <v/>
      </c>
      <c r="CA19" s="12" t="str">
        <f>IFERROR(VLOOKUP($BV19,[2]Giacenza_Articoli!$A$2:$AO$10000,11,FALSE),"")</f>
        <v/>
      </c>
      <c r="CB19" s="12" t="str">
        <f>IFERROR(VLOOKUP($BV19,[2]Giacenza_Articoli!$A$2:$AO$10000,12,FALSE),"")</f>
        <v/>
      </c>
      <c r="CC19" s="12" t="str">
        <f>IFERROR(VLOOKUP($BV19,[2]Giacenza_Articoli!$A$2:$AO$10000,13,FALSE),"")</f>
        <v/>
      </c>
      <c r="CD19" s="12" t="str">
        <f>IFERROR(VLOOKUP($BV19,[2]Giacenza_Articoli!$A$2:$AO$10000,14,FALSE),"")</f>
        <v/>
      </c>
      <c r="CE19" s="12" t="str">
        <f>IFERROR(VLOOKUP($BV19,[2]Giacenza_Articoli!$A$2:$AO$10000,15,FALSE),"")</f>
        <v/>
      </c>
      <c r="CF19" s="12" t="str">
        <f>IFERROR(VLOOKUP($BV19,[2]Giacenza_Articoli!$A$2:$AO$10000,16,FALSE),"")</f>
        <v/>
      </c>
      <c r="CG19" s="12" t="str">
        <f>IFERROR(VLOOKUP($BV19,[2]Giacenza_Articoli!$A$2:$AO$10000,17,FALSE),"")</f>
        <v/>
      </c>
      <c r="CH19" s="12" t="str">
        <f>IFERROR(VLOOKUP($BV19,[2]Giacenza_Articoli!$A$2:$AO$10000,18,FALSE),"")</f>
        <v/>
      </c>
      <c r="CI19" s="12" t="str">
        <f>IFERROR(VLOOKUP($BV19,[2]Giacenza_Articoli!$A$2:$AO$10000,19,FALSE),"")</f>
        <v/>
      </c>
      <c r="CJ19" s="12" t="str">
        <f>IFERROR(VLOOKUP($BV19,[2]Giacenza_Articoli!$A$2:$AO$10000,20,FALSE),"")</f>
        <v/>
      </c>
      <c r="CK19" s="12" t="str">
        <f>IFERROR(VLOOKUP($BV19,[2]Giacenza_Articoli!$A$2:$AO$10000,21,FALSE),"")</f>
        <v/>
      </c>
      <c r="CL19" s="12" t="str">
        <f>IFERROR(VLOOKUP($BV19,[2]Giacenza_Articoli!$A$2:$AO$10000,22,FALSE),"")</f>
        <v/>
      </c>
      <c r="CM19" s="12" t="str">
        <f>IFERROR(VLOOKUP($BV19,[2]Giacenza_Articoli!$A$2:$AO$10000,23,FALSE),"")</f>
        <v/>
      </c>
      <c r="CN19" s="12" t="str">
        <f>IFERROR(VLOOKUP($BV19,[2]Giacenza_Articoli!$A$2:$AO$10000,24,FALSE),"")</f>
        <v/>
      </c>
      <c r="CO19" s="12" t="str">
        <f>IFERROR(VLOOKUP($BV19,[2]Giacenza_Articoli!$A$2:$AO$10000,25,FALSE),"")</f>
        <v/>
      </c>
      <c r="CP19" s="12" t="str">
        <f>IFERROR(VLOOKUP($BV19,[2]Giacenza_Articoli!$A$2:$AO$10000,26,FALSE),"")</f>
        <v/>
      </c>
      <c r="CQ19" s="12" t="str">
        <f>IFERROR(VLOOKUP($BV19,[2]Giacenza_Articoli!$A$2:$AO$10000,27,FALSE),"")</f>
        <v/>
      </c>
      <c r="CR19" s="12" t="str">
        <f>IFERROR(VLOOKUP($BV19,[2]Giacenza_Articoli!$A$2:$AO$10000,28,FALSE),"")</f>
        <v/>
      </c>
      <c r="CS19" s="12" t="str">
        <f>IFERROR(VLOOKUP($BV19,[2]Giacenza_Articoli!$A$2:$AO$10000,29,FALSE),"")</f>
        <v/>
      </c>
      <c r="CT19" s="12" t="str">
        <f>IFERROR(VLOOKUP($BV19,[2]Giacenza_Articoli!$A$2:$AO$10000,30,FALSE),"")</f>
        <v/>
      </c>
      <c r="CU19" s="12" t="str">
        <f>IFERROR(VLOOKUP($BV19,[2]Giacenza_Articoli!$A$2:$AO$10000,31,FALSE),"")</f>
        <v/>
      </c>
      <c r="CV19" s="12" t="str">
        <f>IFERROR(VLOOKUP($BV19,[2]Giacenza_Articoli!$A$2:$AO$10000,32,FALSE),"")</f>
        <v/>
      </c>
      <c r="CW19" s="12" t="str">
        <f>IFERROR(VLOOKUP($BV19,[2]Giacenza_Articoli!$A$2:$AO$10000,33,FALSE),"")</f>
        <v/>
      </c>
      <c r="CX19" s="12" t="str">
        <f>IFERROR(VLOOKUP($BV19,[2]Giacenza_Articoli!$A$2:$AO$10000,34,FALSE),"")</f>
        <v/>
      </c>
      <c r="CY19" s="12" t="str">
        <f>IFERROR(VLOOKUP($BV19,[2]Giacenza_Articoli!$A$2:$AO$10000,37,FALSE),"")</f>
        <v/>
      </c>
      <c r="CZ19" s="12" t="str">
        <f>IFERROR(VLOOKUP($BV19,[2]Giacenza_Articoli!$A$2:$AO$10000,38,FALSE),"")</f>
        <v/>
      </c>
      <c r="DA19" s="12" t="str">
        <f>IFERROR(VLOOKUP($BV19,[2]Giacenza_Articoli!$A$2:$AO$10000,39,FALSE),"")</f>
        <v/>
      </c>
    </row>
    <row r="20" spans="1:105" ht="11.1" customHeight="1">
      <c r="A20" s="5">
        <v>1</v>
      </c>
      <c r="B20" s="71">
        <v>1</v>
      </c>
      <c r="C20" s="72"/>
      <c r="D20" s="72"/>
      <c r="E20" s="73" t="s">
        <v>318</v>
      </c>
      <c r="F20" s="73"/>
      <c r="G20" s="73"/>
      <c r="H20" s="73"/>
      <c r="I20" s="73"/>
      <c r="J20" s="73"/>
      <c r="K20" s="73"/>
      <c r="L20" s="73"/>
      <c r="M20" s="73"/>
      <c r="N20" s="73">
        <v>11700</v>
      </c>
      <c r="O20" s="73"/>
      <c r="P20" s="73"/>
      <c r="Q20" s="73"/>
      <c r="R20" s="73"/>
      <c r="S20" s="175">
        <v>36</v>
      </c>
      <c r="T20" s="176"/>
      <c r="U20" s="176"/>
      <c r="V20" s="177"/>
      <c r="W20" s="175" t="s">
        <v>144</v>
      </c>
      <c r="X20" s="176"/>
      <c r="Y20" s="177"/>
      <c r="Z20" s="175"/>
      <c r="AA20" s="176"/>
      <c r="AB20" s="176"/>
      <c r="AC20" s="176"/>
      <c r="AD20" s="177"/>
      <c r="AE20" s="73"/>
      <c r="AF20" s="73"/>
      <c r="AG20" s="73"/>
      <c r="AH20" s="73" t="s">
        <v>154</v>
      </c>
      <c r="AI20" s="73"/>
      <c r="AJ20" s="174"/>
      <c r="AK20" s="6"/>
      <c r="AL20" s="6"/>
      <c r="AM20" s="71" t="s">
        <v>25</v>
      </c>
      <c r="AN20" s="72"/>
      <c r="AO20" s="72"/>
      <c r="AP20" s="72"/>
      <c r="AQ20" s="72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4"/>
      <c r="BR20" s="75"/>
      <c r="BS20" s="75"/>
      <c r="BT20" s="75"/>
      <c r="BU20" s="76"/>
      <c r="BV20" s="64"/>
      <c r="BW20" s="12" t="str">
        <f>IFERROR(VLOOKUP($BV20,[2]Giacenza_Articoli!$A$2:$AO$10000,7,FALSE),"")</f>
        <v/>
      </c>
      <c r="BX20" s="12" t="str">
        <f>IFERROR(VLOOKUP($BV20,[2]Giacenza_Articoli!$A$2:$AO$10000,8,FALSE),"")</f>
        <v/>
      </c>
      <c r="BY20" s="12" t="str">
        <f>IFERROR(VLOOKUP($BV20,[2]Giacenza_Articoli!$A$2:$AO$10000,9,FALSE),"")</f>
        <v/>
      </c>
      <c r="BZ20" s="12" t="str">
        <f>IFERROR(VLOOKUP($BV20,[2]Giacenza_Articoli!$A$2:$AO$10000,10,FALSE),"")</f>
        <v/>
      </c>
      <c r="CA20" s="12" t="str">
        <f>IFERROR(VLOOKUP($BV20,[2]Giacenza_Articoli!$A$2:$AO$10000,11,FALSE),"")</f>
        <v/>
      </c>
      <c r="CB20" s="12" t="str">
        <f>IFERROR(VLOOKUP($BV20,[2]Giacenza_Articoli!$A$2:$AO$10000,12,FALSE),"")</f>
        <v/>
      </c>
      <c r="CC20" s="12" t="str">
        <f>IFERROR(VLOOKUP($BV20,[2]Giacenza_Articoli!$A$2:$AO$10000,13,FALSE),"")</f>
        <v/>
      </c>
      <c r="CD20" s="12" t="str">
        <f>IFERROR(VLOOKUP($BV20,[2]Giacenza_Articoli!$A$2:$AO$10000,14,FALSE),"")</f>
        <v/>
      </c>
      <c r="CE20" s="12" t="str">
        <f>IFERROR(VLOOKUP($BV20,[2]Giacenza_Articoli!$A$2:$AO$10000,15,FALSE),"")</f>
        <v/>
      </c>
      <c r="CF20" s="12" t="str">
        <f>IFERROR(VLOOKUP($BV20,[2]Giacenza_Articoli!$A$2:$AO$10000,16,FALSE),"")</f>
        <v/>
      </c>
      <c r="CG20" s="12" t="str">
        <f>IFERROR(VLOOKUP($BV20,[2]Giacenza_Articoli!$A$2:$AO$10000,17,FALSE),"")</f>
        <v/>
      </c>
      <c r="CH20" s="12" t="str">
        <f>IFERROR(VLOOKUP($BV20,[2]Giacenza_Articoli!$A$2:$AO$10000,18,FALSE),"")</f>
        <v/>
      </c>
      <c r="CI20" s="12" t="str">
        <f>IFERROR(VLOOKUP($BV20,[2]Giacenza_Articoli!$A$2:$AO$10000,19,FALSE),"")</f>
        <v/>
      </c>
      <c r="CJ20" s="12" t="str">
        <f>IFERROR(VLOOKUP($BV20,[2]Giacenza_Articoli!$A$2:$AO$10000,20,FALSE),"")</f>
        <v/>
      </c>
      <c r="CK20" s="12" t="str">
        <f>IFERROR(VLOOKUP($BV20,[2]Giacenza_Articoli!$A$2:$AO$10000,21,FALSE),"")</f>
        <v/>
      </c>
      <c r="CL20" s="12" t="str">
        <f>IFERROR(VLOOKUP($BV20,[2]Giacenza_Articoli!$A$2:$AO$10000,22,FALSE),"")</f>
        <v/>
      </c>
      <c r="CM20" s="12" t="str">
        <f>IFERROR(VLOOKUP($BV20,[2]Giacenza_Articoli!$A$2:$AO$10000,23,FALSE),"")</f>
        <v/>
      </c>
      <c r="CN20" s="12" t="str">
        <f>IFERROR(VLOOKUP($BV20,[2]Giacenza_Articoli!$A$2:$AO$10000,24,FALSE),"")</f>
        <v/>
      </c>
      <c r="CO20" s="12" t="str">
        <f>IFERROR(VLOOKUP($BV20,[2]Giacenza_Articoli!$A$2:$AO$10000,25,FALSE),"")</f>
        <v/>
      </c>
      <c r="CP20" s="12" t="str">
        <f>IFERROR(VLOOKUP($BV20,[2]Giacenza_Articoli!$A$2:$AO$10000,26,FALSE),"")</f>
        <v/>
      </c>
      <c r="CQ20" s="12" t="str">
        <f>IFERROR(VLOOKUP($BV20,[2]Giacenza_Articoli!$A$2:$AO$10000,27,FALSE),"")</f>
        <v/>
      </c>
      <c r="CR20" s="12" t="str">
        <f>IFERROR(VLOOKUP($BV20,[2]Giacenza_Articoli!$A$2:$AO$10000,28,FALSE),"")</f>
        <v/>
      </c>
      <c r="CS20" s="12" t="str">
        <f>IFERROR(VLOOKUP($BV20,[2]Giacenza_Articoli!$A$2:$AO$10000,29,FALSE),"")</f>
        <v/>
      </c>
      <c r="CT20" s="12" t="str">
        <f>IFERROR(VLOOKUP($BV20,[2]Giacenza_Articoli!$A$2:$AO$10000,30,FALSE),"")</f>
        <v/>
      </c>
      <c r="CU20" s="12" t="str">
        <f>IFERROR(VLOOKUP($BV20,[2]Giacenza_Articoli!$A$2:$AO$10000,31,FALSE),"")</f>
        <v/>
      </c>
      <c r="CV20" s="12" t="str">
        <f>IFERROR(VLOOKUP($BV20,[2]Giacenza_Articoli!$A$2:$AO$10000,32,FALSE),"")</f>
        <v/>
      </c>
      <c r="CW20" s="12" t="str">
        <f>IFERROR(VLOOKUP($BV20,[2]Giacenza_Articoli!$A$2:$AO$10000,33,FALSE),"")</f>
        <v/>
      </c>
      <c r="CX20" s="12" t="str">
        <f>IFERROR(VLOOKUP($BV20,[2]Giacenza_Articoli!$A$2:$AO$10000,34,FALSE),"")</f>
        <v/>
      </c>
      <c r="CY20" s="12" t="str">
        <f>IFERROR(VLOOKUP($BV20,[2]Giacenza_Articoli!$A$2:$AO$10000,37,FALSE),"")</f>
        <v/>
      </c>
      <c r="CZ20" s="12" t="str">
        <f>IFERROR(VLOOKUP($BV20,[2]Giacenza_Articoli!$A$2:$AO$10000,38,FALSE),"")</f>
        <v/>
      </c>
      <c r="DA20" s="12" t="str">
        <f>IFERROR(VLOOKUP($BV20,[2]Giacenza_Articoli!$A$2:$AO$10000,39,FALSE),"")</f>
        <v/>
      </c>
    </row>
    <row r="21" spans="1:105" ht="11.1" customHeight="1">
      <c r="A21" s="5">
        <v>1</v>
      </c>
      <c r="B21" s="71"/>
      <c r="C21" s="72"/>
      <c r="D21" s="72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178"/>
      <c r="T21" s="179"/>
      <c r="U21" s="179"/>
      <c r="V21" s="180"/>
      <c r="W21" s="178"/>
      <c r="X21" s="179"/>
      <c r="Y21" s="180"/>
      <c r="Z21" s="178"/>
      <c r="AA21" s="179"/>
      <c r="AB21" s="179"/>
      <c r="AC21" s="179"/>
      <c r="AD21" s="180"/>
      <c r="AE21" s="73"/>
      <c r="AF21" s="73"/>
      <c r="AG21" s="73"/>
      <c r="AH21" s="73"/>
      <c r="AI21" s="73"/>
      <c r="AJ21" s="174"/>
      <c r="AK21" s="6"/>
      <c r="AL21" s="6"/>
      <c r="AM21" s="71"/>
      <c r="AN21" s="72"/>
      <c r="AO21" s="72"/>
      <c r="AP21" s="72"/>
      <c r="AQ21" s="72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4"/>
      <c r="BR21" s="75"/>
      <c r="BS21" s="75"/>
      <c r="BT21" s="75"/>
      <c r="BU21" s="76"/>
      <c r="BV21" s="64"/>
      <c r="BW21" s="12" t="str">
        <f>IFERROR(VLOOKUP($BV21,[2]Giacenza_Articoli!$A$2:$AO$10000,7,FALSE),"")</f>
        <v/>
      </c>
      <c r="BX21" s="12" t="str">
        <f>IFERROR(VLOOKUP($BV21,[2]Giacenza_Articoli!$A$2:$AO$10000,8,FALSE),"")</f>
        <v/>
      </c>
      <c r="BY21" s="12" t="str">
        <f>IFERROR(VLOOKUP($BV21,[2]Giacenza_Articoli!$A$2:$AO$10000,9,FALSE),"")</f>
        <v/>
      </c>
      <c r="BZ21" s="12" t="str">
        <f>IFERROR(VLOOKUP($BV21,[2]Giacenza_Articoli!$A$2:$AO$10000,10,FALSE),"")</f>
        <v/>
      </c>
      <c r="CA21" s="12" t="str">
        <f>IFERROR(VLOOKUP($BV21,[2]Giacenza_Articoli!$A$2:$AO$10000,11,FALSE),"")</f>
        <v/>
      </c>
      <c r="CB21" s="12" t="str">
        <f>IFERROR(VLOOKUP($BV21,[2]Giacenza_Articoli!$A$2:$AO$10000,12,FALSE),"")</f>
        <v/>
      </c>
      <c r="CC21" s="12" t="str">
        <f>IFERROR(VLOOKUP($BV21,[2]Giacenza_Articoli!$A$2:$AO$10000,13,FALSE),"")</f>
        <v/>
      </c>
      <c r="CD21" s="12" t="str">
        <f>IFERROR(VLOOKUP($BV21,[2]Giacenza_Articoli!$A$2:$AO$10000,14,FALSE),"")</f>
        <v/>
      </c>
      <c r="CE21" s="12" t="str">
        <f>IFERROR(VLOOKUP($BV21,[2]Giacenza_Articoli!$A$2:$AO$10000,15,FALSE),"")</f>
        <v/>
      </c>
      <c r="CF21" s="12" t="str">
        <f>IFERROR(VLOOKUP($BV21,[2]Giacenza_Articoli!$A$2:$AO$10000,16,FALSE),"")</f>
        <v/>
      </c>
      <c r="CG21" s="12" t="str">
        <f>IFERROR(VLOOKUP($BV21,[2]Giacenza_Articoli!$A$2:$AO$10000,17,FALSE),"")</f>
        <v/>
      </c>
      <c r="CH21" s="12" t="str">
        <f>IFERROR(VLOOKUP($BV21,[2]Giacenza_Articoli!$A$2:$AO$10000,18,FALSE),"")</f>
        <v/>
      </c>
      <c r="CI21" s="12" t="str">
        <f>IFERROR(VLOOKUP($BV21,[2]Giacenza_Articoli!$A$2:$AO$10000,19,FALSE),"")</f>
        <v/>
      </c>
      <c r="CJ21" s="12" t="str">
        <f>IFERROR(VLOOKUP($BV21,[2]Giacenza_Articoli!$A$2:$AO$10000,20,FALSE),"")</f>
        <v/>
      </c>
      <c r="CK21" s="12" t="str">
        <f>IFERROR(VLOOKUP($BV21,[2]Giacenza_Articoli!$A$2:$AO$10000,21,FALSE),"")</f>
        <v/>
      </c>
      <c r="CL21" s="12" t="str">
        <f>IFERROR(VLOOKUP($BV21,[2]Giacenza_Articoli!$A$2:$AO$10000,22,FALSE),"")</f>
        <v/>
      </c>
      <c r="CM21" s="12" t="str">
        <f>IFERROR(VLOOKUP($BV21,[2]Giacenza_Articoli!$A$2:$AO$10000,23,FALSE),"")</f>
        <v/>
      </c>
      <c r="CN21" s="12" t="str">
        <f>IFERROR(VLOOKUP($BV21,[2]Giacenza_Articoli!$A$2:$AO$10000,24,FALSE),"")</f>
        <v/>
      </c>
      <c r="CO21" s="12" t="str">
        <f>IFERROR(VLOOKUP($BV21,[2]Giacenza_Articoli!$A$2:$AO$10000,25,FALSE),"")</f>
        <v/>
      </c>
      <c r="CP21" s="12" t="str">
        <f>IFERROR(VLOOKUP($BV21,[2]Giacenza_Articoli!$A$2:$AO$10000,26,FALSE),"")</f>
        <v/>
      </c>
      <c r="CQ21" s="12" t="str">
        <f>IFERROR(VLOOKUP($BV21,[2]Giacenza_Articoli!$A$2:$AO$10000,27,FALSE),"")</f>
        <v/>
      </c>
      <c r="CR21" s="12" t="str">
        <f>IFERROR(VLOOKUP($BV21,[2]Giacenza_Articoli!$A$2:$AO$10000,28,FALSE),"")</f>
        <v/>
      </c>
      <c r="CS21" s="12" t="str">
        <f>IFERROR(VLOOKUP($BV21,[2]Giacenza_Articoli!$A$2:$AO$10000,29,FALSE),"")</f>
        <v/>
      </c>
      <c r="CT21" s="12" t="str">
        <f>IFERROR(VLOOKUP($BV21,[2]Giacenza_Articoli!$A$2:$AO$10000,30,FALSE),"")</f>
        <v/>
      </c>
      <c r="CU21" s="12" t="str">
        <f>IFERROR(VLOOKUP($BV21,[2]Giacenza_Articoli!$A$2:$AO$10000,31,FALSE),"")</f>
        <v/>
      </c>
      <c r="CV21" s="12" t="str">
        <f>IFERROR(VLOOKUP($BV21,[2]Giacenza_Articoli!$A$2:$AO$10000,32,FALSE),"")</f>
        <v/>
      </c>
      <c r="CW21" s="12" t="str">
        <f>IFERROR(VLOOKUP($BV21,[2]Giacenza_Articoli!$A$2:$AO$10000,33,FALSE),"")</f>
        <v/>
      </c>
      <c r="CX21" s="12" t="str">
        <f>IFERROR(VLOOKUP($BV21,[2]Giacenza_Articoli!$A$2:$AO$10000,34,FALSE),"")</f>
        <v/>
      </c>
      <c r="CY21" s="12" t="str">
        <f>IFERROR(VLOOKUP($BV21,[2]Giacenza_Articoli!$A$2:$AO$10000,37,FALSE),"")</f>
        <v/>
      </c>
      <c r="CZ21" s="12" t="str">
        <f>IFERROR(VLOOKUP($BV21,[2]Giacenza_Articoli!$A$2:$AO$10000,38,FALSE),"")</f>
        <v/>
      </c>
      <c r="DA21" s="12" t="str">
        <f>IFERROR(VLOOKUP($BV21,[2]Giacenza_Articoli!$A$2:$AO$10000,39,FALSE),"")</f>
        <v/>
      </c>
    </row>
    <row r="22" spans="1:105" ht="11.1" customHeight="1">
      <c r="A22" s="5">
        <v>1</v>
      </c>
      <c r="B22" s="71">
        <v>2</v>
      </c>
      <c r="C22" s="72"/>
      <c r="D22" s="72"/>
      <c r="E22" s="73" t="s">
        <v>318</v>
      </c>
      <c r="F22" s="73"/>
      <c r="G22" s="73"/>
      <c r="H22" s="73"/>
      <c r="I22" s="73"/>
      <c r="J22" s="73"/>
      <c r="K22" s="73"/>
      <c r="L22" s="73"/>
      <c r="M22" s="73"/>
      <c r="N22" s="73">
        <v>11700</v>
      </c>
      <c r="O22" s="73"/>
      <c r="P22" s="73"/>
      <c r="Q22" s="73"/>
      <c r="R22" s="73"/>
      <c r="S22" s="175">
        <v>36</v>
      </c>
      <c r="T22" s="176"/>
      <c r="U22" s="176"/>
      <c r="V22" s="177"/>
      <c r="W22" s="175" t="s">
        <v>144</v>
      </c>
      <c r="X22" s="176"/>
      <c r="Y22" s="177"/>
      <c r="Z22" s="175"/>
      <c r="AA22" s="176"/>
      <c r="AB22" s="176"/>
      <c r="AC22" s="176"/>
      <c r="AD22" s="177"/>
      <c r="AE22" s="73"/>
      <c r="AF22" s="73"/>
      <c r="AG22" s="73"/>
      <c r="AH22" s="73" t="s">
        <v>154</v>
      </c>
      <c r="AI22" s="73"/>
      <c r="AJ22" s="174"/>
      <c r="AK22" s="6"/>
      <c r="AL22" s="6"/>
      <c r="AM22" s="71"/>
      <c r="AN22" s="72"/>
      <c r="AO22" s="72"/>
      <c r="AP22" s="72"/>
      <c r="AQ22" s="72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73"/>
      <c r="BP22" s="73"/>
      <c r="BQ22" s="74"/>
      <c r="BR22" s="75"/>
      <c r="BS22" s="75"/>
      <c r="BT22" s="75"/>
      <c r="BU22" s="76"/>
      <c r="BV22" s="64"/>
      <c r="BW22" s="12" t="str">
        <f>IFERROR(VLOOKUP($BV22,[2]Giacenza_Articoli!$A$2:$AO$10000,7,FALSE),"")</f>
        <v/>
      </c>
      <c r="BX22" s="12" t="str">
        <f>IFERROR(VLOOKUP($BV22,[2]Giacenza_Articoli!$A$2:$AO$10000,8,FALSE),"")</f>
        <v/>
      </c>
      <c r="BY22" s="12" t="str">
        <f>IFERROR(VLOOKUP($BV22,[2]Giacenza_Articoli!$A$2:$AO$10000,9,FALSE),"")</f>
        <v/>
      </c>
      <c r="BZ22" s="12" t="str">
        <f>IFERROR(VLOOKUP($BV22,[2]Giacenza_Articoli!$A$2:$AO$10000,10,FALSE),"")</f>
        <v/>
      </c>
      <c r="CA22" s="12" t="str">
        <f>IFERROR(VLOOKUP($BV22,[2]Giacenza_Articoli!$A$2:$AO$10000,11,FALSE),"")</f>
        <v/>
      </c>
      <c r="CB22" s="12" t="str">
        <f>IFERROR(VLOOKUP($BV22,[2]Giacenza_Articoli!$A$2:$AO$10000,12,FALSE),"")</f>
        <v/>
      </c>
      <c r="CC22" s="12" t="str">
        <f>IFERROR(VLOOKUP($BV22,[2]Giacenza_Articoli!$A$2:$AO$10000,13,FALSE),"")</f>
        <v/>
      </c>
      <c r="CD22" s="12" t="str">
        <f>IFERROR(VLOOKUP($BV22,[2]Giacenza_Articoli!$A$2:$AO$10000,14,FALSE),"")</f>
        <v/>
      </c>
      <c r="CE22" s="12" t="str">
        <f>IFERROR(VLOOKUP($BV22,[2]Giacenza_Articoli!$A$2:$AO$10000,15,FALSE),"")</f>
        <v/>
      </c>
      <c r="CF22" s="12" t="str">
        <f>IFERROR(VLOOKUP($BV22,[2]Giacenza_Articoli!$A$2:$AO$10000,16,FALSE),"")</f>
        <v/>
      </c>
      <c r="CG22" s="12" t="str">
        <f>IFERROR(VLOOKUP($BV22,[2]Giacenza_Articoli!$A$2:$AO$10000,17,FALSE),"")</f>
        <v/>
      </c>
      <c r="CH22" s="12" t="str">
        <f>IFERROR(VLOOKUP($BV22,[2]Giacenza_Articoli!$A$2:$AO$10000,18,FALSE),"")</f>
        <v/>
      </c>
      <c r="CI22" s="12" t="str">
        <f>IFERROR(VLOOKUP($BV22,[2]Giacenza_Articoli!$A$2:$AO$10000,19,FALSE),"")</f>
        <v/>
      </c>
      <c r="CJ22" s="12" t="str">
        <f>IFERROR(VLOOKUP($BV22,[2]Giacenza_Articoli!$A$2:$AO$10000,20,FALSE),"")</f>
        <v/>
      </c>
      <c r="CK22" s="12" t="str">
        <f>IFERROR(VLOOKUP($BV22,[2]Giacenza_Articoli!$A$2:$AO$10000,21,FALSE),"")</f>
        <v/>
      </c>
      <c r="CL22" s="12" t="str">
        <f>IFERROR(VLOOKUP($BV22,[2]Giacenza_Articoli!$A$2:$AO$10000,22,FALSE),"")</f>
        <v/>
      </c>
      <c r="CM22" s="12" t="str">
        <f>IFERROR(VLOOKUP($BV22,[2]Giacenza_Articoli!$A$2:$AO$10000,23,FALSE),"")</f>
        <v/>
      </c>
      <c r="CN22" s="12" t="str">
        <f>IFERROR(VLOOKUP($BV22,[2]Giacenza_Articoli!$A$2:$AO$10000,24,FALSE),"")</f>
        <v/>
      </c>
      <c r="CO22" s="12" t="str">
        <f>IFERROR(VLOOKUP($BV22,[2]Giacenza_Articoli!$A$2:$AO$10000,25,FALSE),"")</f>
        <v/>
      </c>
      <c r="CP22" s="12" t="str">
        <f>IFERROR(VLOOKUP($BV22,[2]Giacenza_Articoli!$A$2:$AO$10000,26,FALSE),"")</f>
        <v/>
      </c>
      <c r="CQ22" s="12" t="str">
        <f>IFERROR(VLOOKUP($BV22,[2]Giacenza_Articoli!$A$2:$AO$10000,27,FALSE),"")</f>
        <v/>
      </c>
      <c r="CR22" s="12" t="str">
        <f>IFERROR(VLOOKUP($BV22,[2]Giacenza_Articoli!$A$2:$AO$10000,28,FALSE),"")</f>
        <v/>
      </c>
      <c r="CS22" s="12" t="str">
        <f>IFERROR(VLOOKUP($BV22,[2]Giacenza_Articoli!$A$2:$AO$10000,29,FALSE),"")</f>
        <v/>
      </c>
      <c r="CT22" s="12" t="str">
        <f>IFERROR(VLOOKUP($BV22,[2]Giacenza_Articoli!$A$2:$AO$10000,30,FALSE),"")</f>
        <v/>
      </c>
      <c r="CU22" s="12" t="str">
        <f>IFERROR(VLOOKUP($BV22,[2]Giacenza_Articoli!$A$2:$AO$10000,31,FALSE),"")</f>
        <v/>
      </c>
      <c r="CV22" s="12" t="str">
        <f>IFERROR(VLOOKUP($BV22,[2]Giacenza_Articoli!$A$2:$AO$10000,32,FALSE),"")</f>
        <v/>
      </c>
      <c r="CW22" s="12" t="str">
        <f>IFERROR(VLOOKUP($BV22,[2]Giacenza_Articoli!$A$2:$AO$10000,33,FALSE),"")</f>
        <v/>
      </c>
      <c r="CX22" s="12" t="str">
        <f>IFERROR(VLOOKUP($BV22,[2]Giacenza_Articoli!$A$2:$AO$10000,34,FALSE),"")</f>
        <v/>
      </c>
      <c r="CY22" s="12" t="str">
        <f>IFERROR(VLOOKUP($BV22,[2]Giacenza_Articoli!$A$2:$AO$10000,37,FALSE),"")</f>
        <v/>
      </c>
      <c r="CZ22" s="12" t="str">
        <f>IFERROR(VLOOKUP($BV22,[2]Giacenza_Articoli!$A$2:$AO$10000,38,FALSE),"")</f>
        <v/>
      </c>
      <c r="DA22" s="12" t="str">
        <f>IFERROR(VLOOKUP($BV22,[2]Giacenza_Articoli!$A$2:$AO$10000,39,FALSE),"")</f>
        <v/>
      </c>
    </row>
    <row r="23" spans="1:105" ht="11.1" customHeight="1">
      <c r="A23" s="5">
        <v>1</v>
      </c>
      <c r="B23" s="71"/>
      <c r="C23" s="72"/>
      <c r="D23" s="72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178"/>
      <c r="T23" s="179"/>
      <c r="U23" s="179"/>
      <c r="V23" s="180"/>
      <c r="W23" s="178"/>
      <c r="X23" s="179"/>
      <c r="Y23" s="180"/>
      <c r="Z23" s="178"/>
      <c r="AA23" s="179"/>
      <c r="AB23" s="179"/>
      <c r="AC23" s="179"/>
      <c r="AD23" s="180"/>
      <c r="AE23" s="73"/>
      <c r="AF23" s="73"/>
      <c r="AG23" s="73"/>
      <c r="AH23" s="73"/>
      <c r="AI23" s="73"/>
      <c r="AJ23" s="174"/>
      <c r="AK23" s="6"/>
      <c r="AL23" s="6"/>
      <c r="AM23" s="71" t="s">
        <v>26</v>
      </c>
      <c r="AN23" s="72"/>
      <c r="AO23" s="72"/>
      <c r="AP23" s="72"/>
      <c r="AQ23" s="72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4"/>
      <c r="BR23" s="75"/>
      <c r="BS23" s="75"/>
      <c r="BT23" s="75"/>
      <c r="BU23" s="76"/>
      <c r="BV23" s="64"/>
      <c r="BW23" s="12" t="str">
        <f>IFERROR(VLOOKUP($BV23,[2]Giacenza_Articoli!$A$2:$AO$10000,7,FALSE),"")</f>
        <v/>
      </c>
      <c r="BX23" s="12" t="str">
        <f>IFERROR(VLOOKUP($BV23,[2]Giacenza_Articoli!$A$2:$AO$10000,8,FALSE),"")</f>
        <v/>
      </c>
      <c r="BY23" s="12" t="str">
        <f>IFERROR(VLOOKUP($BV23,[2]Giacenza_Articoli!$A$2:$AO$10000,9,FALSE),"")</f>
        <v/>
      </c>
      <c r="BZ23" s="12" t="str">
        <f>IFERROR(VLOOKUP($BV23,[2]Giacenza_Articoli!$A$2:$AO$10000,10,FALSE),"")</f>
        <v/>
      </c>
      <c r="CA23" s="12" t="str">
        <f>IFERROR(VLOOKUP($BV23,[2]Giacenza_Articoli!$A$2:$AO$10000,11,FALSE),"")</f>
        <v/>
      </c>
      <c r="CB23" s="12" t="str">
        <f>IFERROR(VLOOKUP($BV23,[2]Giacenza_Articoli!$A$2:$AO$10000,12,FALSE),"")</f>
        <v/>
      </c>
      <c r="CC23" s="12" t="str">
        <f>IFERROR(VLOOKUP($BV23,[2]Giacenza_Articoli!$A$2:$AO$10000,13,FALSE),"")</f>
        <v/>
      </c>
      <c r="CD23" s="12" t="str">
        <f>IFERROR(VLOOKUP($BV23,[2]Giacenza_Articoli!$A$2:$AO$10000,14,FALSE),"")</f>
        <v/>
      </c>
      <c r="CE23" s="12" t="str">
        <f>IFERROR(VLOOKUP($BV23,[2]Giacenza_Articoli!$A$2:$AO$10000,15,FALSE),"")</f>
        <v/>
      </c>
      <c r="CF23" s="12" t="str">
        <f>IFERROR(VLOOKUP($BV23,[2]Giacenza_Articoli!$A$2:$AO$10000,16,FALSE),"")</f>
        <v/>
      </c>
      <c r="CG23" s="12" t="str">
        <f>IFERROR(VLOOKUP($BV23,[2]Giacenza_Articoli!$A$2:$AO$10000,17,FALSE),"")</f>
        <v/>
      </c>
      <c r="CH23" s="12" t="str">
        <f>IFERROR(VLOOKUP($BV23,[2]Giacenza_Articoli!$A$2:$AO$10000,18,FALSE),"")</f>
        <v/>
      </c>
      <c r="CI23" s="12" t="str">
        <f>IFERROR(VLOOKUP($BV23,[2]Giacenza_Articoli!$A$2:$AO$10000,19,FALSE),"")</f>
        <v/>
      </c>
      <c r="CJ23" s="12" t="str">
        <f>IFERROR(VLOOKUP($BV23,[2]Giacenza_Articoli!$A$2:$AO$10000,20,FALSE),"")</f>
        <v/>
      </c>
      <c r="CK23" s="12" t="str">
        <f>IFERROR(VLOOKUP($BV23,[2]Giacenza_Articoli!$A$2:$AO$10000,21,FALSE),"")</f>
        <v/>
      </c>
      <c r="CL23" s="12" t="str">
        <f>IFERROR(VLOOKUP($BV23,[2]Giacenza_Articoli!$A$2:$AO$10000,22,FALSE),"")</f>
        <v/>
      </c>
      <c r="CM23" s="12" t="str">
        <f>IFERROR(VLOOKUP($BV23,[2]Giacenza_Articoli!$A$2:$AO$10000,23,FALSE),"")</f>
        <v/>
      </c>
      <c r="CN23" s="12" t="str">
        <f>IFERROR(VLOOKUP($BV23,[2]Giacenza_Articoli!$A$2:$AO$10000,24,FALSE),"")</f>
        <v/>
      </c>
      <c r="CO23" s="12" t="str">
        <f>IFERROR(VLOOKUP($BV23,[2]Giacenza_Articoli!$A$2:$AO$10000,25,FALSE),"")</f>
        <v/>
      </c>
      <c r="CP23" s="12" t="str">
        <f>IFERROR(VLOOKUP($BV23,[2]Giacenza_Articoli!$A$2:$AO$10000,26,FALSE),"")</f>
        <v/>
      </c>
      <c r="CQ23" s="12" t="str">
        <f>IFERROR(VLOOKUP($BV23,[2]Giacenza_Articoli!$A$2:$AO$10000,27,FALSE),"")</f>
        <v/>
      </c>
      <c r="CR23" s="12" t="str">
        <f>IFERROR(VLOOKUP($BV23,[2]Giacenza_Articoli!$A$2:$AO$10000,28,FALSE),"")</f>
        <v/>
      </c>
      <c r="CS23" s="12" t="str">
        <f>IFERROR(VLOOKUP($BV23,[2]Giacenza_Articoli!$A$2:$AO$10000,29,FALSE),"")</f>
        <v/>
      </c>
      <c r="CT23" s="12" t="str">
        <f>IFERROR(VLOOKUP($BV23,[2]Giacenza_Articoli!$A$2:$AO$10000,30,FALSE),"")</f>
        <v/>
      </c>
      <c r="CU23" s="12" t="str">
        <f>IFERROR(VLOOKUP($BV23,[2]Giacenza_Articoli!$A$2:$AO$10000,31,FALSE),"")</f>
        <v/>
      </c>
      <c r="CV23" s="12" t="str">
        <f>IFERROR(VLOOKUP($BV23,[2]Giacenza_Articoli!$A$2:$AO$10000,32,FALSE),"")</f>
        <v/>
      </c>
      <c r="CW23" s="12" t="str">
        <f>IFERROR(VLOOKUP($BV23,[2]Giacenza_Articoli!$A$2:$AO$10000,33,FALSE),"")</f>
        <v/>
      </c>
      <c r="CX23" s="12" t="str">
        <f>IFERROR(VLOOKUP($BV23,[2]Giacenza_Articoli!$A$2:$AO$10000,34,FALSE),"")</f>
        <v/>
      </c>
      <c r="CY23" s="12" t="str">
        <f>IFERROR(VLOOKUP($BV23,[2]Giacenza_Articoli!$A$2:$AO$10000,37,FALSE),"")</f>
        <v/>
      </c>
      <c r="CZ23" s="12" t="str">
        <f>IFERROR(VLOOKUP($BV23,[2]Giacenza_Articoli!$A$2:$AO$10000,38,FALSE),"")</f>
        <v/>
      </c>
      <c r="DA23" s="12" t="str">
        <f>IFERROR(VLOOKUP($BV23,[2]Giacenza_Articoli!$A$2:$AO$10000,39,FALSE),"")</f>
        <v/>
      </c>
    </row>
    <row r="24" spans="1:105" ht="11.1" customHeight="1">
      <c r="A24" s="5">
        <v>1</v>
      </c>
      <c r="B24" s="71">
        <v>3</v>
      </c>
      <c r="C24" s="72"/>
      <c r="D24" s="72"/>
      <c r="E24" s="73" t="s">
        <v>318</v>
      </c>
      <c r="F24" s="73"/>
      <c r="G24" s="73"/>
      <c r="H24" s="73"/>
      <c r="I24" s="73"/>
      <c r="J24" s="73"/>
      <c r="K24" s="73"/>
      <c r="L24" s="73"/>
      <c r="M24" s="73"/>
      <c r="N24" s="73">
        <v>11700</v>
      </c>
      <c r="O24" s="73"/>
      <c r="P24" s="73"/>
      <c r="Q24" s="73"/>
      <c r="R24" s="73"/>
      <c r="S24" s="175">
        <v>36</v>
      </c>
      <c r="T24" s="176"/>
      <c r="U24" s="176"/>
      <c r="V24" s="177"/>
      <c r="W24" s="175" t="s">
        <v>144</v>
      </c>
      <c r="X24" s="176"/>
      <c r="Y24" s="177"/>
      <c r="Z24" s="175"/>
      <c r="AA24" s="176"/>
      <c r="AB24" s="176"/>
      <c r="AC24" s="176"/>
      <c r="AD24" s="177"/>
      <c r="AE24" s="73"/>
      <c r="AF24" s="73"/>
      <c r="AG24" s="73"/>
      <c r="AH24" s="73" t="s">
        <v>154</v>
      </c>
      <c r="AI24" s="73"/>
      <c r="AJ24" s="174"/>
      <c r="AK24" s="6"/>
      <c r="AL24" s="6"/>
      <c r="AM24" s="71"/>
      <c r="AN24" s="72"/>
      <c r="AO24" s="72"/>
      <c r="AP24" s="72"/>
      <c r="AQ24" s="72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4"/>
      <c r="BR24" s="75"/>
      <c r="BS24" s="75"/>
      <c r="BT24" s="75"/>
      <c r="BU24" s="76"/>
      <c r="BV24" s="64"/>
      <c r="BW24" s="12" t="str">
        <f>IFERROR(VLOOKUP($BV24,[2]Giacenza_Articoli!$A$2:$AO$10000,7,FALSE),"")</f>
        <v/>
      </c>
      <c r="BX24" s="12" t="str">
        <f>IFERROR(VLOOKUP($BV24,[2]Giacenza_Articoli!$A$2:$AO$10000,8,FALSE),"")</f>
        <v/>
      </c>
      <c r="BY24" s="12" t="str">
        <f>IFERROR(VLOOKUP($BV24,[2]Giacenza_Articoli!$A$2:$AO$10000,9,FALSE),"")</f>
        <v/>
      </c>
      <c r="BZ24" s="12" t="str">
        <f>IFERROR(VLOOKUP($BV24,[2]Giacenza_Articoli!$A$2:$AO$10000,10,FALSE),"")</f>
        <v/>
      </c>
      <c r="CA24" s="12" t="str">
        <f>IFERROR(VLOOKUP($BV24,[2]Giacenza_Articoli!$A$2:$AO$10000,11,FALSE),"")</f>
        <v/>
      </c>
      <c r="CB24" s="12" t="str">
        <f>IFERROR(VLOOKUP($BV24,[2]Giacenza_Articoli!$A$2:$AO$10000,12,FALSE),"")</f>
        <v/>
      </c>
      <c r="CC24" s="12" t="str">
        <f>IFERROR(VLOOKUP($BV24,[2]Giacenza_Articoli!$A$2:$AO$10000,13,FALSE),"")</f>
        <v/>
      </c>
      <c r="CD24" s="12" t="str">
        <f>IFERROR(VLOOKUP($BV24,[2]Giacenza_Articoli!$A$2:$AO$10000,14,FALSE),"")</f>
        <v/>
      </c>
      <c r="CE24" s="12" t="str">
        <f>IFERROR(VLOOKUP($BV24,[2]Giacenza_Articoli!$A$2:$AO$10000,15,FALSE),"")</f>
        <v/>
      </c>
      <c r="CF24" s="12" t="str">
        <f>IFERROR(VLOOKUP($BV24,[2]Giacenza_Articoli!$A$2:$AO$10000,16,FALSE),"")</f>
        <v/>
      </c>
      <c r="CG24" s="12" t="str">
        <f>IFERROR(VLOOKUP($BV24,[2]Giacenza_Articoli!$A$2:$AO$10000,17,FALSE),"")</f>
        <v/>
      </c>
      <c r="CH24" s="12" t="str">
        <f>IFERROR(VLOOKUP($BV24,[2]Giacenza_Articoli!$A$2:$AO$10000,18,FALSE),"")</f>
        <v/>
      </c>
      <c r="CI24" s="12" t="str">
        <f>IFERROR(VLOOKUP($BV24,[2]Giacenza_Articoli!$A$2:$AO$10000,19,FALSE),"")</f>
        <v/>
      </c>
      <c r="CJ24" s="12" t="str">
        <f>IFERROR(VLOOKUP($BV24,[2]Giacenza_Articoli!$A$2:$AO$10000,20,FALSE),"")</f>
        <v/>
      </c>
      <c r="CK24" s="12" t="str">
        <f>IFERROR(VLOOKUP($BV24,[2]Giacenza_Articoli!$A$2:$AO$10000,21,FALSE),"")</f>
        <v/>
      </c>
      <c r="CL24" s="12" t="str">
        <f>IFERROR(VLOOKUP($BV24,[2]Giacenza_Articoli!$A$2:$AO$10000,22,FALSE),"")</f>
        <v/>
      </c>
      <c r="CM24" s="12" t="str">
        <f>IFERROR(VLOOKUP($BV24,[2]Giacenza_Articoli!$A$2:$AO$10000,23,FALSE),"")</f>
        <v/>
      </c>
      <c r="CN24" s="12" t="str">
        <f>IFERROR(VLOOKUP($BV24,[2]Giacenza_Articoli!$A$2:$AO$10000,24,FALSE),"")</f>
        <v/>
      </c>
      <c r="CO24" s="12" t="str">
        <f>IFERROR(VLOOKUP($BV24,[2]Giacenza_Articoli!$A$2:$AO$10000,25,FALSE),"")</f>
        <v/>
      </c>
      <c r="CP24" s="12" t="str">
        <f>IFERROR(VLOOKUP($BV24,[2]Giacenza_Articoli!$A$2:$AO$10000,26,FALSE),"")</f>
        <v/>
      </c>
      <c r="CQ24" s="12" t="str">
        <f>IFERROR(VLOOKUP($BV24,[2]Giacenza_Articoli!$A$2:$AO$10000,27,FALSE),"")</f>
        <v/>
      </c>
      <c r="CR24" s="12" t="str">
        <f>IFERROR(VLOOKUP($BV24,[2]Giacenza_Articoli!$A$2:$AO$10000,28,FALSE),"")</f>
        <v/>
      </c>
      <c r="CS24" s="12" t="str">
        <f>IFERROR(VLOOKUP($BV24,[2]Giacenza_Articoli!$A$2:$AO$10000,29,FALSE),"")</f>
        <v/>
      </c>
      <c r="CT24" s="12" t="str">
        <f>IFERROR(VLOOKUP($BV24,[2]Giacenza_Articoli!$A$2:$AO$10000,30,FALSE),"")</f>
        <v/>
      </c>
      <c r="CU24" s="12" t="str">
        <f>IFERROR(VLOOKUP($BV24,[2]Giacenza_Articoli!$A$2:$AO$10000,31,FALSE),"")</f>
        <v/>
      </c>
      <c r="CV24" s="12" t="str">
        <f>IFERROR(VLOOKUP($BV24,[2]Giacenza_Articoli!$A$2:$AO$10000,32,FALSE),"")</f>
        <v/>
      </c>
      <c r="CW24" s="12" t="str">
        <f>IFERROR(VLOOKUP($BV24,[2]Giacenza_Articoli!$A$2:$AO$10000,33,FALSE),"")</f>
        <v/>
      </c>
      <c r="CX24" s="12" t="str">
        <f>IFERROR(VLOOKUP($BV24,[2]Giacenza_Articoli!$A$2:$AO$10000,34,FALSE),"")</f>
        <v/>
      </c>
      <c r="CY24" s="12" t="str">
        <f>IFERROR(VLOOKUP($BV24,[2]Giacenza_Articoli!$A$2:$AO$10000,37,FALSE),"")</f>
        <v/>
      </c>
      <c r="CZ24" s="12" t="str">
        <f>IFERROR(VLOOKUP($BV24,[2]Giacenza_Articoli!$A$2:$AO$10000,38,FALSE),"")</f>
        <v/>
      </c>
      <c r="DA24" s="12" t="str">
        <f>IFERROR(VLOOKUP($BV24,[2]Giacenza_Articoli!$A$2:$AO$10000,39,FALSE),"")</f>
        <v/>
      </c>
    </row>
    <row r="25" spans="1:105" ht="11.1" customHeight="1">
      <c r="A25" s="5">
        <v>1</v>
      </c>
      <c r="B25" s="71"/>
      <c r="C25" s="72"/>
      <c r="D25" s="72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178"/>
      <c r="T25" s="179"/>
      <c r="U25" s="179"/>
      <c r="V25" s="180"/>
      <c r="W25" s="178"/>
      <c r="X25" s="179"/>
      <c r="Y25" s="180"/>
      <c r="Z25" s="178"/>
      <c r="AA25" s="179"/>
      <c r="AB25" s="179"/>
      <c r="AC25" s="179"/>
      <c r="AD25" s="180"/>
      <c r="AE25" s="73"/>
      <c r="AF25" s="73"/>
      <c r="AG25" s="73"/>
      <c r="AH25" s="73"/>
      <c r="AI25" s="73"/>
      <c r="AJ25" s="174"/>
      <c r="AK25" s="6"/>
      <c r="AL25" s="6"/>
      <c r="AM25" s="71"/>
      <c r="AN25" s="72"/>
      <c r="AO25" s="72"/>
      <c r="AP25" s="72"/>
      <c r="AQ25" s="72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4"/>
      <c r="BR25" s="75"/>
      <c r="BS25" s="75"/>
      <c r="BT25" s="75"/>
      <c r="BU25" s="76"/>
      <c r="BV25" s="64"/>
      <c r="BW25" s="12" t="str">
        <f>IFERROR(VLOOKUP($BV25,[2]Giacenza_Articoli!$A$2:$AO$10000,7,FALSE),"")</f>
        <v/>
      </c>
      <c r="BX25" s="12" t="str">
        <f>IFERROR(VLOOKUP($BV25,[2]Giacenza_Articoli!$A$2:$AO$10000,8,FALSE),"")</f>
        <v/>
      </c>
      <c r="BY25" s="12" t="str">
        <f>IFERROR(VLOOKUP($BV25,[2]Giacenza_Articoli!$A$2:$AO$10000,9,FALSE),"")</f>
        <v/>
      </c>
      <c r="BZ25" s="12" t="str">
        <f>IFERROR(VLOOKUP($BV25,[2]Giacenza_Articoli!$A$2:$AO$10000,10,FALSE),"")</f>
        <v/>
      </c>
      <c r="CA25" s="12" t="str">
        <f>IFERROR(VLOOKUP($BV25,[2]Giacenza_Articoli!$A$2:$AO$10000,11,FALSE),"")</f>
        <v/>
      </c>
      <c r="CB25" s="12" t="str">
        <f>IFERROR(VLOOKUP($BV25,[2]Giacenza_Articoli!$A$2:$AO$10000,12,FALSE),"")</f>
        <v/>
      </c>
      <c r="CC25" s="12" t="str">
        <f>IFERROR(VLOOKUP($BV25,[2]Giacenza_Articoli!$A$2:$AO$10000,13,FALSE),"")</f>
        <v/>
      </c>
      <c r="CD25" s="12" t="str">
        <f>IFERROR(VLOOKUP($BV25,[2]Giacenza_Articoli!$A$2:$AO$10000,14,FALSE),"")</f>
        <v/>
      </c>
      <c r="CE25" s="12" t="str">
        <f>IFERROR(VLOOKUP($BV25,[2]Giacenza_Articoli!$A$2:$AO$10000,15,FALSE),"")</f>
        <v/>
      </c>
      <c r="CF25" s="12" t="str">
        <f>IFERROR(VLOOKUP($BV25,[2]Giacenza_Articoli!$A$2:$AO$10000,16,FALSE),"")</f>
        <v/>
      </c>
      <c r="CG25" s="12" t="str">
        <f>IFERROR(VLOOKUP($BV25,[2]Giacenza_Articoli!$A$2:$AO$10000,17,FALSE),"")</f>
        <v/>
      </c>
      <c r="CH25" s="12" t="str">
        <f>IFERROR(VLOOKUP($BV25,[2]Giacenza_Articoli!$A$2:$AO$10000,18,FALSE),"")</f>
        <v/>
      </c>
      <c r="CI25" s="12" t="str">
        <f>IFERROR(VLOOKUP($BV25,[2]Giacenza_Articoli!$A$2:$AO$10000,19,FALSE),"")</f>
        <v/>
      </c>
      <c r="CJ25" s="12" t="str">
        <f>IFERROR(VLOOKUP($BV25,[2]Giacenza_Articoli!$A$2:$AO$10000,20,FALSE),"")</f>
        <v/>
      </c>
      <c r="CK25" s="12" t="str">
        <f>IFERROR(VLOOKUP($BV25,[2]Giacenza_Articoli!$A$2:$AO$10000,21,FALSE),"")</f>
        <v/>
      </c>
      <c r="CL25" s="12" t="str">
        <f>IFERROR(VLOOKUP($BV25,[2]Giacenza_Articoli!$A$2:$AO$10000,22,FALSE),"")</f>
        <v/>
      </c>
      <c r="CM25" s="12" t="str">
        <f>IFERROR(VLOOKUP($BV25,[2]Giacenza_Articoli!$A$2:$AO$10000,23,FALSE),"")</f>
        <v/>
      </c>
      <c r="CN25" s="12" t="str">
        <f>IFERROR(VLOOKUP($BV25,[2]Giacenza_Articoli!$A$2:$AO$10000,24,FALSE),"")</f>
        <v/>
      </c>
      <c r="CO25" s="12" t="str">
        <f>IFERROR(VLOOKUP($BV25,[2]Giacenza_Articoli!$A$2:$AO$10000,25,FALSE),"")</f>
        <v/>
      </c>
      <c r="CP25" s="12" t="str">
        <f>IFERROR(VLOOKUP($BV25,[2]Giacenza_Articoli!$A$2:$AO$10000,26,FALSE),"")</f>
        <v/>
      </c>
      <c r="CQ25" s="12" t="str">
        <f>IFERROR(VLOOKUP($BV25,[2]Giacenza_Articoli!$A$2:$AO$10000,27,FALSE),"")</f>
        <v/>
      </c>
      <c r="CR25" s="12" t="str">
        <f>IFERROR(VLOOKUP($BV25,[2]Giacenza_Articoli!$A$2:$AO$10000,28,FALSE),"")</f>
        <v/>
      </c>
      <c r="CS25" s="12" t="str">
        <f>IFERROR(VLOOKUP($BV25,[2]Giacenza_Articoli!$A$2:$AO$10000,29,FALSE),"")</f>
        <v/>
      </c>
      <c r="CT25" s="12" t="str">
        <f>IFERROR(VLOOKUP($BV25,[2]Giacenza_Articoli!$A$2:$AO$10000,30,FALSE),"")</f>
        <v/>
      </c>
      <c r="CU25" s="12" t="str">
        <f>IFERROR(VLOOKUP($BV25,[2]Giacenza_Articoli!$A$2:$AO$10000,31,FALSE),"")</f>
        <v/>
      </c>
      <c r="CV25" s="12" t="str">
        <f>IFERROR(VLOOKUP($BV25,[2]Giacenza_Articoli!$A$2:$AO$10000,32,FALSE),"")</f>
        <v/>
      </c>
      <c r="CW25" s="12" t="str">
        <f>IFERROR(VLOOKUP($BV25,[2]Giacenza_Articoli!$A$2:$AO$10000,33,FALSE),"")</f>
        <v/>
      </c>
      <c r="CX25" s="12" t="str">
        <f>IFERROR(VLOOKUP($BV25,[2]Giacenza_Articoli!$A$2:$AO$10000,34,FALSE),"")</f>
        <v/>
      </c>
      <c r="CY25" s="12" t="str">
        <f>IFERROR(VLOOKUP($BV25,[2]Giacenza_Articoli!$A$2:$AO$10000,37,FALSE),"")</f>
        <v/>
      </c>
      <c r="CZ25" s="12" t="str">
        <f>IFERROR(VLOOKUP($BV25,[2]Giacenza_Articoli!$A$2:$AO$10000,38,FALSE),"")</f>
        <v/>
      </c>
      <c r="DA25" s="12" t="str">
        <f>IFERROR(VLOOKUP($BV25,[2]Giacenza_Articoli!$A$2:$AO$10000,39,FALSE),"")</f>
        <v/>
      </c>
    </row>
    <row r="26" spans="1:105" ht="11.1" customHeight="1">
      <c r="A26" s="5">
        <v>1</v>
      </c>
      <c r="B26" s="71">
        <v>4</v>
      </c>
      <c r="C26" s="72"/>
      <c r="D26" s="72"/>
      <c r="E26" s="73" t="s">
        <v>318</v>
      </c>
      <c r="F26" s="73"/>
      <c r="G26" s="73"/>
      <c r="H26" s="73"/>
      <c r="I26" s="73"/>
      <c r="J26" s="73"/>
      <c r="K26" s="73"/>
      <c r="L26" s="73"/>
      <c r="M26" s="73"/>
      <c r="N26" s="73">
        <v>11700</v>
      </c>
      <c r="O26" s="73"/>
      <c r="P26" s="73"/>
      <c r="Q26" s="73"/>
      <c r="R26" s="73"/>
      <c r="S26" s="175">
        <v>36</v>
      </c>
      <c r="T26" s="176"/>
      <c r="U26" s="176"/>
      <c r="V26" s="177"/>
      <c r="W26" s="175" t="s">
        <v>144</v>
      </c>
      <c r="X26" s="176"/>
      <c r="Y26" s="177"/>
      <c r="Z26" s="175"/>
      <c r="AA26" s="176"/>
      <c r="AB26" s="176"/>
      <c r="AC26" s="176"/>
      <c r="AD26" s="177"/>
      <c r="AE26" s="73"/>
      <c r="AF26" s="73"/>
      <c r="AG26" s="73"/>
      <c r="AH26" s="73" t="s">
        <v>154</v>
      </c>
      <c r="AI26" s="73"/>
      <c r="AJ26" s="174"/>
      <c r="AK26" s="6"/>
      <c r="AL26" s="6"/>
      <c r="AM26" s="71" t="s">
        <v>27</v>
      </c>
      <c r="AN26" s="72"/>
      <c r="AO26" s="72"/>
      <c r="AP26" s="72"/>
      <c r="AQ26" s="72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4"/>
      <c r="BR26" s="75"/>
      <c r="BS26" s="75"/>
      <c r="BT26" s="75"/>
      <c r="BU26" s="76"/>
      <c r="BV26" s="64"/>
      <c r="BW26" s="12" t="str">
        <f>IFERROR(VLOOKUP($BV26,[2]Giacenza_Articoli!$A$2:$AO$10000,7,FALSE),"")</f>
        <v/>
      </c>
      <c r="BX26" s="12" t="str">
        <f>IFERROR(VLOOKUP($BV26,[2]Giacenza_Articoli!$A$2:$AO$10000,8,FALSE),"")</f>
        <v/>
      </c>
      <c r="BY26" s="12" t="str">
        <f>IFERROR(VLOOKUP($BV26,[2]Giacenza_Articoli!$A$2:$AO$10000,9,FALSE),"")</f>
        <v/>
      </c>
      <c r="BZ26" s="12" t="str">
        <f>IFERROR(VLOOKUP($BV26,[2]Giacenza_Articoli!$A$2:$AO$10000,10,FALSE),"")</f>
        <v/>
      </c>
      <c r="CA26" s="12" t="str">
        <f>IFERROR(VLOOKUP($BV26,[2]Giacenza_Articoli!$A$2:$AO$10000,11,FALSE),"")</f>
        <v/>
      </c>
      <c r="CB26" s="12" t="str">
        <f>IFERROR(VLOOKUP($BV26,[2]Giacenza_Articoli!$A$2:$AO$10000,12,FALSE),"")</f>
        <v/>
      </c>
      <c r="CC26" s="12" t="str">
        <f>IFERROR(VLOOKUP($BV26,[2]Giacenza_Articoli!$A$2:$AO$10000,13,FALSE),"")</f>
        <v/>
      </c>
      <c r="CD26" s="12" t="str">
        <f>IFERROR(VLOOKUP($BV26,[2]Giacenza_Articoli!$A$2:$AO$10000,14,FALSE),"")</f>
        <v/>
      </c>
      <c r="CE26" s="12" t="str">
        <f>IFERROR(VLOOKUP($BV26,[2]Giacenza_Articoli!$A$2:$AO$10000,15,FALSE),"")</f>
        <v/>
      </c>
      <c r="CF26" s="12" t="str">
        <f>IFERROR(VLOOKUP($BV26,[2]Giacenza_Articoli!$A$2:$AO$10000,16,FALSE),"")</f>
        <v/>
      </c>
      <c r="CG26" s="12" t="str">
        <f>IFERROR(VLOOKUP($BV26,[2]Giacenza_Articoli!$A$2:$AO$10000,17,FALSE),"")</f>
        <v/>
      </c>
      <c r="CH26" s="12" t="str">
        <f>IFERROR(VLOOKUP($BV26,[2]Giacenza_Articoli!$A$2:$AO$10000,18,FALSE),"")</f>
        <v/>
      </c>
      <c r="CI26" s="12" t="str">
        <f>IFERROR(VLOOKUP($BV26,[2]Giacenza_Articoli!$A$2:$AO$10000,19,FALSE),"")</f>
        <v/>
      </c>
      <c r="CJ26" s="12" t="str">
        <f>IFERROR(VLOOKUP($BV26,[2]Giacenza_Articoli!$A$2:$AO$10000,20,FALSE),"")</f>
        <v/>
      </c>
      <c r="CK26" s="12" t="str">
        <f>IFERROR(VLOOKUP($BV26,[2]Giacenza_Articoli!$A$2:$AO$10000,21,FALSE),"")</f>
        <v/>
      </c>
      <c r="CL26" s="12" t="str">
        <f>IFERROR(VLOOKUP($BV26,[2]Giacenza_Articoli!$A$2:$AO$10000,22,FALSE),"")</f>
        <v/>
      </c>
      <c r="CM26" s="12" t="str">
        <f>IFERROR(VLOOKUP($BV26,[2]Giacenza_Articoli!$A$2:$AO$10000,23,FALSE),"")</f>
        <v/>
      </c>
      <c r="CN26" s="12" t="str">
        <f>IFERROR(VLOOKUP($BV26,[2]Giacenza_Articoli!$A$2:$AO$10000,24,FALSE),"")</f>
        <v/>
      </c>
      <c r="CO26" s="12" t="str">
        <f>IFERROR(VLOOKUP($BV26,[2]Giacenza_Articoli!$A$2:$AO$10000,25,FALSE),"")</f>
        <v/>
      </c>
      <c r="CP26" s="12" t="str">
        <f>IFERROR(VLOOKUP($BV26,[2]Giacenza_Articoli!$A$2:$AO$10000,26,FALSE),"")</f>
        <v/>
      </c>
      <c r="CQ26" s="12" t="str">
        <f>IFERROR(VLOOKUP($BV26,[2]Giacenza_Articoli!$A$2:$AO$10000,27,FALSE),"")</f>
        <v/>
      </c>
      <c r="CR26" s="12" t="str">
        <f>IFERROR(VLOOKUP($BV26,[2]Giacenza_Articoli!$A$2:$AO$10000,28,FALSE),"")</f>
        <v/>
      </c>
      <c r="CS26" s="12" t="str">
        <f>IFERROR(VLOOKUP($BV26,[2]Giacenza_Articoli!$A$2:$AO$10000,29,FALSE),"")</f>
        <v/>
      </c>
      <c r="CT26" s="12" t="str">
        <f>IFERROR(VLOOKUP($BV26,[2]Giacenza_Articoli!$A$2:$AO$10000,30,FALSE),"")</f>
        <v/>
      </c>
      <c r="CU26" s="12" t="str">
        <f>IFERROR(VLOOKUP($BV26,[2]Giacenza_Articoli!$A$2:$AO$10000,31,FALSE),"")</f>
        <v/>
      </c>
      <c r="CV26" s="12" t="str">
        <f>IFERROR(VLOOKUP($BV26,[2]Giacenza_Articoli!$A$2:$AO$10000,32,FALSE),"")</f>
        <v/>
      </c>
      <c r="CW26" s="12" t="str">
        <f>IFERROR(VLOOKUP($BV26,[2]Giacenza_Articoli!$A$2:$AO$10000,33,FALSE),"")</f>
        <v/>
      </c>
      <c r="CX26" s="12" t="str">
        <f>IFERROR(VLOOKUP($BV26,[2]Giacenza_Articoli!$A$2:$AO$10000,34,FALSE),"")</f>
        <v/>
      </c>
      <c r="CY26" s="12" t="str">
        <f>IFERROR(VLOOKUP($BV26,[2]Giacenza_Articoli!$A$2:$AO$10000,37,FALSE),"")</f>
        <v/>
      </c>
      <c r="CZ26" s="12" t="str">
        <f>IFERROR(VLOOKUP($BV26,[2]Giacenza_Articoli!$A$2:$AO$10000,38,FALSE),"")</f>
        <v/>
      </c>
      <c r="DA26" s="12" t="str">
        <f>IFERROR(VLOOKUP($BV26,[2]Giacenza_Articoli!$A$2:$AO$10000,39,FALSE),"")</f>
        <v/>
      </c>
    </row>
    <row r="27" spans="1:105" ht="11.1" customHeight="1">
      <c r="A27" s="5">
        <v>1</v>
      </c>
      <c r="B27" s="71"/>
      <c r="C27" s="72"/>
      <c r="D27" s="72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178"/>
      <c r="T27" s="179"/>
      <c r="U27" s="179"/>
      <c r="V27" s="180"/>
      <c r="W27" s="178"/>
      <c r="X27" s="179"/>
      <c r="Y27" s="180"/>
      <c r="Z27" s="178"/>
      <c r="AA27" s="179"/>
      <c r="AB27" s="179"/>
      <c r="AC27" s="179"/>
      <c r="AD27" s="180"/>
      <c r="AE27" s="73"/>
      <c r="AF27" s="73"/>
      <c r="AG27" s="73"/>
      <c r="AH27" s="73"/>
      <c r="AI27" s="73"/>
      <c r="AJ27" s="174"/>
      <c r="AK27" s="6"/>
      <c r="AL27" s="6"/>
      <c r="AM27" s="71"/>
      <c r="AN27" s="72"/>
      <c r="AO27" s="72"/>
      <c r="AP27" s="72"/>
      <c r="AQ27" s="72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4"/>
      <c r="BR27" s="75"/>
      <c r="BS27" s="75"/>
      <c r="BT27" s="75"/>
      <c r="BU27" s="76"/>
      <c r="BV27" s="64"/>
      <c r="BW27" s="12" t="str">
        <f>IFERROR(VLOOKUP($BV27,[2]Giacenza_Articoli!$A$2:$AO$10000,7,FALSE),"")</f>
        <v/>
      </c>
      <c r="BX27" s="12" t="str">
        <f>IFERROR(VLOOKUP($BV27,[2]Giacenza_Articoli!$A$2:$AO$10000,8,FALSE),"")</f>
        <v/>
      </c>
      <c r="BY27" s="12" t="str">
        <f>IFERROR(VLOOKUP($BV27,[2]Giacenza_Articoli!$A$2:$AO$10000,9,FALSE),"")</f>
        <v/>
      </c>
      <c r="BZ27" s="12" t="str">
        <f>IFERROR(VLOOKUP($BV27,[2]Giacenza_Articoli!$A$2:$AO$10000,10,FALSE),"")</f>
        <v/>
      </c>
      <c r="CA27" s="12" t="str">
        <f>IFERROR(VLOOKUP($BV27,[2]Giacenza_Articoli!$A$2:$AO$10000,11,FALSE),"")</f>
        <v/>
      </c>
      <c r="CB27" s="12" t="str">
        <f>IFERROR(VLOOKUP($BV27,[2]Giacenza_Articoli!$A$2:$AO$10000,12,FALSE),"")</f>
        <v/>
      </c>
      <c r="CC27" s="12" t="str">
        <f>IFERROR(VLOOKUP($BV27,[2]Giacenza_Articoli!$A$2:$AO$10000,13,FALSE),"")</f>
        <v/>
      </c>
      <c r="CD27" s="12" t="str">
        <f>IFERROR(VLOOKUP($BV27,[2]Giacenza_Articoli!$A$2:$AO$10000,14,FALSE),"")</f>
        <v/>
      </c>
      <c r="CE27" s="12" t="str">
        <f>IFERROR(VLOOKUP($BV27,[2]Giacenza_Articoli!$A$2:$AO$10000,15,FALSE),"")</f>
        <v/>
      </c>
      <c r="CF27" s="12" t="str">
        <f>IFERROR(VLOOKUP($BV27,[2]Giacenza_Articoli!$A$2:$AO$10000,16,FALSE),"")</f>
        <v/>
      </c>
      <c r="CG27" s="12" t="str">
        <f>IFERROR(VLOOKUP($BV27,[2]Giacenza_Articoli!$A$2:$AO$10000,17,FALSE),"")</f>
        <v/>
      </c>
      <c r="CH27" s="12" t="str">
        <f>IFERROR(VLOOKUP($BV27,[2]Giacenza_Articoli!$A$2:$AO$10000,18,FALSE),"")</f>
        <v/>
      </c>
      <c r="CI27" s="12" t="str">
        <f>IFERROR(VLOOKUP($BV27,[2]Giacenza_Articoli!$A$2:$AO$10000,19,FALSE),"")</f>
        <v/>
      </c>
      <c r="CJ27" s="12" t="str">
        <f>IFERROR(VLOOKUP($BV27,[2]Giacenza_Articoli!$A$2:$AO$10000,20,FALSE),"")</f>
        <v/>
      </c>
      <c r="CK27" s="12" t="str">
        <f>IFERROR(VLOOKUP($BV27,[2]Giacenza_Articoli!$A$2:$AO$10000,21,FALSE),"")</f>
        <v/>
      </c>
      <c r="CL27" s="12" t="str">
        <f>IFERROR(VLOOKUP($BV27,[2]Giacenza_Articoli!$A$2:$AO$10000,22,FALSE),"")</f>
        <v/>
      </c>
      <c r="CM27" s="12" t="str">
        <f>IFERROR(VLOOKUP($BV27,[2]Giacenza_Articoli!$A$2:$AO$10000,23,FALSE),"")</f>
        <v/>
      </c>
      <c r="CN27" s="12" t="str">
        <f>IFERROR(VLOOKUP($BV27,[2]Giacenza_Articoli!$A$2:$AO$10000,24,FALSE),"")</f>
        <v/>
      </c>
      <c r="CO27" s="12" t="str">
        <f>IFERROR(VLOOKUP($BV27,[2]Giacenza_Articoli!$A$2:$AO$10000,25,FALSE),"")</f>
        <v/>
      </c>
      <c r="CP27" s="12" t="str">
        <f>IFERROR(VLOOKUP($BV27,[2]Giacenza_Articoli!$A$2:$AO$10000,26,FALSE),"")</f>
        <v/>
      </c>
      <c r="CQ27" s="12" t="str">
        <f>IFERROR(VLOOKUP($BV27,[2]Giacenza_Articoli!$A$2:$AO$10000,27,FALSE),"")</f>
        <v/>
      </c>
      <c r="CR27" s="12" t="str">
        <f>IFERROR(VLOOKUP($BV27,[2]Giacenza_Articoli!$A$2:$AO$10000,28,FALSE),"")</f>
        <v/>
      </c>
      <c r="CS27" s="12" t="str">
        <f>IFERROR(VLOOKUP($BV27,[2]Giacenza_Articoli!$A$2:$AO$10000,29,FALSE),"")</f>
        <v/>
      </c>
      <c r="CT27" s="12" t="str">
        <f>IFERROR(VLOOKUP($BV27,[2]Giacenza_Articoli!$A$2:$AO$10000,30,FALSE),"")</f>
        <v/>
      </c>
      <c r="CU27" s="12" t="str">
        <f>IFERROR(VLOOKUP($BV27,[2]Giacenza_Articoli!$A$2:$AO$10000,31,FALSE),"")</f>
        <v/>
      </c>
      <c r="CV27" s="12" t="str">
        <f>IFERROR(VLOOKUP($BV27,[2]Giacenza_Articoli!$A$2:$AO$10000,32,FALSE),"")</f>
        <v/>
      </c>
      <c r="CW27" s="12" t="str">
        <f>IFERROR(VLOOKUP($BV27,[2]Giacenza_Articoli!$A$2:$AO$10000,33,FALSE),"")</f>
        <v/>
      </c>
      <c r="CX27" s="12" t="str">
        <f>IFERROR(VLOOKUP($BV27,[2]Giacenza_Articoli!$A$2:$AO$10000,34,FALSE),"")</f>
        <v/>
      </c>
      <c r="CY27" s="12" t="str">
        <f>IFERROR(VLOOKUP($BV27,[2]Giacenza_Articoli!$A$2:$AO$10000,37,FALSE),"")</f>
        <v/>
      </c>
      <c r="CZ27" s="12" t="str">
        <f>IFERROR(VLOOKUP($BV27,[2]Giacenza_Articoli!$A$2:$AO$10000,38,FALSE),"")</f>
        <v/>
      </c>
      <c r="DA27" s="12" t="str">
        <f>IFERROR(VLOOKUP($BV27,[2]Giacenza_Articoli!$A$2:$AO$10000,39,FALSE),"")</f>
        <v/>
      </c>
    </row>
    <row r="28" spans="1:105" ht="11.1" customHeight="1">
      <c r="A28" s="5">
        <v>1</v>
      </c>
      <c r="B28" s="71">
        <v>5</v>
      </c>
      <c r="C28" s="72"/>
      <c r="D28" s="72"/>
      <c r="E28" s="73" t="s">
        <v>318</v>
      </c>
      <c r="F28" s="73"/>
      <c r="G28" s="73"/>
      <c r="H28" s="73"/>
      <c r="I28" s="73"/>
      <c r="J28" s="73"/>
      <c r="K28" s="73"/>
      <c r="L28" s="73"/>
      <c r="M28" s="73"/>
      <c r="N28" s="73">
        <v>11700</v>
      </c>
      <c r="O28" s="73"/>
      <c r="P28" s="73"/>
      <c r="Q28" s="73"/>
      <c r="R28" s="73"/>
      <c r="S28" s="175">
        <v>36</v>
      </c>
      <c r="T28" s="176"/>
      <c r="U28" s="176"/>
      <c r="V28" s="177"/>
      <c r="W28" s="175" t="s">
        <v>144</v>
      </c>
      <c r="X28" s="176"/>
      <c r="Y28" s="177"/>
      <c r="Z28" s="175"/>
      <c r="AA28" s="176"/>
      <c r="AB28" s="176"/>
      <c r="AC28" s="176"/>
      <c r="AD28" s="177"/>
      <c r="AE28" s="73"/>
      <c r="AF28" s="73"/>
      <c r="AG28" s="73"/>
      <c r="AH28" s="73" t="s">
        <v>154</v>
      </c>
      <c r="AI28" s="73"/>
      <c r="AJ28" s="174"/>
      <c r="AK28" s="6"/>
      <c r="AL28" s="6"/>
      <c r="AM28" s="71"/>
      <c r="AN28" s="72"/>
      <c r="AO28" s="72"/>
      <c r="AP28" s="72"/>
      <c r="AQ28" s="72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4"/>
      <c r="BR28" s="75"/>
      <c r="BS28" s="75"/>
      <c r="BT28" s="75"/>
      <c r="BU28" s="76"/>
      <c r="BV28" s="64"/>
      <c r="BW28" s="12" t="str">
        <f>IFERROR(VLOOKUP($BV28,[2]Giacenza_Articoli!$A$2:$AO$10000,7,FALSE),"")</f>
        <v/>
      </c>
      <c r="BX28" s="12" t="str">
        <f>IFERROR(VLOOKUP($BV28,[2]Giacenza_Articoli!$A$2:$AO$10000,8,FALSE),"")</f>
        <v/>
      </c>
      <c r="BY28" s="12" t="str">
        <f>IFERROR(VLOOKUP($BV28,[2]Giacenza_Articoli!$A$2:$AO$10000,9,FALSE),"")</f>
        <v/>
      </c>
      <c r="BZ28" s="12" t="str">
        <f>IFERROR(VLOOKUP($BV28,[2]Giacenza_Articoli!$A$2:$AO$10000,10,FALSE),"")</f>
        <v/>
      </c>
      <c r="CA28" s="12" t="str">
        <f>IFERROR(VLOOKUP($BV28,[2]Giacenza_Articoli!$A$2:$AO$10000,11,FALSE),"")</f>
        <v/>
      </c>
      <c r="CB28" s="12" t="str">
        <f>IFERROR(VLOOKUP($BV28,[2]Giacenza_Articoli!$A$2:$AO$10000,12,FALSE),"")</f>
        <v/>
      </c>
      <c r="CC28" s="12" t="str">
        <f>IFERROR(VLOOKUP($BV28,[2]Giacenza_Articoli!$A$2:$AO$10000,13,FALSE),"")</f>
        <v/>
      </c>
      <c r="CD28" s="12" t="str">
        <f>IFERROR(VLOOKUP($BV28,[2]Giacenza_Articoli!$A$2:$AO$10000,14,FALSE),"")</f>
        <v/>
      </c>
      <c r="CE28" s="12" t="str">
        <f>IFERROR(VLOOKUP($BV28,[2]Giacenza_Articoli!$A$2:$AO$10000,15,FALSE),"")</f>
        <v/>
      </c>
      <c r="CF28" s="12" t="str">
        <f>IFERROR(VLOOKUP($BV28,[2]Giacenza_Articoli!$A$2:$AO$10000,16,FALSE),"")</f>
        <v/>
      </c>
      <c r="CG28" s="12" t="str">
        <f>IFERROR(VLOOKUP($BV28,[2]Giacenza_Articoli!$A$2:$AO$10000,17,FALSE),"")</f>
        <v/>
      </c>
      <c r="CH28" s="12" t="str">
        <f>IFERROR(VLOOKUP($BV28,[2]Giacenza_Articoli!$A$2:$AO$10000,18,FALSE),"")</f>
        <v/>
      </c>
      <c r="CI28" s="12" t="str">
        <f>IFERROR(VLOOKUP($BV28,[2]Giacenza_Articoli!$A$2:$AO$10000,19,FALSE),"")</f>
        <v/>
      </c>
      <c r="CJ28" s="12" t="str">
        <f>IFERROR(VLOOKUP($BV28,[2]Giacenza_Articoli!$A$2:$AO$10000,20,FALSE),"")</f>
        <v/>
      </c>
      <c r="CK28" s="12" t="str">
        <f>IFERROR(VLOOKUP($BV28,[2]Giacenza_Articoli!$A$2:$AO$10000,21,FALSE),"")</f>
        <v/>
      </c>
      <c r="CL28" s="12" t="str">
        <f>IFERROR(VLOOKUP($BV28,[2]Giacenza_Articoli!$A$2:$AO$10000,22,FALSE),"")</f>
        <v/>
      </c>
      <c r="CM28" s="12" t="str">
        <f>IFERROR(VLOOKUP($BV28,[2]Giacenza_Articoli!$A$2:$AO$10000,23,FALSE),"")</f>
        <v/>
      </c>
      <c r="CN28" s="12" t="str">
        <f>IFERROR(VLOOKUP($BV28,[2]Giacenza_Articoli!$A$2:$AO$10000,24,FALSE),"")</f>
        <v/>
      </c>
      <c r="CO28" s="12" t="str">
        <f>IFERROR(VLOOKUP($BV28,[2]Giacenza_Articoli!$A$2:$AO$10000,25,FALSE),"")</f>
        <v/>
      </c>
      <c r="CP28" s="12" t="str">
        <f>IFERROR(VLOOKUP($BV28,[2]Giacenza_Articoli!$A$2:$AO$10000,26,FALSE),"")</f>
        <v/>
      </c>
      <c r="CQ28" s="12" t="str">
        <f>IFERROR(VLOOKUP($BV28,[2]Giacenza_Articoli!$A$2:$AO$10000,27,FALSE),"")</f>
        <v/>
      </c>
      <c r="CR28" s="12" t="str">
        <f>IFERROR(VLOOKUP($BV28,[2]Giacenza_Articoli!$A$2:$AO$10000,28,FALSE),"")</f>
        <v/>
      </c>
      <c r="CS28" s="12" t="str">
        <f>IFERROR(VLOOKUP($BV28,[2]Giacenza_Articoli!$A$2:$AO$10000,29,FALSE),"")</f>
        <v/>
      </c>
      <c r="CT28" s="12" t="str">
        <f>IFERROR(VLOOKUP($BV28,[2]Giacenza_Articoli!$A$2:$AO$10000,30,FALSE),"")</f>
        <v/>
      </c>
      <c r="CU28" s="12" t="str">
        <f>IFERROR(VLOOKUP($BV28,[2]Giacenza_Articoli!$A$2:$AO$10000,31,FALSE),"")</f>
        <v/>
      </c>
      <c r="CV28" s="12" t="str">
        <f>IFERROR(VLOOKUP($BV28,[2]Giacenza_Articoli!$A$2:$AO$10000,32,FALSE),"")</f>
        <v/>
      </c>
      <c r="CW28" s="12" t="str">
        <f>IFERROR(VLOOKUP($BV28,[2]Giacenza_Articoli!$A$2:$AO$10000,33,FALSE),"")</f>
        <v/>
      </c>
      <c r="CX28" s="12" t="str">
        <f>IFERROR(VLOOKUP($BV28,[2]Giacenza_Articoli!$A$2:$AO$10000,34,FALSE),"")</f>
        <v/>
      </c>
      <c r="CY28" s="12" t="str">
        <f>IFERROR(VLOOKUP($BV28,[2]Giacenza_Articoli!$A$2:$AO$10000,37,FALSE),"")</f>
        <v/>
      </c>
      <c r="CZ28" s="12" t="str">
        <f>IFERROR(VLOOKUP($BV28,[2]Giacenza_Articoli!$A$2:$AO$10000,38,FALSE),"")</f>
        <v/>
      </c>
      <c r="DA28" s="12" t="str">
        <f>IFERROR(VLOOKUP($BV28,[2]Giacenza_Articoli!$A$2:$AO$10000,39,FALSE),"")</f>
        <v/>
      </c>
    </row>
    <row r="29" spans="1:105" ht="11.1" customHeight="1">
      <c r="A29" s="5">
        <v>1</v>
      </c>
      <c r="B29" s="71"/>
      <c r="C29" s="72"/>
      <c r="D29" s="72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178"/>
      <c r="T29" s="179"/>
      <c r="U29" s="179"/>
      <c r="V29" s="180"/>
      <c r="W29" s="178"/>
      <c r="X29" s="179"/>
      <c r="Y29" s="180"/>
      <c r="Z29" s="178"/>
      <c r="AA29" s="179"/>
      <c r="AB29" s="179"/>
      <c r="AC29" s="179"/>
      <c r="AD29" s="180"/>
      <c r="AE29" s="73"/>
      <c r="AF29" s="73"/>
      <c r="AG29" s="73"/>
      <c r="AH29" s="73"/>
      <c r="AI29" s="73"/>
      <c r="AJ29" s="174"/>
      <c r="AK29" s="6"/>
      <c r="AL29" s="6"/>
      <c r="AM29" s="71" t="s">
        <v>28</v>
      </c>
      <c r="AN29" s="72"/>
      <c r="AO29" s="72"/>
      <c r="AP29" s="72"/>
      <c r="AQ29" s="72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4"/>
      <c r="BR29" s="75"/>
      <c r="BS29" s="75"/>
      <c r="BT29" s="75"/>
      <c r="BU29" s="76"/>
      <c r="BV29" s="64"/>
      <c r="BW29" s="12" t="str">
        <f>IFERROR(VLOOKUP($BV29,[2]Giacenza_Articoli!$A$2:$AO$10000,7,FALSE),"")</f>
        <v/>
      </c>
      <c r="BX29" s="12" t="str">
        <f>IFERROR(VLOOKUP($BV29,[2]Giacenza_Articoli!$A$2:$AO$10000,8,FALSE),"")</f>
        <v/>
      </c>
      <c r="BY29" s="12" t="str">
        <f>IFERROR(VLOOKUP($BV29,[2]Giacenza_Articoli!$A$2:$AO$10000,9,FALSE),"")</f>
        <v/>
      </c>
      <c r="BZ29" s="12" t="str">
        <f>IFERROR(VLOOKUP($BV29,[2]Giacenza_Articoli!$A$2:$AO$10000,10,FALSE),"")</f>
        <v/>
      </c>
      <c r="CA29" s="12" t="str">
        <f>IFERROR(VLOOKUP($BV29,[2]Giacenza_Articoli!$A$2:$AO$10000,11,FALSE),"")</f>
        <v/>
      </c>
      <c r="CB29" s="12" t="str">
        <f>IFERROR(VLOOKUP($BV29,[2]Giacenza_Articoli!$A$2:$AO$10000,12,FALSE),"")</f>
        <v/>
      </c>
      <c r="CC29" s="12" t="str">
        <f>IFERROR(VLOOKUP($BV29,[2]Giacenza_Articoli!$A$2:$AO$10000,13,FALSE),"")</f>
        <v/>
      </c>
      <c r="CD29" s="12" t="str">
        <f>IFERROR(VLOOKUP($BV29,[2]Giacenza_Articoli!$A$2:$AO$10000,14,FALSE),"")</f>
        <v/>
      </c>
      <c r="CE29" s="12" t="str">
        <f>IFERROR(VLOOKUP($BV29,[2]Giacenza_Articoli!$A$2:$AO$10000,15,FALSE),"")</f>
        <v/>
      </c>
      <c r="CF29" s="12" t="str">
        <f>IFERROR(VLOOKUP($BV29,[2]Giacenza_Articoli!$A$2:$AO$10000,16,FALSE),"")</f>
        <v/>
      </c>
      <c r="CG29" s="12" t="str">
        <f>IFERROR(VLOOKUP($BV29,[2]Giacenza_Articoli!$A$2:$AO$10000,17,FALSE),"")</f>
        <v/>
      </c>
      <c r="CH29" s="12" t="str">
        <f>IFERROR(VLOOKUP($BV29,[2]Giacenza_Articoli!$A$2:$AO$10000,18,FALSE),"")</f>
        <v/>
      </c>
      <c r="CI29" s="12" t="str">
        <f>IFERROR(VLOOKUP($BV29,[2]Giacenza_Articoli!$A$2:$AO$10000,19,FALSE),"")</f>
        <v/>
      </c>
      <c r="CJ29" s="12" t="str">
        <f>IFERROR(VLOOKUP($BV29,[2]Giacenza_Articoli!$A$2:$AO$10000,20,FALSE),"")</f>
        <v/>
      </c>
      <c r="CK29" s="12" t="str">
        <f>IFERROR(VLOOKUP($BV29,[2]Giacenza_Articoli!$A$2:$AO$10000,21,FALSE),"")</f>
        <v/>
      </c>
      <c r="CL29" s="12" t="str">
        <f>IFERROR(VLOOKUP($BV29,[2]Giacenza_Articoli!$A$2:$AO$10000,22,FALSE),"")</f>
        <v/>
      </c>
      <c r="CM29" s="12" t="str">
        <f>IFERROR(VLOOKUP($BV29,[2]Giacenza_Articoli!$A$2:$AO$10000,23,FALSE),"")</f>
        <v/>
      </c>
      <c r="CN29" s="12" t="str">
        <f>IFERROR(VLOOKUP($BV29,[2]Giacenza_Articoli!$A$2:$AO$10000,24,FALSE),"")</f>
        <v/>
      </c>
      <c r="CO29" s="12" t="str">
        <f>IFERROR(VLOOKUP($BV29,[2]Giacenza_Articoli!$A$2:$AO$10000,25,FALSE),"")</f>
        <v/>
      </c>
      <c r="CP29" s="12" t="str">
        <f>IFERROR(VLOOKUP($BV29,[2]Giacenza_Articoli!$A$2:$AO$10000,26,FALSE),"")</f>
        <v/>
      </c>
      <c r="CQ29" s="12" t="str">
        <f>IFERROR(VLOOKUP($BV29,[2]Giacenza_Articoli!$A$2:$AO$10000,27,FALSE),"")</f>
        <v/>
      </c>
      <c r="CR29" s="12" t="str">
        <f>IFERROR(VLOOKUP($BV29,[2]Giacenza_Articoli!$A$2:$AO$10000,28,FALSE),"")</f>
        <v/>
      </c>
      <c r="CS29" s="12" t="str">
        <f>IFERROR(VLOOKUP($BV29,[2]Giacenza_Articoli!$A$2:$AO$10000,29,FALSE),"")</f>
        <v/>
      </c>
      <c r="CT29" s="12" t="str">
        <f>IFERROR(VLOOKUP($BV29,[2]Giacenza_Articoli!$A$2:$AO$10000,30,FALSE),"")</f>
        <v/>
      </c>
      <c r="CU29" s="12" t="str">
        <f>IFERROR(VLOOKUP($BV29,[2]Giacenza_Articoli!$A$2:$AO$10000,31,FALSE),"")</f>
        <v/>
      </c>
      <c r="CV29" s="12" t="str">
        <f>IFERROR(VLOOKUP($BV29,[2]Giacenza_Articoli!$A$2:$AO$10000,32,FALSE),"")</f>
        <v/>
      </c>
      <c r="CW29" s="12" t="str">
        <f>IFERROR(VLOOKUP($BV29,[2]Giacenza_Articoli!$A$2:$AO$10000,33,FALSE),"")</f>
        <v/>
      </c>
      <c r="CX29" s="12" t="str">
        <f>IFERROR(VLOOKUP($BV29,[2]Giacenza_Articoli!$A$2:$AO$10000,34,FALSE),"")</f>
        <v/>
      </c>
      <c r="CY29" s="12" t="str">
        <f>IFERROR(VLOOKUP($BV29,[2]Giacenza_Articoli!$A$2:$AO$10000,37,FALSE),"")</f>
        <v/>
      </c>
      <c r="CZ29" s="12" t="str">
        <f>IFERROR(VLOOKUP($BV29,[2]Giacenza_Articoli!$A$2:$AO$10000,38,FALSE),"")</f>
        <v/>
      </c>
      <c r="DA29" s="12" t="str">
        <f>IFERROR(VLOOKUP($BV29,[2]Giacenza_Articoli!$A$2:$AO$10000,39,FALSE),"")</f>
        <v/>
      </c>
    </row>
    <row r="30" spans="1:105" ht="11.1" customHeight="1">
      <c r="A30" s="5">
        <v>1</v>
      </c>
      <c r="B30" s="71">
        <v>6</v>
      </c>
      <c r="C30" s="72"/>
      <c r="D30" s="72"/>
      <c r="E30" s="73" t="s">
        <v>318</v>
      </c>
      <c r="F30" s="73"/>
      <c r="G30" s="73"/>
      <c r="H30" s="73"/>
      <c r="I30" s="73"/>
      <c r="J30" s="73"/>
      <c r="K30" s="73"/>
      <c r="L30" s="73"/>
      <c r="M30" s="73"/>
      <c r="N30" s="73">
        <v>10200</v>
      </c>
      <c r="O30" s="73"/>
      <c r="P30" s="73"/>
      <c r="Q30" s="73"/>
      <c r="R30" s="73"/>
      <c r="S30" s="175">
        <v>32</v>
      </c>
      <c r="T30" s="176"/>
      <c r="U30" s="176"/>
      <c r="V30" s="177"/>
      <c r="W30" s="175" t="s">
        <v>144</v>
      </c>
      <c r="X30" s="176"/>
      <c r="Y30" s="177"/>
      <c r="Z30" s="175"/>
      <c r="AA30" s="176"/>
      <c r="AB30" s="176"/>
      <c r="AC30" s="176"/>
      <c r="AD30" s="177"/>
      <c r="AE30" s="73"/>
      <c r="AF30" s="73"/>
      <c r="AG30" s="73"/>
      <c r="AH30" s="73" t="s">
        <v>154</v>
      </c>
      <c r="AI30" s="73"/>
      <c r="AJ30" s="174"/>
      <c r="AK30" s="6"/>
      <c r="AL30" s="6"/>
      <c r="AM30" s="71"/>
      <c r="AN30" s="72"/>
      <c r="AO30" s="72"/>
      <c r="AP30" s="72"/>
      <c r="AQ30" s="72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4"/>
      <c r="BR30" s="75"/>
      <c r="BS30" s="75"/>
      <c r="BT30" s="75"/>
      <c r="BU30" s="76"/>
      <c r="BV30" s="64"/>
      <c r="BW30" s="12" t="str">
        <f>IFERROR(VLOOKUP($BV30,[2]Giacenza_Articoli!$A$2:$AO$10000,7,FALSE),"")</f>
        <v/>
      </c>
      <c r="BX30" s="12" t="str">
        <f>IFERROR(VLOOKUP($BV30,[2]Giacenza_Articoli!$A$2:$AO$10000,8,FALSE),"")</f>
        <v/>
      </c>
      <c r="BY30" s="12" t="str">
        <f>IFERROR(VLOOKUP($BV30,[2]Giacenza_Articoli!$A$2:$AO$10000,9,FALSE),"")</f>
        <v/>
      </c>
      <c r="BZ30" s="12" t="str">
        <f>IFERROR(VLOOKUP($BV30,[2]Giacenza_Articoli!$A$2:$AO$10000,10,FALSE),"")</f>
        <v/>
      </c>
      <c r="CA30" s="12" t="str">
        <f>IFERROR(VLOOKUP($BV30,[2]Giacenza_Articoli!$A$2:$AO$10000,11,FALSE),"")</f>
        <v/>
      </c>
      <c r="CB30" s="12" t="str">
        <f>IFERROR(VLOOKUP($BV30,[2]Giacenza_Articoli!$A$2:$AO$10000,12,FALSE),"")</f>
        <v/>
      </c>
      <c r="CC30" s="12" t="str">
        <f>IFERROR(VLOOKUP($BV30,[2]Giacenza_Articoli!$A$2:$AO$10000,13,FALSE),"")</f>
        <v/>
      </c>
      <c r="CD30" s="12" t="str">
        <f>IFERROR(VLOOKUP($BV30,[2]Giacenza_Articoli!$A$2:$AO$10000,14,FALSE),"")</f>
        <v/>
      </c>
      <c r="CE30" s="12" t="str">
        <f>IFERROR(VLOOKUP($BV30,[2]Giacenza_Articoli!$A$2:$AO$10000,15,FALSE),"")</f>
        <v/>
      </c>
      <c r="CF30" s="12" t="str">
        <f>IFERROR(VLOOKUP($BV30,[2]Giacenza_Articoli!$A$2:$AO$10000,16,FALSE),"")</f>
        <v/>
      </c>
      <c r="CG30" s="12" t="str">
        <f>IFERROR(VLOOKUP($BV30,[2]Giacenza_Articoli!$A$2:$AO$10000,17,FALSE),"")</f>
        <v/>
      </c>
      <c r="CH30" s="12" t="str">
        <f>IFERROR(VLOOKUP($BV30,[2]Giacenza_Articoli!$A$2:$AO$10000,18,FALSE),"")</f>
        <v/>
      </c>
      <c r="CI30" s="12" t="str">
        <f>IFERROR(VLOOKUP($BV30,[2]Giacenza_Articoli!$A$2:$AO$10000,19,FALSE),"")</f>
        <v/>
      </c>
      <c r="CJ30" s="12" t="str">
        <f>IFERROR(VLOOKUP($BV30,[2]Giacenza_Articoli!$A$2:$AO$10000,20,FALSE),"")</f>
        <v/>
      </c>
      <c r="CK30" s="12" t="str">
        <f>IFERROR(VLOOKUP($BV30,[2]Giacenza_Articoli!$A$2:$AO$10000,21,FALSE),"")</f>
        <v/>
      </c>
      <c r="CL30" s="12" t="str">
        <f>IFERROR(VLOOKUP($BV30,[2]Giacenza_Articoli!$A$2:$AO$10000,22,FALSE),"")</f>
        <v/>
      </c>
      <c r="CM30" s="12" t="str">
        <f>IFERROR(VLOOKUP($BV30,[2]Giacenza_Articoli!$A$2:$AO$10000,23,FALSE),"")</f>
        <v/>
      </c>
      <c r="CN30" s="12" t="str">
        <f>IFERROR(VLOOKUP($BV30,[2]Giacenza_Articoli!$A$2:$AO$10000,24,FALSE),"")</f>
        <v/>
      </c>
      <c r="CO30" s="12" t="str">
        <f>IFERROR(VLOOKUP($BV30,[2]Giacenza_Articoli!$A$2:$AO$10000,25,FALSE),"")</f>
        <v/>
      </c>
      <c r="CP30" s="12" t="str">
        <f>IFERROR(VLOOKUP($BV30,[2]Giacenza_Articoli!$A$2:$AO$10000,26,FALSE),"")</f>
        <v/>
      </c>
      <c r="CQ30" s="12" t="str">
        <f>IFERROR(VLOOKUP($BV30,[2]Giacenza_Articoli!$A$2:$AO$10000,27,FALSE),"")</f>
        <v/>
      </c>
      <c r="CR30" s="12" t="str">
        <f>IFERROR(VLOOKUP($BV30,[2]Giacenza_Articoli!$A$2:$AO$10000,28,FALSE),"")</f>
        <v/>
      </c>
      <c r="CS30" s="12" t="str">
        <f>IFERROR(VLOOKUP($BV30,[2]Giacenza_Articoli!$A$2:$AO$10000,29,FALSE),"")</f>
        <v/>
      </c>
      <c r="CT30" s="12" t="str">
        <f>IFERROR(VLOOKUP($BV30,[2]Giacenza_Articoli!$A$2:$AO$10000,30,FALSE),"")</f>
        <v/>
      </c>
      <c r="CU30" s="12" t="str">
        <f>IFERROR(VLOOKUP($BV30,[2]Giacenza_Articoli!$A$2:$AO$10000,31,FALSE),"")</f>
        <v/>
      </c>
      <c r="CV30" s="12" t="str">
        <f>IFERROR(VLOOKUP($BV30,[2]Giacenza_Articoli!$A$2:$AO$10000,32,FALSE),"")</f>
        <v/>
      </c>
      <c r="CW30" s="12" t="str">
        <f>IFERROR(VLOOKUP($BV30,[2]Giacenza_Articoli!$A$2:$AO$10000,33,FALSE),"")</f>
        <v/>
      </c>
      <c r="CX30" s="12" t="str">
        <f>IFERROR(VLOOKUP($BV30,[2]Giacenza_Articoli!$A$2:$AO$10000,34,FALSE),"")</f>
        <v/>
      </c>
      <c r="CY30" s="12" t="str">
        <f>IFERROR(VLOOKUP($BV30,[2]Giacenza_Articoli!$A$2:$AO$10000,37,FALSE),"")</f>
        <v/>
      </c>
      <c r="CZ30" s="12" t="str">
        <f>IFERROR(VLOOKUP($BV30,[2]Giacenza_Articoli!$A$2:$AO$10000,38,FALSE),"")</f>
        <v/>
      </c>
      <c r="DA30" s="12" t="str">
        <f>IFERROR(VLOOKUP($BV30,[2]Giacenza_Articoli!$A$2:$AO$10000,39,FALSE),"")</f>
        <v/>
      </c>
    </row>
    <row r="31" spans="1:105" ht="11.1" customHeight="1">
      <c r="A31" s="5">
        <v>1</v>
      </c>
      <c r="B31" s="71"/>
      <c r="C31" s="72"/>
      <c r="D31" s="72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178"/>
      <c r="T31" s="179"/>
      <c r="U31" s="179"/>
      <c r="V31" s="180"/>
      <c r="W31" s="178"/>
      <c r="X31" s="179"/>
      <c r="Y31" s="180"/>
      <c r="Z31" s="178"/>
      <c r="AA31" s="179"/>
      <c r="AB31" s="179"/>
      <c r="AC31" s="179"/>
      <c r="AD31" s="180"/>
      <c r="AE31" s="73"/>
      <c r="AF31" s="73"/>
      <c r="AG31" s="73"/>
      <c r="AH31" s="73"/>
      <c r="AI31" s="73"/>
      <c r="AJ31" s="174"/>
      <c r="AK31" s="6"/>
      <c r="AL31" s="6"/>
      <c r="AM31" s="71"/>
      <c r="AN31" s="72"/>
      <c r="AO31" s="72"/>
      <c r="AP31" s="72"/>
      <c r="AQ31" s="72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4"/>
      <c r="BR31" s="75"/>
      <c r="BS31" s="75"/>
      <c r="BT31" s="75"/>
      <c r="BU31" s="76"/>
      <c r="BV31" s="64"/>
      <c r="BW31" s="12" t="str">
        <f>IFERROR(VLOOKUP($BV31,[2]Giacenza_Articoli!$A$2:$AO$10000,7,FALSE),"")</f>
        <v/>
      </c>
      <c r="BX31" s="12" t="str">
        <f>IFERROR(VLOOKUP($BV31,[2]Giacenza_Articoli!$A$2:$AO$10000,8,FALSE),"")</f>
        <v/>
      </c>
      <c r="BY31" s="12" t="str">
        <f>IFERROR(VLOOKUP($BV31,[2]Giacenza_Articoli!$A$2:$AO$10000,9,FALSE),"")</f>
        <v/>
      </c>
      <c r="BZ31" s="12" t="str">
        <f>IFERROR(VLOOKUP($BV31,[2]Giacenza_Articoli!$A$2:$AO$10000,10,FALSE),"")</f>
        <v/>
      </c>
      <c r="CA31" s="12" t="str">
        <f>IFERROR(VLOOKUP($BV31,[2]Giacenza_Articoli!$A$2:$AO$10000,11,FALSE),"")</f>
        <v/>
      </c>
      <c r="CB31" s="12" t="str">
        <f>IFERROR(VLOOKUP($BV31,[2]Giacenza_Articoli!$A$2:$AO$10000,12,FALSE),"")</f>
        <v/>
      </c>
      <c r="CC31" s="12" t="str">
        <f>IFERROR(VLOOKUP($BV31,[2]Giacenza_Articoli!$A$2:$AO$10000,13,FALSE),"")</f>
        <v/>
      </c>
      <c r="CD31" s="12" t="str">
        <f>IFERROR(VLOOKUP($BV31,[2]Giacenza_Articoli!$A$2:$AO$10000,14,FALSE),"")</f>
        <v/>
      </c>
      <c r="CE31" s="12" t="str">
        <f>IFERROR(VLOOKUP($BV31,[2]Giacenza_Articoli!$A$2:$AO$10000,15,FALSE),"")</f>
        <v/>
      </c>
      <c r="CF31" s="12" t="str">
        <f>IFERROR(VLOOKUP($BV31,[2]Giacenza_Articoli!$A$2:$AO$10000,16,FALSE),"")</f>
        <v/>
      </c>
      <c r="CG31" s="12" t="str">
        <f>IFERROR(VLOOKUP($BV31,[2]Giacenza_Articoli!$A$2:$AO$10000,17,FALSE),"")</f>
        <v/>
      </c>
      <c r="CH31" s="12" t="str">
        <f>IFERROR(VLOOKUP($BV31,[2]Giacenza_Articoli!$A$2:$AO$10000,18,FALSE),"")</f>
        <v/>
      </c>
      <c r="CI31" s="12" t="str">
        <f>IFERROR(VLOOKUP($BV31,[2]Giacenza_Articoli!$A$2:$AO$10000,19,FALSE),"")</f>
        <v/>
      </c>
      <c r="CJ31" s="12" t="str">
        <f>IFERROR(VLOOKUP($BV31,[2]Giacenza_Articoli!$A$2:$AO$10000,20,FALSE),"")</f>
        <v/>
      </c>
      <c r="CK31" s="12" t="str">
        <f>IFERROR(VLOOKUP($BV31,[2]Giacenza_Articoli!$A$2:$AO$10000,21,FALSE),"")</f>
        <v/>
      </c>
      <c r="CL31" s="12" t="str">
        <f>IFERROR(VLOOKUP($BV31,[2]Giacenza_Articoli!$A$2:$AO$10000,22,FALSE),"")</f>
        <v/>
      </c>
      <c r="CM31" s="12" t="str">
        <f>IFERROR(VLOOKUP($BV31,[2]Giacenza_Articoli!$A$2:$AO$10000,23,FALSE),"")</f>
        <v/>
      </c>
      <c r="CN31" s="12" t="str">
        <f>IFERROR(VLOOKUP($BV31,[2]Giacenza_Articoli!$A$2:$AO$10000,24,FALSE),"")</f>
        <v/>
      </c>
      <c r="CO31" s="12" t="str">
        <f>IFERROR(VLOOKUP($BV31,[2]Giacenza_Articoli!$A$2:$AO$10000,25,FALSE),"")</f>
        <v/>
      </c>
      <c r="CP31" s="12" t="str">
        <f>IFERROR(VLOOKUP($BV31,[2]Giacenza_Articoli!$A$2:$AO$10000,26,FALSE),"")</f>
        <v/>
      </c>
      <c r="CQ31" s="12" t="str">
        <f>IFERROR(VLOOKUP($BV31,[2]Giacenza_Articoli!$A$2:$AO$10000,27,FALSE),"")</f>
        <v/>
      </c>
      <c r="CR31" s="12" t="str">
        <f>IFERROR(VLOOKUP($BV31,[2]Giacenza_Articoli!$A$2:$AO$10000,28,FALSE),"")</f>
        <v/>
      </c>
      <c r="CS31" s="12" t="str">
        <f>IFERROR(VLOOKUP($BV31,[2]Giacenza_Articoli!$A$2:$AO$10000,29,FALSE),"")</f>
        <v/>
      </c>
      <c r="CT31" s="12" t="str">
        <f>IFERROR(VLOOKUP($BV31,[2]Giacenza_Articoli!$A$2:$AO$10000,30,FALSE),"")</f>
        <v/>
      </c>
      <c r="CU31" s="12" t="str">
        <f>IFERROR(VLOOKUP($BV31,[2]Giacenza_Articoli!$A$2:$AO$10000,31,FALSE),"")</f>
        <v/>
      </c>
      <c r="CV31" s="12" t="str">
        <f>IFERROR(VLOOKUP($BV31,[2]Giacenza_Articoli!$A$2:$AO$10000,32,FALSE),"")</f>
        <v/>
      </c>
      <c r="CW31" s="12" t="str">
        <f>IFERROR(VLOOKUP($BV31,[2]Giacenza_Articoli!$A$2:$AO$10000,33,FALSE),"")</f>
        <v/>
      </c>
      <c r="CX31" s="12" t="str">
        <f>IFERROR(VLOOKUP($BV31,[2]Giacenza_Articoli!$A$2:$AO$10000,34,FALSE),"")</f>
        <v/>
      </c>
      <c r="CY31" s="12" t="str">
        <f>IFERROR(VLOOKUP($BV31,[2]Giacenza_Articoli!$A$2:$AO$10000,37,FALSE),"")</f>
        <v/>
      </c>
      <c r="CZ31" s="12" t="str">
        <f>IFERROR(VLOOKUP($BV31,[2]Giacenza_Articoli!$A$2:$AO$10000,38,FALSE),"")</f>
        <v/>
      </c>
      <c r="DA31" s="12" t="str">
        <f>IFERROR(VLOOKUP($BV31,[2]Giacenza_Articoli!$A$2:$AO$10000,39,FALSE),"")</f>
        <v/>
      </c>
    </row>
    <row r="32" spans="1:105" ht="11.1" customHeight="1">
      <c r="A32" s="5">
        <v>1</v>
      </c>
      <c r="B32" s="71">
        <v>7</v>
      </c>
      <c r="C32" s="72"/>
      <c r="D32" s="72"/>
      <c r="E32" s="73" t="s">
        <v>319</v>
      </c>
      <c r="F32" s="73"/>
      <c r="G32" s="73"/>
      <c r="H32" s="73"/>
      <c r="I32" s="73"/>
      <c r="J32" s="73"/>
      <c r="K32" s="73"/>
      <c r="L32" s="73"/>
      <c r="M32" s="73"/>
      <c r="N32" s="73">
        <v>11700</v>
      </c>
      <c r="O32" s="73"/>
      <c r="P32" s="73"/>
      <c r="Q32" s="73"/>
      <c r="R32" s="73"/>
      <c r="S32" s="175">
        <v>36</v>
      </c>
      <c r="T32" s="176"/>
      <c r="U32" s="176"/>
      <c r="V32" s="177"/>
      <c r="W32" s="175" t="s">
        <v>144</v>
      </c>
      <c r="X32" s="176"/>
      <c r="Y32" s="177"/>
      <c r="Z32" s="175"/>
      <c r="AA32" s="176"/>
      <c r="AB32" s="176"/>
      <c r="AC32" s="176"/>
      <c r="AD32" s="177"/>
      <c r="AE32" s="73"/>
      <c r="AF32" s="73"/>
      <c r="AG32" s="73"/>
      <c r="AH32" s="73" t="s">
        <v>154</v>
      </c>
      <c r="AI32" s="73"/>
      <c r="AJ32" s="174"/>
      <c r="AK32" s="6"/>
      <c r="AL32" s="6"/>
      <c r="AM32" s="71" t="s">
        <v>29</v>
      </c>
      <c r="AN32" s="72"/>
      <c r="AO32" s="72"/>
      <c r="AP32" s="72"/>
      <c r="AQ32" s="72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4"/>
      <c r="BR32" s="75"/>
      <c r="BS32" s="75"/>
      <c r="BT32" s="75"/>
      <c r="BU32" s="76"/>
      <c r="BV32" s="64"/>
      <c r="BW32" s="12" t="str">
        <f>IFERROR(VLOOKUP($BV32,[2]Giacenza_Articoli!$A$2:$AO$10000,7,FALSE),"")</f>
        <v/>
      </c>
      <c r="BX32" s="12" t="str">
        <f>IFERROR(VLOOKUP($BV32,[2]Giacenza_Articoli!$A$2:$AO$10000,8,FALSE),"")</f>
        <v/>
      </c>
      <c r="BY32" s="12" t="str">
        <f>IFERROR(VLOOKUP($BV32,[2]Giacenza_Articoli!$A$2:$AO$10000,9,FALSE),"")</f>
        <v/>
      </c>
      <c r="BZ32" s="12" t="str">
        <f>IFERROR(VLOOKUP($BV32,[2]Giacenza_Articoli!$A$2:$AO$10000,10,FALSE),"")</f>
        <v/>
      </c>
      <c r="CA32" s="12" t="str">
        <f>IFERROR(VLOOKUP($BV32,[2]Giacenza_Articoli!$A$2:$AO$10000,11,FALSE),"")</f>
        <v/>
      </c>
      <c r="CB32" s="12" t="str">
        <f>IFERROR(VLOOKUP($BV32,[2]Giacenza_Articoli!$A$2:$AO$10000,12,FALSE),"")</f>
        <v/>
      </c>
      <c r="CC32" s="12" t="str">
        <f>IFERROR(VLOOKUP($BV32,[2]Giacenza_Articoli!$A$2:$AO$10000,13,FALSE),"")</f>
        <v/>
      </c>
      <c r="CD32" s="12" t="str">
        <f>IFERROR(VLOOKUP($BV32,[2]Giacenza_Articoli!$A$2:$AO$10000,14,FALSE),"")</f>
        <v/>
      </c>
      <c r="CE32" s="12" t="str">
        <f>IFERROR(VLOOKUP($BV32,[2]Giacenza_Articoli!$A$2:$AO$10000,15,FALSE),"")</f>
        <v/>
      </c>
      <c r="CF32" s="12" t="str">
        <f>IFERROR(VLOOKUP($BV32,[2]Giacenza_Articoli!$A$2:$AO$10000,16,FALSE),"")</f>
        <v/>
      </c>
      <c r="CG32" s="12" t="str">
        <f>IFERROR(VLOOKUP($BV32,[2]Giacenza_Articoli!$A$2:$AO$10000,17,FALSE),"")</f>
        <v/>
      </c>
      <c r="CH32" s="12" t="str">
        <f>IFERROR(VLOOKUP($BV32,[2]Giacenza_Articoli!$A$2:$AO$10000,18,FALSE),"")</f>
        <v/>
      </c>
      <c r="CI32" s="12" t="str">
        <f>IFERROR(VLOOKUP($BV32,[2]Giacenza_Articoli!$A$2:$AO$10000,19,FALSE),"")</f>
        <v/>
      </c>
      <c r="CJ32" s="12" t="str">
        <f>IFERROR(VLOOKUP($BV32,[2]Giacenza_Articoli!$A$2:$AO$10000,20,FALSE),"")</f>
        <v/>
      </c>
      <c r="CK32" s="12" t="str">
        <f>IFERROR(VLOOKUP($BV32,[2]Giacenza_Articoli!$A$2:$AO$10000,21,FALSE),"")</f>
        <v/>
      </c>
      <c r="CL32" s="12" t="str">
        <f>IFERROR(VLOOKUP($BV32,[2]Giacenza_Articoli!$A$2:$AO$10000,22,FALSE),"")</f>
        <v/>
      </c>
      <c r="CM32" s="12" t="str">
        <f>IFERROR(VLOOKUP($BV32,[2]Giacenza_Articoli!$A$2:$AO$10000,23,FALSE),"")</f>
        <v/>
      </c>
      <c r="CN32" s="12" t="str">
        <f>IFERROR(VLOOKUP($BV32,[2]Giacenza_Articoli!$A$2:$AO$10000,24,FALSE),"")</f>
        <v/>
      </c>
      <c r="CO32" s="12" t="str">
        <f>IFERROR(VLOOKUP($BV32,[2]Giacenza_Articoli!$A$2:$AO$10000,25,FALSE),"")</f>
        <v/>
      </c>
      <c r="CP32" s="12" t="str">
        <f>IFERROR(VLOOKUP($BV32,[2]Giacenza_Articoli!$A$2:$AO$10000,26,FALSE),"")</f>
        <v/>
      </c>
      <c r="CQ32" s="12" t="str">
        <f>IFERROR(VLOOKUP($BV32,[2]Giacenza_Articoli!$A$2:$AO$10000,27,FALSE),"")</f>
        <v/>
      </c>
      <c r="CR32" s="12" t="str">
        <f>IFERROR(VLOOKUP($BV32,[2]Giacenza_Articoli!$A$2:$AO$10000,28,FALSE),"")</f>
        <v/>
      </c>
      <c r="CS32" s="12" t="str">
        <f>IFERROR(VLOOKUP($BV32,[2]Giacenza_Articoli!$A$2:$AO$10000,29,FALSE),"")</f>
        <v/>
      </c>
      <c r="CT32" s="12" t="str">
        <f>IFERROR(VLOOKUP($BV32,[2]Giacenza_Articoli!$A$2:$AO$10000,30,FALSE),"")</f>
        <v/>
      </c>
      <c r="CU32" s="12" t="str">
        <f>IFERROR(VLOOKUP($BV32,[2]Giacenza_Articoli!$A$2:$AO$10000,31,FALSE),"")</f>
        <v/>
      </c>
      <c r="CV32" s="12" t="str">
        <f>IFERROR(VLOOKUP($BV32,[2]Giacenza_Articoli!$A$2:$AO$10000,32,FALSE),"")</f>
        <v/>
      </c>
      <c r="CW32" s="12" t="str">
        <f>IFERROR(VLOOKUP($BV32,[2]Giacenza_Articoli!$A$2:$AO$10000,33,FALSE),"")</f>
        <v/>
      </c>
      <c r="CX32" s="12" t="str">
        <f>IFERROR(VLOOKUP($BV32,[2]Giacenza_Articoli!$A$2:$AO$10000,34,FALSE),"")</f>
        <v/>
      </c>
      <c r="CY32" s="12" t="str">
        <f>IFERROR(VLOOKUP($BV32,[2]Giacenza_Articoli!$A$2:$AO$10000,37,FALSE),"")</f>
        <v/>
      </c>
      <c r="CZ32" s="12" t="str">
        <f>IFERROR(VLOOKUP($BV32,[2]Giacenza_Articoli!$A$2:$AO$10000,38,FALSE),"")</f>
        <v/>
      </c>
      <c r="DA32" s="12" t="str">
        <f>IFERROR(VLOOKUP($BV32,[2]Giacenza_Articoli!$A$2:$AO$10000,39,FALSE),"")</f>
        <v/>
      </c>
    </row>
    <row r="33" spans="1:105" ht="11.1" customHeight="1">
      <c r="A33" s="5">
        <v>1</v>
      </c>
      <c r="B33" s="71"/>
      <c r="C33" s="72"/>
      <c r="D33" s="72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178"/>
      <c r="T33" s="179"/>
      <c r="U33" s="179"/>
      <c r="V33" s="180"/>
      <c r="W33" s="178"/>
      <c r="X33" s="179"/>
      <c r="Y33" s="180"/>
      <c r="Z33" s="178"/>
      <c r="AA33" s="179"/>
      <c r="AB33" s="179"/>
      <c r="AC33" s="179"/>
      <c r="AD33" s="180"/>
      <c r="AE33" s="73"/>
      <c r="AF33" s="73"/>
      <c r="AG33" s="73"/>
      <c r="AH33" s="73"/>
      <c r="AI33" s="73"/>
      <c r="AJ33" s="174"/>
      <c r="AK33" s="6"/>
      <c r="AL33" s="6"/>
      <c r="AM33" s="71"/>
      <c r="AN33" s="72"/>
      <c r="AO33" s="72"/>
      <c r="AP33" s="72"/>
      <c r="AQ33" s="72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4"/>
      <c r="BR33" s="75"/>
      <c r="BS33" s="75"/>
      <c r="BT33" s="75"/>
      <c r="BU33" s="76"/>
      <c r="BV33" s="64"/>
      <c r="BW33" s="12" t="str">
        <f>IFERROR(VLOOKUP($BV33,[2]Giacenza_Articoli!$A$2:$AO$10000,7,FALSE),"")</f>
        <v/>
      </c>
      <c r="BX33" s="12" t="str">
        <f>IFERROR(VLOOKUP($BV33,[2]Giacenza_Articoli!$A$2:$AO$10000,8,FALSE),"")</f>
        <v/>
      </c>
      <c r="BY33" s="12" t="str">
        <f>IFERROR(VLOOKUP($BV33,[2]Giacenza_Articoli!$A$2:$AO$10000,9,FALSE),"")</f>
        <v/>
      </c>
      <c r="BZ33" s="12" t="str">
        <f>IFERROR(VLOOKUP($BV33,[2]Giacenza_Articoli!$A$2:$AO$10000,10,FALSE),"")</f>
        <v/>
      </c>
      <c r="CA33" s="12" t="str">
        <f>IFERROR(VLOOKUP($BV33,[2]Giacenza_Articoli!$A$2:$AO$10000,11,FALSE),"")</f>
        <v/>
      </c>
      <c r="CB33" s="12" t="str">
        <f>IFERROR(VLOOKUP($BV33,[2]Giacenza_Articoli!$A$2:$AO$10000,12,FALSE),"")</f>
        <v/>
      </c>
      <c r="CC33" s="12" t="str">
        <f>IFERROR(VLOOKUP($BV33,[2]Giacenza_Articoli!$A$2:$AO$10000,13,FALSE),"")</f>
        <v/>
      </c>
      <c r="CD33" s="12" t="str">
        <f>IFERROR(VLOOKUP($BV33,[2]Giacenza_Articoli!$A$2:$AO$10000,14,FALSE),"")</f>
        <v/>
      </c>
      <c r="CE33" s="12" t="str">
        <f>IFERROR(VLOOKUP($BV33,[2]Giacenza_Articoli!$A$2:$AO$10000,15,FALSE),"")</f>
        <v/>
      </c>
      <c r="CF33" s="12" t="str">
        <f>IFERROR(VLOOKUP($BV33,[2]Giacenza_Articoli!$A$2:$AO$10000,16,FALSE),"")</f>
        <v/>
      </c>
      <c r="CG33" s="12" t="str">
        <f>IFERROR(VLOOKUP($BV33,[2]Giacenza_Articoli!$A$2:$AO$10000,17,FALSE),"")</f>
        <v/>
      </c>
      <c r="CH33" s="12" t="str">
        <f>IFERROR(VLOOKUP($BV33,[2]Giacenza_Articoli!$A$2:$AO$10000,18,FALSE),"")</f>
        <v/>
      </c>
      <c r="CI33" s="12" t="str">
        <f>IFERROR(VLOOKUP($BV33,[2]Giacenza_Articoli!$A$2:$AO$10000,19,FALSE),"")</f>
        <v/>
      </c>
      <c r="CJ33" s="12" t="str">
        <f>IFERROR(VLOOKUP($BV33,[2]Giacenza_Articoli!$A$2:$AO$10000,20,FALSE),"")</f>
        <v/>
      </c>
      <c r="CK33" s="12" t="str">
        <f>IFERROR(VLOOKUP($BV33,[2]Giacenza_Articoli!$A$2:$AO$10000,21,FALSE),"")</f>
        <v/>
      </c>
      <c r="CL33" s="12" t="str">
        <f>IFERROR(VLOOKUP($BV33,[2]Giacenza_Articoli!$A$2:$AO$10000,22,FALSE),"")</f>
        <v/>
      </c>
      <c r="CM33" s="12" t="str">
        <f>IFERROR(VLOOKUP($BV33,[2]Giacenza_Articoli!$A$2:$AO$10000,23,FALSE),"")</f>
        <v/>
      </c>
      <c r="CN33" s="12" t="str">
        <f>IFERROR(VLOOKUP($BV33,[2]Giacenza_Articoli!$A$2:$AO$10000,24,FALSE),"")</f>
        <v/>
      </c>
      <c r="CO33" s="12" t="str">
        <f>IFERROR(VLOOKUP($BV33,[2]Giacenza_Articoli!$A$2:$AO$10000,25,FALSE),"")</f>
        <v/>
      </c>
      <c r="CP33" s="12" t="str">
        <f>IFERROR(VLOOKUP($BV33,[2]Giacenza_Articoli!$A$2:$AO$10000,26,FALSE),"")</f>
        <v/>
      </c>
      <c r="CQ33" s="12" t="str">
        <f>IFERROR(VLOOKUP($BV33,[2]Giacenza_Articoli!$A$2:$AO$10000,27,FALSE),"")</f>
        <v/>
      </c>
      <c r="CR33" s="12" t="str">
        <f>IFERROR(VLOOKUP($BV33,[2]Giacenza_Articoli!$A$2:$AO$10000,28,FALSE),"")</f>
        <v/>
      </c>
      <c r="CS33" s="12" t="str">
        <f>IFERROR(VLOOKUP($BV33,[2]Giacenza_Articoli!$A$2:$AO$10000,29,FALSE),"")</f>
        <v/>
      </c>
      <c r="CT33" s="12" t="str">
        <f>IFERROR(VLOOKUP($BV33,[2]Giacenza_Articoli!$A$2:$AO$10000,30,FALSE),"")</f>
        <v/>
      </c>
      <c r="CU33" s="12" t="str">
        <f>IFERROR(VLOOKUP($BV33,[2]Giacenza_Articoli!$A$2:$AO$10000,31,FALSE),"")</f>
        <v/>
      </c>
      <c r="CV33" s="12" t="str">
        <f>IFERROR(VLOOKUP($BV33,[2]Giacenza_Articoli!$A$2:$AO$10000,32,FALSE),"")</f>
        <v/>
      </c>
      <c r="CW33" s="12" t="str">
        <f>IFERROR(VLOOKUP($BV33,[2]Giacenza_Articoli!$A$2:$AO$10000,33,FALSE),"")</f>
        <v/>
      </c>
      <c r="CX33" s="12" t="str">
        <f>IFERROR(VLOOKUP($BV33,[2]Giacenza_Articoli!$A$2:$AO$10000,34,FALSE),"")</f>
        <v/>
      </c>
      <c r="CY33" s="12" t="str">
        <f>IFERROR(VLOOKUP($BV33,[2]Giacenza_Articoli!$A$2:$AO$10000,37,FALSE),"")</f>
        <v/>
      </c>
      <c r="CZ33" s="12" t="str">
        <f>IFERROR(VLOOKUP($BV33,[2]Giacenza_Articoli!$A$2:$AO$10000,38,FALSE),"")</f>
        <v/>
      </c>
      <c r="DA33" s="12" t="str">
        <f>IFERROR(VLOOKUP($BV33,[2]Giacenza_Articoli!$A$2:$AO$10000,39,FALSE),"")</f>
        <v/>
      </c>
    </row>
    <row r="34" spans="1:105" ht="11.1" customHeight="1">
      <c r="A34" s="5">
        <v>1</v>
      </c>
      <c r="B34" s="71">
        <v>8</v>
      </c>
      <c r="C34" s="72"/>
      <c r="D34" s="72"/>
      <c r="E34" s="73" t="s">
        <v>319</v>
      </c>
      <c r="F34" s="73"/>
      <c r="G34" s="73"/>
      <c r="H34" s="73"/>
      <c r="I34" s="73"/>
      <c r="J34" s="73"/>
      <c r="K34" s="73"/>
      <c r="L34" s="73"/>
      <c r="M34" s="73"/>
      <c r="N34" s="73">
        <v>5450</v>
      </c>
      <c r="O34" s="73"/>
      <c r="P34" s="73"/>
      <c r="Q34" s="73"/>
      <c r="R34" s="73"/>
      <c r="S34" s="175">
        <v>17</v>
      </c>
      <c r="T34" s="176"/>
      <c r="U34" s="176"/>
      <c r="V34" s="177"/>
      <c r="W34" s="175" t="s">
        <v>144</v>
      </c>
      <c r="X34" s="176"/>
      <c r="Y34" s="177"/>
      <c r="Z34" s="175"/>
      <c r="AA34" s="176"/>
      <c r="AB34" s="176"/>
      <c r="AC34" s="176"/>
      <c r="AD34" s="177"/>
      <c r="AE34" s="73"/>
      <c r="AF34" s="73"/>
      <c r="AG34" s="73"/>
      <c r="AH34" s="73" t="s">
        <v>154</v>
      </c>
      <c r="AI34" s="73"/>
      <c r="AJ34" s="174"/>
      <c r="AK34" s="6"/>
      <c r="AL34" s="6"/>
      <c r="AM34" s="71"/>
      <c r="AN34" s="72"/>
      <c r="AO34" s="72"/>
      <c r="AP34" s="72"/>
      <c r="AQ34" s="72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4"/>
      <c r="BR34" s="75"/>
      <c r="BS34" s="75"/>
      <c r="BT34" s="75"/>
      <c r="BU34" s="76"/>
      <c r="BV34" s="64"/>
      <c r="BW34" s="12" t="str">
        <f>IFERROR(VLOOKUP($BV34,[2]Giacenza_Articoli!$A$2:$AO$10000,7,FALSE),"")</f>
        <v/>
      </c>
      <c r="BX34" s="12" t="str">
        <f>IFERROR(VLOOKUP($BV34,[2]Giacenza_Articoli!$A$2:$AO$10000,8,FALSE),"")</f>
        <v/>
      </c>
      <c r="BY34" s="12" t="str">
        <f>IFERROR(VLOOKUP($BV34,[2]Giacenza_Articoli!$A$2:$AO$10000,9,FALSE),"")</f>
        <v/>
      </c>
      <c r="BZ34" s="12" t="str">
        <f>IFERROR(VLOOKUP($BV34,[2]Giacenza_Articoli!$A$2:$AO$10000,10,FALSE),"")</f>
        <v/>
      </c>
      <c r="CA34" s="12" t="str">
        <f>IFERROR(VLOOKUP($BV34,[2]Giacenza_Articoli!$A$2:$AO$10000,11,FALSE),"")</f>
        <v/>
      </c>
      <c r="CB34" s="12" t="str">
        <f>IFERROR(VLOOKUP($BV34,[2]Giacenza_Articoli!$A$2:$AO$10000,12,FALSE),"")</f>
        <v/>
      </c>
      <c r="CC34" s="12" t="str">
        <f>IFERROR(VLOOKUP($BV34,[2]Giacenza_Articoli!$A$2:$AO$10000,13,FALSE),"")</f>
        <v/>
      </c>
      <c r="CD34" s="12" t="str">
        <f>IFERROR(VLOOKUP($BV34,[2]Giacenza_Articoli!$A$2:$AO$10000,14,FALSE),"")</f>
        <v/>
      </c>
      <c r="CE34" s="12" t="str">
        <f>IFERROR(VLOOKUP($BV34,[2]Giacenza_Articoli!$A$2:$AO$10000,15,FALSE),"")</f>
        <v/>
      </c>
      <c r="CF34" s="12" t="str">
        <f>IFERROR(VLOOKUP($BV34,[2]Giacenza_Articoli!$A$2:$AO$10000,16,FALSE),"")</f>
        <v/>
      </c>
      <c r="CG34" s="12" t="str">
        <f>IFERROR(VLOOKUP($BV34,[2]Giacenza_Articoli!$A$2:$AO$10000,17,FALSE),"")</f>
        <v/>
      </c>
      <c r="CH34" s="12" t="str">
        <f>IFERROR(VLOOKUP($BV34,[2]Giacenza_Articoli!$A$2:$AO$10000,18,FALSE),"")</f>
        <v/>
      </c>
      <c r="CI34" s="12" t="str">
        <f>IFERROR(VLOOKUP($BV34,[2]Giacenza_Articoli!$A$2:$AO$10000,19,FALSE),"")</f>
        <v/>
      </c>
      <c r="CJ34" s="12" t="str">
        <f>IFERROR(VLOOKUP($BV34,[2]Giacenza_Articoli!$A$2:$AO$10000,20,FALSE),"")</f>
        <v/>
      </c>
      <c r="CK34" s="12" t="str">
        <f>IFERROR(VLOOKUP($BV34,[2]Giacenza_Articoli!$A$2:$AO$10000,21,FALSE),"")</f>
        <v/>
      </c>
      <c r="CL34" s="12" t="str">
        <f>IFERROR(VLOOKUP($BV34,[2]Giacenza_Articoli!$A$2:$AO$10000,22,FALSE),"")</f>
        <v/>
      </c>
      <c r="CM34" s="12" t="str">
        <f>IFERROR(VLOOKUP($BV34,[2]Giacenza_Articoli!$A$2:$AO$10000,23,FALSE),"")</f>
        <v/>
      </c>
      <c r="CN34" s="12" t="str">
        <f>IFERROR(VLOOKUP($BV34,[2]Giacenza_Articoli!$A$2:$AO$10000,24,FALSE),"")</f>
        <v/>
      </c>
      <c r="CO34" s="12" t="str">
        <f>IFERROR(VLOOKUP($BV34,[2]Giacenza_Articoli!$A$2:$AO$10000,25,FALSE),"")</f>
        <v/>
      </c>
      <c r="CP34" s="12" t="str">
        <f>IFERROR(VLOOKUP($BV34,[2]Giacenza_Articoli!$A$2:$AO$10000,26,FALSE),"")</f>
        <v/>
      </c>
      <c r="CQ34" s="12" t="str">
        <f>IFERROR(VLOOKUP($BV34,[2]Giacenza_Articoli!$A$2:$AO$10000,27,FALSE),"")</f>
        <v/>
      </c>
      <c r="CR34" s="12" t="str">
        <f>IFERROR(VLOOKUP($BV34,[2]Giacenza_Articoli!$A$2:$AO$10000,28,FALSE),"")</f>
        <v/>
      </c>
      <c r="CS34" s="12" t="str">
        <f>IFERROR(VLOOKUP($BV34,[2]Giacenza_Articoli!$A$2:$AO$10000,29,FALSE),"")</f>
        <v/>
      </c>
      <c r="CT34" s="12" t="str">
        <f>IFERROR(VLOOKUP($BV34,[2]Giacenza_Articoli!$A$2:$AO$10000,30,FALSE),"")</f>
        <v/>
      </c>
      <c r="CU34" s="12" t="str">
        <f>IFERROR(VLOOKUP($BV34,[2]Giacenza_Articoli!$A$2:$AO$10000,31,FALSE),"")</f>
        <v/>
      </c>
      <c r="CV34" s="12" t="str">
        <f>IFERROR(VLOOKUP($BV34,[2]Giacenza_Articoli!$A$2:$AO$10000,32,FALSE),"")</f>
        <v/>
      </c>
      <c r="CW34" s="12" t="str">
        <f>IFERROR(VLOOKUP($BV34,[2]Giacenza_Articoli!$A$2:$AO$10000,33,FALSE),"")</f>
        <v/>
      </c>
      <c r="CX34" s="12" t="str">
        <f>IFERROR(VLOOKUP($BV34,[2]Giacenza_Articoli!$A$2:$AO$10000,34,FALSE),"")</f>
        <v/>
      </c>
      <c r="CY34" s="12" t="str">
        <f>IFERROR(VLOOKUP($BV34,[2]Giacenza_Articoli!$A$2:$AO$10000,37,FALSE),"")</f>
        <v/>
      </c>
      <c r="CZ34" s="12" t="str">
        <f>IFERROR(VLOOKUP($BV34,[2]Giacenza_Articoli!$A$2:$AO$10000,38,FALSE),"")</f>
        <v/>
      </c>
      <c r="DA34" s="12" t="str">
        <f>IFERROR(VLOOKUP($BV34,[2]Giacenza_Articoli!$A$2:$AO$10000,39,FALSE),"")</f>
        <v/>
      </c>
    </row>
    <row r="35" spans="1:105" ht="11.1" customHeight="1">
      <c r="A35" s="5">
        <v>1</v>
      </c>
      <c r="B35" s="71"/>
      <c r="C35" s="72"/>
      <c r="D35" s="72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178"/>
      <c r="T35" s="179"/>
      <c r="U35" s="179"/>
      <c r="V35" s="180"/>
      <c r="W35" s="178"/>
      <c r="X35" s="179"/>
      <c r="Y35" s="180"/>
      <c r="Z35" s="178"/>
      <c r="AA35" s="179"/>
      <c r="AB35" s="179"/>
      <c r="AC35" s="179"/>
      <c r="AD35" s="180"/>
      <c r="AE35" s="73"/>
      <c r="AF35" s="73"/>
      <c r="AG35" s="73"/>
      <c r="AH35" s="73"/>
      <c r="AI35" s="73"/>
      <c r="AJ35" s="174"/>
      <c r="AK35" s="6"/>
      <c r="AL35" s="6"/>
      <c r="AM35" s="71" t="s">
        <v>30</v>
      </c>
      <c r="AN35" s="72"/>
      <c r="AO35" s="72"/>
      <c r="AP35" s="72"/>
      <c r="AQ35" s="72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4"/>
      <c r="BR35" s="75"/>
      <c r="BS35" s="75"/>
      <c r="BT35" s="75"/>
      <c r="BU35" s="76"/>
      <c r="BV35" s="64"/>
      <c r="BW35" s="12" t="str">
        <f>IFERROR(VLOOKUP($BV35,[2]Giacenza_Articoli!$A$2:$AO$10000,7,FALSE),"")</f>
        <v/>
      </c>
      <c r="BX35" s="12" t="str">
        <f>IFERROR(VLOOKUP($BV35,[2]Giacenza_Articoli!$A$2:$AO$10000,8,FALSE),"")</f>
        <v/>
      </c>
      <c r="BY35" s="12" t="str">
        <f>IFERROR(VLOOKUP($BV35,[2]Giacenza_Articoli!$A$2:$AO$10000,9,FALSE),"")</f>
        <v/>
      </c>
      <c r="BZ35" s="12" t="str">
        <f>IFERROR(VLOOKUP($BV35,[2]Giacenza_Articoli!$A$2:$AO$10000,10,FALSE),"")</f>
        <v/>
      </c>
      <c r="CA35" s="12" t="str">
        <f>IFERROR(VLOOKUP($BV35,[2]Giacenza_Articoli!$A$2:$AO$10000,11,FALSE),"")</f>
        <v/>
      </c>
      <c r="CB35" s="12" t="str">
        <f>IFERROR(VLOOKUP($BV35,[2]Giacenza_Articoli!$A$2:$AO$10000,12,FALSE),"")</f>
        <v/>
      </c>
      <c r="CC35" s="12" t="str">
        <f>IFERROR(VLOOKUP($BV35,[2]Giacenza_Articoli!$A$2:$AO$10000,13,FALSE),"")</f>
        <v/>
      </c>
      <c r="CD35" s="12" t="str">
        <f>IFERROR(VLOOKUP($BV35,[2]Giacenza_Articoli!$A$2:$AO$10000,14,FALSE),"")</f>
        <v/>
      </c>
      <c r="CE35" s="12" t="str">
        <f>IFERROR(VLOOKUP($BV35,[2]Giacenza_Articoli!$A$2:$AO$10000,15,FALSE),"")</f>
        <v/>
      </c>
      <c r="CF35" s="12" t="str">
        <f>IFERROR(VLOOKUP($BV35,[2]Giacenza_Articoli!$A$2:$AO$10000,16,FALSE),"")</f>
        <v/>
      </c>
      <c r="CG35" s="12" t="str">
        <f>IFERROR(VLOOKUP($BV35,[2]Giacenza_Articoli!$A$2:$AO$10000,17,FALSE),"")</f>
        <v/>
      </c>
      <c r="CH35" s="12" t="str">
        <f>IFERROR(VLOOKUP($BV35,[2]Giacenza_Articoli!$A$2:$AO$10000,18,FALSE),"")</f>
        <v/>
      </c>
      <c r="CI35" s="12" t="str">
        <f>IFERROR(VLOOKUP($BV35,[2]Giacenza_Articoli!$A$2:$AO$10000,19,FALSE),"")</f>
        <v/>
      </c>
      <c r="CJ35" s="12" t="str">
        <f>IFERROR(VLOOKUP($BV35,[2]Giacenza_Articoli!$A$2:$AO$10000,20,FALSE),"")</f>
        <v/>
      </c>
      <c r="CK35" s="12" t="str">
        <f>IFERROR(VLOOKUP($BV35,[2]Giacenza_Articoli!$A$2:$AO$10000,21,FALSE),"")</f>
        <v/>
      </c>
      <c r="CL35" s="12" t="str">
        <f>IFERROR(VLOOKUP($BV35,[2]Giacenza_Articoli!$A$2:$AO$10000,22,FALSE),"")</f>
        <v/>
      </c>
      <c r="CM35" s="12" t="str">
        <f>IFERROR(VLOOKUP($BV35,[2]Giacenza_Articoli!$A$2:$AO$10000,23,FALSE),"")</f>
        <v/>
      </c>
      <c r="CN35" s="12" t="str">
        <f>IFERROR(VLOOKUP($BV35,[2]Giacenza_Articoli!$A$2:$AO$10000,24,FALSE),"")</f>
        <v/>
      </c>
      <c r="CO35" s="12" t="str">
        <f>IFERROR(VLOOKUP($BV35,[2]Giacenza_Articoli!$A$2:$AO$10000,25,FALSE),"")</f>
        <v/>
      </c>
      <c r="CP35" s="12" t="str">
        <f>IFERROR(VLOOKUP($BV35,[2]Giacenza_Articoli!$A$2:$AO$10000,26,FALSE),"")</f>
        <v/>
      </c>
      <c r="CQ35" s="12" t="str">
        <f>IFERROR(VLOOKUP($BV35,[2]Giacenza_Articoli!$A$2:$AO$10000,27,FALSE),"")</f>
        <v/>
      </c>
      <c r="CR35" s="12" t="str">
        <f>IFERROR(VLOOKUP($BV35,[2]Giacenza_Articoli!$A$2:$AO$10000,28,FALSE),"")</f>
        <v/>
      </c>
      <c r="CS35" s="12" t="str">
        <f>IFERROR(VLOOKUP($BV35,[2]Giacenza_Articoli!$A$2:$AO$10000,29,FALSE),"")</f>
        <v/>
      </c>
      <c r="CT35" s="12" t="str">
        <f>IFERROR(VLOOKUP($BV35,[2]Giacenza_Articoli!$A$2:$AO$10000,30,FALSE),"")</f>
        <v/>
      </c>
      <c r="CU35" s="12" t="str">
        <f>IFERROR(VLOOKUP($BV35,[2]Giacenza_Articoli!$A$2:$AO$10000,31,FALSE),"")</f>
        <v/>
      </c>
      <c r="CV35" s="12" t="str">
        <f>IFERROR(VLOOKUP($BV35,[2]Giacenza_Articoli!$A$2:$AO$10000,32,FALSE),"")</f>
        <v/>
      </c>
      <c r="CW35" s="12" t="str">
        <f>IFERROR(VLOOKUP($BV35,[2]Giacenza_Articoli!$A$2:$AO$10000,33,FALSE),"")</f>
        <v/>
      </c>
      <c r="CX35" s="12" t="str">
        <f>IFERROR(VLOOKUP($BV35,[2]Giacenza_Articoli!$A$2:$AO$10000,34,FALSE),"")</f>
        <v/>
      </c>
      <c r="CY35" s="12" t="str">
        <f>IFERROR(VLOOKUP($BV35,[2]Giacenza_Articoli!$A$2:$AO$10000,37,FALSE),"")</f>
        <v/>
      </c>
      <c r="CZ35" s="12" t="str">
        <f>IFERROR(VLOOKUP($BV35,[2]Giacenza_Articoli!$A$2:$AO$10000,38,FALSE),"")</f>
        <v/>
      </c>
      <c r="DA35" s="12" t="str">
        <f>IFERROR(VLOOKUP($BV35,[2]Giacenza_Articoli!$A$2:$AO$10000,39,FALSE),"")</f>
        <v/>
      </c>
    </row>
    <row r="36" spans="1:105" ht="11.1" customHeight="1">
      <c r="A36" s="5">
        <v>1</v>
      </c>
      <c r="B36" s="71">
        <v>9</v>
      </c>
      <c r="C36" s="72"/>
      <c r="D36" s="72"/>
      <c r="E36" s="73" t="s">
        <v>320</v>
      </c>
      <c r="F36" s="73"/>
      <c r="G36" s="73"/>
      <c r="H36" s="73"/>
      <c r="I36" s="73"/>
      <c r="J36" s="73"/>
      <c r="K36" s="73"/>
      <c r="L36" s="73"/>
      <c r="M36" s="73"/>
      <c r="N36" s="73">
        <v>11700</v>
      </c>
      <c r="O36" s="73"/>
      <c r="P36" s="73"/>
      <c r="Q36" s="73"/>
      <c r="R36" s="73"/>
      <c r="S36" s="175">
        <v>36</v>
      </c>
      <c r="T36" s="176"/>
      <c r="U36" s="176"/>
      <c r="V36" s="177"/>
      <c r="W36" s="175"/>
      <c r="X36" s="176"/>
      <c r="Y36" s="177"/>
      <c r="Z36" s="175"/>
      <c r="AA36" s="176"/>
      <c r="AB36" s="176"/>
      <c r="AC36" s="176"/>
      <c r="AD36" s="177"/>
      <c r="AE36" s="73"/>
      <c r="AF36" s="73"/>
      <c r="AG36" s="73"/>
      <c r="AH36" s="73" t="s">
        <v>321</v>
      </c>
      <c r="AI36" s="73"/>
      <c r="AJ36" s="174"/>
      <c r="AK36" s="6"/>
      <c r="AL36" s="6"/>
      <c r="AM36" s="71"/>
      <c r="AN36" s="72"/>
      <c r="AO36" s="72"/>
      <c r="AP36" s="72"/>
      <c r="AQ36" s="72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4"/>
      <c r="BR36" s="75"/>
      <c r="BS36" s="75"/>
      <c r="BT36" s="75"/>
      <c r="BU36" s="76"/>
      <c r="BV36" s="64"/>
      <c r="BW36" s="12" t="str">
        <f>IFERROR(VLOOKUP($BV36,[2]Giacenza_Articoli!$A$2:$AO$10000,7,FALSE),"")</f>
        <v/>
      </c>
      <c r="BX36" s="12" t="str">
        <f>IFERROR(VLOOKUP($BV36,[2]Giacenza_Articoli!$A$2:$AO$10000,8,FALSE),"")</f>
        <v/>
      </c>
      <c r="BY36" s="12" t="str">
        <f>IFERROR(VLOOKUP($BV36,[2]Giacenza_Articoli!$A$2:$AO$10000,9,FALSE),"")</f>
        <v/>
      </c>
      <c r="BZ36" s="12" t="str">
        <f>IFERROR(VLOOKUP($BV36,[2]Giacenza_Articoli!$A$2:$AO$10000,10,FALSE),"")</f>
        <v/>
      </c>
      <c r="CA36" s="12" t="str">
        <f>IFERROR(VLOOKUP($BV36,[2]Giacenza_Articoli!$A$2:$AO$10000,11,FALSE),"")</f>
        <v/>
      </c>
      <c r="CB36" s="12" t="str">
        <f>IFERROR(VLOOKUP($BV36,[2]Giacenza_Articoli!$A$2:$AO$10000,12,FALSE),"")</f>
        <v/>
      </c>
      <c r="CC36" s="12" t="str">
        <f>IFERROR(VLOOKUP($BV36,[2]Giacenza_Articoli!$A$2:$AO$10000,13,FALSE),"")</f>
        <v/>
      </c>
      <c r="CD36" s="12" t="str">
        <f>IFERROR(VLOOKUP($BV36,[2]Giacenza_Articoli!$A$2:$AO$10000,14,FALSE),"")</f>
        <v/>
      </c>
      <c r="CE36" s="12" t="str">
        <f>IFERROR(VLOOKUP($BV36,[2]Giacenza_Articoli!$A$2:$AO$10000,15,FALSE),"")</f>
        <v/>
      </c>
      <c r="CF36" s="12" t="str">
        <f>IFERROR(VLOOKUP($BV36,[2]Giacenza_Articoli!$A$2:$AO$10000,16,FALSE),"")</f>
        <v/>
      </c>
      <c r="CG36" s="12" t="str">
        <f>IFERROR(VLOOKUP($BV36,[2]Giacenza_Articoli!$A$2:$AO$10000,17,FALSE),"")</f>
        <v/>
      </c>
      <c r="CH36" s="12" t="str">
        <f>IFERROR(VLOOKUP($BV36,[2]Giacenza_Articoli!$A$2:$AO$10000,18,FALSE),"")</f>
        <v/>
      </c>
      <c r="CI36" s="12" t="str">
        <f>IFERROR(VLOOKUP($BV36,[2]Giacenza_Articoli!$A$2:$AO$10000,19,FALSE),"")</f>
        <v/>
      </c>
      <c r="CJ36" s="12" t="str">
        <f>IFERROR(VLOOKUP($BV36,[2]Giacenza_Articoli!$A$2:$AO$10000,20,FALSE),"")</f>
        <v/>
      </c>
      <c r="CK36" s="12" t="str">
        <f>IFERROR(VLOOKUP($BV36,[2]Giacenza_Articoli!$A$2:$AO$10000,21,FALSE),"")</f>
        <v/>
      </c>
      <c r="CL36" s="12" t="str">
        <f>IFERROR(VLOOKUP($BV36,[2]Giacenza_Articoli!$A$2:$AO$10000,22,FALSE),"")</f>
        <v/>
      </c>
      <c r="CM36" s="12" t="str">
        <f>IFERROR(VLOOKUP($BV36,[2]Giacenza_Articoli!$A$2:$AO$10000,23,FALSE),"")</f>
        <v/>
      </c>
      <c r="CN36" s="12" t="str">
        <f>IFERROR(VLOOKUP($BV36,[2]Giacenza_Articoli!$A$2:$AO$10000,24,FALSE),"")</f>
        <v/>
      </c>
      <c r="CO36" s="12" t="str">
        <f>IFERROR(VLOOKUP($BV36,[2]Giacenza_Articoli!$A$2:$AO$10000,25,FALSE),"")</f>
        <v/>
      </c>
      <c r="CP36" s="12" t="str">
        <f>IFERROR(VLOOKUP($BV36,[2]Giacenza_Articoli!$A$2:$AO$10000,26,FALSE),"")</f>
        <v/>
      </c>
      <c r="CQ36" s="12" t="str">
        <f>IFERROR(VLOOKUP($BV36,[2]Giacenza_Articoli!$A$2:$AO$10000,27,FALSE),"")</f>
        <v/>
      </c>
      <c r="CR36" s="12" t="str">
        <f>IFERROR(VLOOKUP($BV36,[2]Giacenza_Articoli!$A$2:$AO$10000,28,FALSE),"")</f>
        <v/>
      </c>
      <c r="CS36" s="12" t="str">
        <f>IFERROR(VLOOKUP($BV36,[2]Giacenza_Articoli!$A$2:$AO$10000,29,FALSE),"")</f>
        <v/>
      </c>
      <c r="CT36" s="12" t="str">
        <f>IFERROR(VLOOKUP($BV36,[2]Giacenza_Articoli!$A$2:$AO$10000,30,FALSE),"")</f>
        <v/>
      </c>
      <c r="CU36" s="12" t="str">
        <f>IFERROR(VLOOKUP($BV36,[2]Giacenza_Articoli!$A$2:$AO$10000,31,FALSE),"")</f>
        <v/>
      </c>
      <c r="CV36" s="12" t="str">
        <f>IFERROR(VLOOKUP($BV36,[2]Giacenza_Articoli!$A$2:$AO$10000,32,FALSE),"")</f>
        <v/>
      </c>
      <c r="CW36" s="12" t="str">
        <f>IFERROR(VLOOKUP($BV36,[2]Giacenza_Articoli!$A$2:$AO$10000,33,FALSE),"")</f>
        <v/>
      </c>
      <c r="CX36" s="12" t="str">
        <f>IFERROR(VLOOKUP($BV36,[2]Giacenza_Articoli!$A$2:$AO$10000,34,FALSE),"")</f>
        <v/>
      </c>
      <c r="CY36" s="12" t="str">
        <f>IFERROR(VLOOKUP($BV36,[2]Giacenza_Articoli!$A$2:$AO$10000,37,FALSE),"")</f>
        <v/>
      </c>
      <c r="CZ36" s="12" t="str">
        <f>IFERROR(VLOOKUP($BV36,[2]Giacenza_Articoli!$A$2:$AO$10000,38,FALSE),"")</f>
        <v/>
      </c>
      <c r="DA36" s="12" t="str">
        <f>IFERROR(VLOOKUP($BV36,[2]Giacenza_Articoli!$A$2:$AO$10000,39,FALSE),"")</f>
        <v/>
      </c>
    </row>
    <row r="37" spans="1:105" ht="11.1" customHeight="1">
      <c r="A37" s="5">
        <v>1</v>
      </c>
      <c r="B37" s="71"/>
      <c r="C37" s="72"/>
      <c r="D37" s="72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178"/>
      <c r="T37" s="179"/>
      <c r="U37" s="179"/>
      <c r="V37" s="180"/>
      <c r="W37" s="178"/>
      <c r="X37" s="179"/>
      <c r="Y37" s="180"/>
      <c r="Z37" s="178"/>
      <c r="AA37" s="179"/>
      <c r="AB37" s="179"/>
      <c r="AC37" s="179"/>
      <c r="AD37" s="180"/>
      <c r="AE37" s="73"/>
      <c r="AF37" s="73"/>
      <c r="AG37" s="73"/>
      <c r="AH37" s="73"/>
      <c r="AI37" s="73"/>
      <c r="AJ37" s="174"/>
      <c r="AK37" s="6"/>
      <c r="AL37" s="6"/>
      <c r="AM37" s="71"/>
      <c r="AN37" s="72"/>
      <c r="AO37" s="72"/>
      <c r="AP37" s="72"/>
      <c r="AQ37" s="72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4"/>
      <c r="BR37" s="75"/>
      <c r="BS37" s="75"/>
      <c r="BT37" s="75"/>
      <c r="BU37" s="76"/>
      <c r="BV37" s="64"/>
      <c r="BW37" s="12" t="str">
        <f>IFERROR(VLOOKUP($BV37,[2]Giacenza_Articoli!$A$2:$AO$10000,7,FALSE),"")</f>
        <v/>
      </c>
      <c r="BX37" s="12" t="str">
        <f>IFERROR(VLOOKUP($BV37,[2]Giacenza_Articoli!$A$2:$AO$10000,8,FALSE),"")</f>
        <v/>
      </c>
      <c r="BY37" s="12" t="str">
        <f>IFERROR(VLOOKUP($BV37,[2]Giacenza_Articoli!$A$2:$AO$10000,9,FALSE),"")</f>
        <v/>
      </c>
      <c r="BZ37" s="12" t="str">
        <f>IFERROR(VLOOKUP($BV37,[2]Giacenza_Articoli!$A$2:$AO$10000,10,FALSE),"")</f>
        <v/>
      </c>
      <c r="CA37" s="12" t="str">
        <f>IFERROR(VLOOKUP($BV37,[2]Giacenza_Articoli!$A$2:$AO$10000,11,FALSE),"")</f>
        <v/>
      </c>
      <c r="CB37" s="12" t="str">
        <f>IFERROR(VLOOKUP($BV37,[2]Giacenza_Articoli!$A$2:$AO$10000,12,FALSE),"")</f>
        <v/>
      </c>
      <c r="CC37" s="12" t="str">
        <f>IFERROR(VLOOKUP($BV37,[2]Giacenza_Articoli!$A$2:$AO$10000,13,FALSE),"")</f>
        <v/>
      </c>
      <c r="CD37" s="12" t="str">
        <f>IFERROR(VLOOKUP($BV37,[2]Giacenza_Articoli!$A$2:$AO$10000,14,FALSE),"")</f>
        <v/>
      </c>
      <c r="CE37" s="12" t="str">
        <f>IFERROR(VLOOKUP($BV37,[2]Giacenza_Articoli!$A$2:$AO$10000,15,FALSE),"")</f>
        <v/>
      </c>
      <c r="CF37" s="12" t="str">
        <f>IFERROR(VLOOKUP($BV37,[2]Giacenza_Articoli!$A$2:$AO$10000,16,FALSE),"")</f>
        <v/>
      </c>
      <c r="CG37" s="12" t="str">
        <f>IFERROR(VLOOKUP($BV37,[2]Giacenza_Articoli!$A$2:$AO$10000,17,FALSE),"")</f>
        <v/>
      </c>
      <c r="CH37" s="12" t="str">
        <f>IFERROR(VLOOKUP($BV37,[2]Giacenza_Articoli!$A$2:$AO$10000,18,FALSE),"")</f>
        <v/>
      </c>
      <c r="CI37" s="12" t="str">
        <f>IFERROR(VLOOKUP($BV37,[2]Giacenza_Articoli!$A$2:$AO$10000,19,FALSE),"")</f>
        <v/>
      </c>
      <c r="CJ37" s="12" t="str">
        <f>IFERROR(VLOOKUP($BV37,[2]Giacenza_Articoli!$A$2:$AO$10000,20,FALSE),"")</f>
        <v/>
      </c>
      <c r="CK37" s="12" t="str">
        <f>IFERROR(VLOOKUP($BV37,[2]Giacenza_Articoli!$A$2:$AO$10000,21,FALSE),"")</f>
        <v/>
      </c>
      <c r="CL37" s="12" t="str">
        <f>IFERROR(VLOOKUP($BV37,[2]Giacenza_Articoli!$A$2:$AO$10000,22,FALSE),"")</f>
        <v/>
      </c>
      <c r="CM37" s="12" t="str">
        <f>IFERROR(VLOOKUP($BV37,[2]Giacenza_Articoli!$A$2:$AO$10000,23,FALSE),"")</f>
        <v/>
      </c>
      <c r="CN37" s="12" t="str">
        <f>IFERROR(VLOOKUP($BV37,[2]Giacenza_Articoli!$A$2:$AO$10000,24,FALSE),"")</f>
        <v/>
      </c>
      <c r="CO37" s="12" t="str">
        <f>IFERROR(VLOOKUP($BV37,[2]Giacenza_Articoli!$A$2:$AO$10000,25,FALSE),"")</f>
        <v/>
      </c>
      <c r="CP37" s="12" t="str">
        <f>IFERROR(VLOOKUP($BV37,[2]Giacenza_Articoli!$A$2:$AO$10000,26,FALSE),"")</f>
        <v/>
      </c>
      <c r="CQ37" s="12" t="str">
        <f>IFERROR(VLOOKUP($BV37,[2]Giacenza_Articoli!$A$2:$AO$10000,27,FALSE),"")</f>
        <v/>
      </c>
      <c r="CR37" s="12" t="str">
        <f>IFERROR(VLOOKUP($BV37,[2]Giacenza_Articoli!$A$2:$AO$10000,28,FALSE),"")</f>
        <v/>
      </c>
      <c r="CS37" s="12" t="str">
        <f>IFERROR(VLOOKUP($BV37,[2]Giacenza_Articoli!$A$2:$AO$10000,29,FALSE),"")</f>
        <v/>
      </c>
      <c r="CT37" s="12" t="str">
        <f>IFERROR(VLOOKUP($BV37,[2]Giacenza_Articoli!$A$2:$AO$10000,30,FALSE),"")</f>
        <v/>
      </c>
      <c r="CU37" s="12" t="str">
        <f>IFERROR(VLOOKUP($BV37,[2]Giacenza_Articoli!$A$2:$AO$10000,31,FALSE),"")</f>
        <v/>
      </c>
      <c r="CV37" s="12" t="str">
        <f>IFERROR(VLOOKUP($BV37,[2]Giacenza_Articoli!$A$2:$AO$10000,32,FALSE),"")</f>
        <v/>
      </c>
      <c r="CW37" s="12" t="str">
        <f>IFERROR(VLOOKUP($BV37,[2]Giacenza_Articoli!$A$2:$AO$10000,33,FALSE),"")</f>
        <v/>
      </c>
      <c r="CX37" s="12" t="str">
        <f>IFERROR(VLOOKUP($BV37,[2]Giacenza_Articoli!$A$2:$AO$10000,34,FALSE),"")</f>
        <v/>
      </c>
      <c r="CY37" s="12" t="str">
        <f>IFERROR(VLOOKUP($BV37,[2]Giacenza_Articoli!$A$2:$AO$10000,37,FALSE),"")</f>
        <v/>
      </c>
      <c r="CZ37" s="12" t="str">
        <f>IFERROR(VLOOKUP($BV37,[2]Giacenza_Articoli!$A$2:$AO$10000,38,FALSE),"")</f>
        <v/>
      </c>
      <c r="DA37" s="12" t="str">
        <f>IFERROR(VLOOKUP($BV37,[2]Giacenza_Articoli!$A$2:$AO$10000,39,FALSE),"")</f>
        <v/>
      </c>
    </row>
    <row r="38" spans="1:105" ht="11.1" customHeight="1">
      <c r="A38" s="5">
        <v>1</v>
      </c>
      <c r="B38" s="71">
        <v>10</v>
      </c>
      <c r="C38" s="72"/>
      <c r="D38" s="72"/>
      <c r="E38" s="73" t="s">
        <v>320</v>
      </c>
      <c r="F38" s="73"/>
      <c r="G38" s="73"/>
      <c r="H38" s="73"/>
      <c r="I38" s="73"/>
      <c r="J38" s="73"/>
      <c r="K38" s="73"/>
      <c r="L38" s="73"/>
      <c r="M38" s="73"/>
      <c r="N38" s="73">
        <v>5450</v>
      </c>
      <c r="O38" s="73"/>
      <c r="P38" s="73"/>
      <c r="Q38" s="73"/>
      <c r="R38" s="73"/>
      <c r="S38" s="175">
        <v>17</v>
      </c>
      <c r="T38" s="176"/>
      <c r="U38" s="176"/>
      <c r="V38" s="177"/>
      <c r="W38" s="175"/>
      <c r="X38" s="176"/>
      <c r="Y38" s="177"/>
      <c r="Z38" s="175"/>
      <c r="AA38" s="176"/>
      <c r="AB38" s="176"/>
      <c r="AC38" s="176"/>
      <c r="AD38" s="177"/>
      <c r="AE38" s="73"/>
      <c r="AF38" s="73"/>
      <c r="AG38" s="73"/>
      <c r="AH38" s="73" t="s">
        <v>321</v>
      </c>
      <c r="AI38" s="73"/>
      <c r="AJ38" s="174"/>
      <c r="AK38" s="6"/>
      <c r="AL38" s="6"/>
      <c r="AM38" s="71" t="s">
        <v>31</v>
      </c>
      <c r="AN38" s="72"/>
      <c r="AO38" s="72"/>
      <c r="AP38" s="72"/>
      <c r="AQ38" s="72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4"/>
      <c r="BR38" s="75"/>
      <c r="BS38" s="75"/>
      <c r="BT38" s="75"/>
      <c r="BU38" s="76"/>
      <c r="BV38" s="64"/>
      <c r="BW38" s="12" t="str">
        <f>IFERROR(VLOOKUP($BV38,[2]Giacenza_Articoli!$A$2:$AO$10000,7,FALSE),"")</f>
        <v/>
      </c>
      <c r="BX38" s="12" t="str">
        <f>IFERROR(VLOOKUP($BV38,[2]Giacenza_Articoli!$A$2:$AO$10000,8,FALSE),"")</f>
        <v/>
      </c>
      <c r="BY38" s="12" t="str">
        <f>IFERROR(VLOOKUP($BV38,[2]Giacenza_Articoli!$A$2:$AO$10000,9,FALSE),"")</f>
        <v/>
      </c>
      <c r="BZ38" s="12" t="str">
        <f>IFERROR(VLOOKUP($BV38,[2]Giacenza_Articoli!$A$2:$AO$10000,10,FALSE),"")</f>
        <v/>
      </c>
      <c r="CA38" s="12" t="str">
        <f>IFERROR(VLOOKUP($BV38,[2]Giacenza_Articoli!$A$2:$AO$10000,11,FALSE),"")</f>
        <v/>
      </c>
      <c r="CB38" s="12" t="str">
        <f>IFERROR(VLOOKUP($BV38,[2]Giacenza_Articoli!$A$2:$AO$10000,12,FALSE),"")</f>
        <v/>
      </c>
      <c r="CC38" s="12" t="str">
        <f>IFERROR(VLOOKUP($BV38,[2]Giacenza_Articoli!$A$2:$AO$10000,13,FALSE),"")</f>
        <v/>
      </c>
      <c r="CD38" s="12" t="str">
        <f>IFERROR(VLOOKUP($BV38,[2]Giacenza_Articoli!$A$2:$AO$10000,14,FALSE),"")</f>
        <v/>
      </c>
      <c r="CE38" s="12" t="str">
        <f>IFERROR(VLOOKUP($BV38,[2]Giacenza_Articoli!$A$2:$AO$10000,15,FALSE),"")</f>
        <v/>
      </c>
      <c r="CF38" s="12" t="str">
        <f>IFERROR(VLOOKUP($BV38,[2]Giacenza_Articoli!$A$2:$AO$10000,16,FALSE),"")</f>
        <v/>
      </c>
      <c r="CG38" s="12" t="str">
        <f>IFERROR(VLOOKUP($BV38,[2]Giacenza_Articoli!$A$2:$AO$10000,17,FALSE),"")</f>
        <v/>
      </c>
      <c r="CH38" s="12" t="str">
        <f>IFERROR(VLOOKUP($BV38,[2]Giacenza_Articoli!$A$2:$AO$10000,18,FALSE),"")</f>
        <v/>
      </c>
      <c r="CI38" s="12" t="str">
        <f>IFERROR(VLOOKUP($BV38,[2]Giacenza_Articoli!$A$2:$AO$10000,19,FALSE),"")</f>
        <v/>
      </c>
      <c r="CJ38" s="12" t="str">
        <f>IFERROR(VLOOKUP($BV38,[2]Giacenza_Articoli!$A$2:$AO$10000,20,FALSE),"")</f>
        <v/>
      </c>
      <c r="CK38" s="12" t="str">
        <f>IFERROR(VLOOKUP($BV38,[2]Giacenza_Articoli!$A$2:$AO$10000,21,FALSE),"")</f>
        <v/>
      </c>
      <c r="CL38" s="12" t="str">
        <f>IFERROR(VLOOKUP($BV38,[2]Giacenza_Articoli!$A$2:$AO$10000,22,FALSE),"")</f>
        <v/>
      </c>
      <c r="CM38" s="12" t="str">
        <f>IFERROR(VLOOKUP($BV38,[2]Giacenza_Articoli!$A$2:$AO$10000,23,FALSE),"")</f>
        <v/>
      </c>
      <c r="CN38" s="12" t="str">
        <f>IFERROR(VLOOKUP($BV38,[2]Giacenza_Articoli!$A$2:$AO$10000,24,FALSE),"")</f>
        <v/>
      </c>
      <c r="CO38" s="12" t="str">
        <f>IFERROR(VLOOKUP($BV38,[2]Giacenza_Articoli!$A$2:$AO$10000,25,FALSE),"")</f>
        <v/>
      </c>
      <c r="CP38" s="12" t="str">
        <f>IFERROR(VLOOKUP($BV38,[2]Giacenza_Articoli!$A$2:$AO$10000,26,FALSE),"")</f>
        <v/>
      </c>
      <c r="CQ38" s="12" t="str">
        <f>IFERROR(VLOOKUP($BV38,[2]Giacenza_Articoli!$A$2:$AO$10000,27,FALSE),"")</f>
        <v/>
      </c>
      <c r="CR38" s="12" t="str">
        <f>IFERROR(VLOOKUP($BV38,[2]Giacenza_Articoli!$A$2:$AO$10000,28,FALSE),"")</f>
        <v/>
      </c>
      <c r="CS38" s="12" t="str">
        <f>IFERROR(VLOOKUP($BV38,[2]Giacenza_Articoli!$A$2:$AO$10000,29,FALSE),"")</f>
        <v/>
      </c>
      <c r="CT38" s="12" t="str">
        <f>IFERROR(VLOOKUP($BV38,[2]Giacenza_Articoli!$A$2:$AO$10000,30,FALSE),"")</f>
        <v/>
      </c>
      <c r="CU38" s="12" t="str">
        <f>IFERROR(VLOOKUP($BV38,[2]Giacenza_Articoli!$A$2:$AO$10000,31,FALSE),"")</f>
        <v/>
      </c>
      <c r="CV38" s="12" t="str">
        <f>IFERROR(VLOOKUP($BV38,[2]Giacenza_Articoli!$A$2:$AO$10000,32,FALSE),"")</f>
        <v/>
      </c>
      <c r="CW38" s="12" t="str">
        <f>IFERROR(VLOOKUP($BV38,[2]Giacenza_Articoli!$A$2:$AO$10000,33,FALSE),"")</f>
        <v/>
      </c>
      <c r="CX38" s="12" t="str">
        <f>IFERROR(VLOOKUP($BV38,[2]Giacenza_Articoli!$A$2:$AO$10000,34,FALSE),"")</f>
        <v/>
      </c>
      <c r="CY38" s="12" t="str">
        <f>IFERROR(VLOOKUP($BV38,[2]Giacenza_Articoli!$A$2:$AO$10000,37,FALSE),"")</f>
        <v/>
      </c>
      <c r="CZ38" s="12" t="str">
        <f>IFERROR(VLOOKUP($BV38,[2]Giacenza_Articoli!$A$2:$AO$10000,38,FALSE),"")</f>
        <v/>
      </c>
      <c r="DA38" s="12" t="str">
        <f>IFERROR(VLOOKUP($BV38,[2]Giacenza_Articoli!$A$2:$AO$10000,39,FALSE),"")</f>
        <v/>
      </c>
    </row>
    <row r="39" spans="1:105" ht="11.1" customHeight="1">
      <c r="A39" s="5">
        <v>1</v>
      </c>
      <c r="B39" s="71"/>
      <c r="C39" s="72"/>
      <c r="D39" s="72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178"/>
      <c r="T39" s="179"/>
      <c r="U39" s="179"/>
      <c r="V39" s="180"/>
      <c r="W39" s="178"/>
      <c r="X39" s="179"/>
      <c r="Y39" s="180"/>
      <c r="Z39" s="178"/>
      <c r="AA39" s="179"/>
      <c r="AB39" s="179"/>
      <c r="AC39" s="179"/>
      <c r="AD39" s="180"/>
      <c r="AE39" s="73"/>
      <c r="AF39" s="73"/>
      <c r="AG39" s="73"/>
      <c r="AH39" s="73"/>
      <c r="AI39" s="73"/>
      <c r="AJ39" s="174"/>
      <c r="AK39" s="6"/>
      <c r="AL39" s="6"/>
      <c r="AM39" s="71"/>
      <c r="AN39" s="72"/>
      <c r="AO39" s="72"/>
      <c r="AP39" s="72"/>
      <c r="AQ39" s="72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4"/>
      <c r="BR39" s="75"/>
      <c r="BS39" s="75"/>
      <c r="BT39" s="75"/>
      <c r="BU39" s="76"/>
      <c r="BV39" s="64"/>
      <c r="BW39" s="12" t="str">
        <f>IFERROR(VLOOKUP($BV39,[2]Giacenza_Articoli!$A$2:$AO$10000,7,FALSE),"")</f>
        <v/>
      </c>
      <c r="BX39" s="12" t="str">
        <f>IFERROR(VLOOKUP($BV39,[2]Giacenza_Articoli!$A$2:$AO$10000,8,FALSE),"")</f>
        <v/>
      </c>
      <c r="BY39" s="12" t="str">
        <f>IFERROR(VLOOKUP($BV39,[2]Giacenza_Articoli!$A$2:$AO$10000,9,FALSE),"")</f>
        <v/>
      </c>
      <c r="BZ39" s="12" t="str">
        <f>IFERROR(VLOOKUP($BV39,[2]Giacenza_Articoli!$A$2:$AO$10000,10,FALSE),"")</f>
        <v/>
      </c>
      <c r="CA39" s="12" t="str">
        <f>IFERROR(VLOOKUP($BV39,[2]Giacenza_Articoli!$A$2:$AO$10000,11,FALSE),"")</f>
        <v/>
      </c>
      <c r="CB39" s="12" t="str">
        <f>IFERROR(VLOOKUP($BV39,[2]Giacenza_Articoli!$A$2:$AO$10000,12,FALSE),"")</f>
        <v/>
      </c>
      <c r="CC39" s="12" t="str">
        <f>IFERROR(VLOOKUP($BV39,[2]Giacenza_Articoli!$A$2:$AO$10000,13,FALSE),"")</f>
        <v/>
      </c>
      <c r="CD39" s="12" t="str">
        <f>IFERROR(VLOOKUP($BV39,[2]Giacenza_Articoli!$A$2:$AO$10000,14,FALSE),"")</f>
        <v/>
      </c>
      <c r="CE39" s="12" t="str">
        <f>IFERROR(VLOOKUP($BV39,[2]Giacenza_Articoli!$A$2:$AO$10000,15,FALSE),"")</f>
        <v/>
      </c>
      <c r="CF39" s="12" t="str">
        <f>IFERROR(VLOOKUP($BV39,[2]Giacenza_Articoli!$A$2:$AO$10000,16,FALSE),"")</f>
        <v/>
      </c>
      <c r="CG39" s="12" t="str">
        <f>IFERROR(VLOOKUP($BV39,[2]Giacenza_Articoli!$A$2:$AO$10000,17,FALSE),"")</f>
        <v/>
      </c>
      <c r="CH39" s="12" t="str">
        <f>IFERROR(VLOOKUP($BV39,[2]Giacenza_Articoli!$A$2:$AO$10000,18,FALSE),"")</f>
        <v/>
      </c>
      <c r="CI39" s="12" t="str">
        <f>IFERROR(VLOOKUP($BV39,[2]Giacenza_Articoli!$A$2:$AO$10000,19,FALSE),"")</f>
        <v/>
      </c>
      <c r="CJ39" s="12" t="str">
        <f>IFERROR(VLOOKUP($BV39,[2]Giacenza_Articoli!$A$2:$AO$10000,20,FALSE),"")</f>
        <v/>
      </c>
      <c r="CK39" s="12" t="str">
        <f>IFERROR(VLOOKUP($BV39,[2]Giacenza_Articoli!$A$2:$AO$10000,21,FALSE),"")</f>
        <v/>
      </c>
      <c r="CL39" s="12" t="str">
        <f>IFERROR(VLOOKUP($BV39,[2]Giacenza_Articoli!$A$2:$AO$10000,22,FALSE),"")</f>
        <v/>
      </c>
      <c r="CM39" s="12" t="str">
        <f>IFERROR(VLOOKUP($BV39,[2]Giacenza_Articoli!$A$2:$AO$10000,23,FALSE),"")</f>
        <v/>
      </c>
      <c r="CN39" s="12" t="str">
        <f>IFERROR(VLOOKUP($BV39,[2]Giacenza_Articoli!$A$2:$AO$10000,24,FALSE),"")</f>
        <v/>
      </c>
      <c r="CO39" s="12" t="str">
        <f>IFERROR(VLOOKUP($BV39,[2]Giacenza_Articoli!$A$2:$AO$10000,25,FALSE),"")</f>
        <v/>
      </c>
      <c r="CP39" s="12" t="str">
        <f>IFERROR(VLOOKUP($BV39,[2]Giacenza_Articoli!$A$2:$AO$10000,26,FALSE),"")</f>
        <v/>
      </c>
      <c r="CQ39" s="12" t="str">
        <f>IFERROR(VLOOKUP($BV39,[2]Giacenza_Articoli!$A$2:$AO$10000,27,FALSE),"")</f>
        <v/>
      </c>
      <c r="CR39" s="12" t="str">
        <f>IFERROR(VLOOKUP($BV39,[2]Giacenza_Articoli!$A$2:$AO$10000,28,FALSE),"")</f>
        <v/>
      </c>
      <c r="CS39" s="12" t="str">
        <f>IFERROR(VLOOKUP($BV39,[2]Giacenza_Articoli!$A$2:$AO$10000,29,FALSE),"")</f>
        <v/>
      </c>
      <c r="CT39" s="12" t="str">
        <f>IFERROR(VLOOKUP($BV39,[2]Giacenza_Articoli!$A$2:$AO$10000,30,FALSE),"")</f>
        <v/>
      </c>
      <c r="CU39" s="12" t="str">
        <f>IFERROR(VLOOKUP($BV39,[2]Giacenza_Articoli!$A$2:$AO$10000,31,FALSE),"")</f>
        <v/>
      </c>
      <c r="CV39" s="12" t="str">
        <f>IFERROR(VLOOKUP($BV39,[2]Giacenza_Articoli!$A$2:$AO$10000,32,FALSE),"")</f>
        <v/>
      </c>
      <c r="CW39" s="12" t="str">
        <f>IFERROR(VLOOKUP($BV39,[2]Giacenza_Articoli!$A$2:$AO$10000,33,FALSE),"")</f>
        <v/>
      </c>
      <c r="CX39" s="12" t="str">
        <f>IFERROR(VLOOKUP($BV39,[2]Giacenza_Articoli!$A$2:$AO$10000,34,FALSE),"")</f>
        <v/>
      </c>
      <c r="CY39" s="12" t="str">
        <f>IFERROR(VLOOKUP($BV39,[2]Giacenza_Articoli!$A$2:$AO$10000,37,FALSE),"")</f>
        <v/>
      </c>
      <c r="CZ39" s="12" t="str">
        <f>IFERROR(VLOOKUP($BV39,[2]Giacenza_Articoli!$A$2:$AO$10000,38,FALSE),"")</f>
        <v/>
      </c>
      <c r="DA39" s="12" t="str">
        <f>IFERROR(VLOOKUP($BV39,[2]Giacenza_Articoli!$A$2:$AO$10000,39,FALSE),"")</f>
        <v/>
      </c>
    </row>
    <row r="40" spans="1:105" ht="11.1" customHeight="1">
      <c r="A40" s="5">
        <v>1</v>
      </c>
      <c r="B40" s="71">
        <v>11</v>
      </c>
      <c r="C40" s="72"/>
      <c r="D40" s="72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175"/>
      <c r="T40" s="176"/>
      <c r="U40" s="176"/>
      <c r="V40" s="177"/>
      <c r="W40" s="175"/>
      <c r="X40" s="176"/>
      <c r="Y40" s="177"/>
      <c r="Z40" s="175"/>
      <c r="AA40" s="176"/>
      <c r="AB40" s="176"/>
      <c r="AC40" s="176"/>
      <c r="AD40" s="177"/>
      <c r="AE40" s="73"/>
      <c r="AF40" s="73"/>
      <c r="AG40" s="73"/>
      <c r="AH40" s="73"/>
      <c r="AI40" s="73"/>
      <c r="AJ40" s="174"/>
      <c r="AK40" s="6"/>
      <c r="AL40" s="6"/>
      <c r="AM40" s="71"/>
      <c r="AN40" s="72"/>
      <c r="AO40" s="72"/>
      <c r="AP40" s="72"/>
      <c r="AQ40" s="72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74"/>
      <c r="BR40" s="75"/>
      <c r="BS40" s="75"/>
      <c r="BT40" s="75"/>
      <c r="BU40" s="76"/>
      <c r="BV40" s="64"/>
      <c r="BW40" s="12" t="str">
        <f>IFERROR(VLOOKUP($BV40,[2]Giacenza_Articoli!$A$2:$AO$10000,7,FALSE),"")</f>
        <v/>
      </c>
      <c r="BX40" s="12" t="str">
        <f>IFERROR(VLOOKUP($BV40,[2]Giacenza_Articoli!$A$2:$AO$10000,8,FALSE),"")</f>
        <v/>
      </c>
      <c r="BY40" s="12" t="str">
        <f>IFERROR(VLOOKUP($BV40,[2]Giacenza_Articoli!$A$2:$AO$10000,9,FALSE),"")</f>
        <v/>
      </c>
      <c r="BZ40" s="12" t="str">
        <f>IFERROR(VLOOKUP($BV40,[2]Giacenza_Articoli!$A$2:$AO$10000,10,FALSE),"")</f>
        <v/>
      </c>
      <c r="CA40" s="12" t="str">
        <f>IFERROR(VLOOKUP($BV40,[2]Giacenza_Articoli!$A$2:$AO$10000,11,FALSE),"")</f>
        <v/>
      </c>
      <c r="CB40" s="12" t="str">
        <f>IFERROR(VLOOKUP($BV40,[2]Giacenza_Articoli!$A$2:$AO$10000,12,FALSE),"")</f>
        <v/>
      </c>
      <c r="CC40" s="12" t="str">
        <f>IFERROR(VLOOKUP($BV40,[2]Giacenza_Articoli!$A$2:$AO$10000,13,FALSE),"")</f>
        <v/>
      </c>
      <c r="CD40" s="12" t="str">
        <f>IFERROR(VLOOKUP($BV40,[2]Giacenza_Articoli!$A$2:$AO$10000,14,FALSE),"")</f>
        <v/>
      </c>
      <c r="CE40" s="12" t="str">
        <f>IFERROR(VLOOKUP($BV40,[2]Giacenza_Articoli!$A$2:$AO$10000,15,FALSE),"")</f>
        <v/>
      </c>
      <c r="CF40" s="12" t="str">
        <f>IFERROR(VLOOKUP($BV40,[2]Giacenza_Articoli!$A$2:$AO$10000,16,FALSE),"")</f>
        <v/>
      </c>
      <c r="CG40" s="12" t="str">
        <f>IFERROR(VLOOKUP($BV40,[2]Giacenza_Articoli!$A$2:$AO$10000,17,FALSE),"")</f>
        <v/>
      </c>
      <c r="CH40" s="12" t="str">
        <f>IFERROR(VLOOKUP($BV40,[2]Giacenza_Articoli!$A$2:$AO$10000,18,FALSE),"")</f>
        <v/>
      </c>
      <c r="CI40" s="12" t="str">
        <f>IFERROR(VLOOKUP($BV40,[2]Giacenza_Articoli!$A$2:$AO$10000,19,FALSE),"")</f>
        <v/>
      </c>
      <c r="CJ40" s="12" t="str">
        <f>IFERROR(VLOOKUP($BV40,[2]Giacenza_Articoli!$A$2:$AO$10000,20,FALSE),"")</f>
        <v/>
      </c>
      <c r="CK40" s="12" t="str">
        <f>IFERROR(VLOOKUP($BV40,[2]Giacenza_Articoli!$A$2:$AO$10000,21,FALSE),"")</f>
        <v/>
      </c>
      <c r="CL40" s="12" t="str">
        <f>IFERROR(VLOOKUP($BV40,[2]Giacenza_Articoli!$A$2:$AO$10000,22,FALSE),"")</f>
        <v/>
      </c>
      <c r="CM40" s="12" t="str">
        <f>IFERROR(VLOOKUP($BV40,[2]Giacenza_Articoli!$A$2:$AO$10000,23,FALSE),"")</f>
        <v/>
      </c>
      <c r="CN40" s="12" t="str">
        <f>IFERROR(VLOOKUP($BV40,[2]Giacenza_Articoli!$A$2:$AO$10000,24,FALSE),"")</f>
        <v/>
      </c>
      <c r="CO40" s="12" t="str">
        <f>IFERROR(VLOOKUP($BV40,[2]Giacenza_Articoli!$A$2:$AO$10000,25,FALSE),"")</f>
        <v/>
      </c>
      <c r="CP40" s="12" t="str">
        <f>IFERROR(VLOOKUP($BV40,[2]Giacenza_Articoli!$A$2:$AO$10000,26,FALSE),"")</f>
        <v/>
      </c>
      <c r="CQ40" s="12" t="str">
        <f>IFERROR(VLOOKUP($BV40,[2]Giacenza_Articoli!$A$2:$AO$10000,27,FALSE),"")</f>
        <v/>
      </c>
      <c r="CR40" s="12" t="str">
        <f>IFERROR(VLOOKUP($BV40,[2]Giacenza_Articoli!$A$2:$AO$10000,28,FALSE),"")</f>
        <v/>
      </c>
      <c r="CS40" s="12" t="str">
        <f>IFERROR(VLOOKUP($BV40,[2]Giacenza_Articoli!$A$2:$AO$10000,29,FALSE),"")</f>
        <v/>
      </c>
      <c r="CT40" s="12" t="str">
        <f>IFERROR(VLOOKUP($BV40,[2]Giacenza_Articoli!$A$2:$AO$10000,30,FALSE),"")</f>
        <v/>
      </c>
      <c r="CU40" s="12" t="str">
        <f>IFERROR(VLOOKUP($BV40,[2]Giacenza_Articoli!$A$2:$AO$10000,31,FALSE),"")</f>
        <v/>
      </c>
      <c r="CV40" s="12" t="str">
        <f>IFERROR(VLOOKUP($BV40,[2]Giacenza_Articoli!$A$2:$AO$10000,32,FALSE),"")</f>
        <v/>
      </c>
      <c r="CW40" s="12" t="str">
        <f>IFERROR(VLOOKUP($BV40,[2]Giacenza_Articoli!$A$2:$AO$10000,33,FALSE),"")</f>
        <v/>
      </c>
      <c r="CX40" s="12" t="str">
        <f>IFERROR(VLOOKUP($BV40,[2]Giacenza_Articoli!$A$2:$AO$10000,34,FALSE),"")</f>
        <v/>
      </c>
      <c r="CY40" s="12" t="str">
        <f>IFERROR(VLOOKUP($BV40,[2]Giacenza_Articoli!$A$2:$AO$10000,37,FALSE),"")</f>
        <v/>
      </c>
      <c r="CZ40" s="12" t="str">
        <f>IFERROR(VLOOKUP($BV40,[2]Giacenza_Articoli!$A$2:$AO$10000,38,FALSE),"")</f>
        <v/>
      </c>
      <c r="DA40" s="12" t="str">
        <f>IFERROR(VLOOKUP($BV40,[2]Giacenza_Articoli!$A$2:$AO$10000,39,FALSE),"")</f>
        <v/>
      </c>
    </row>
    <row r="41" spans="1:105" ht="11.1" customHeight="1">
      <c r="A41" s="5">
        <v>1</v>
      </c>
      <c r="B41" s="71"/>
      <c r="C41" s="72"/>
      <c r="D41" s="72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178"/>
      <c r="T41" s="179"/>
      <c r="U41" s="179"/>
      <c r="V41" s="180"/>
      <c r="W41" s="178"/>
      <c r="X41" s="179"/>
      <c r="Y41" s="180"/>
      <c r="Z41" s="178"/>
      <c r="AA41" s="179"/>
      <c r="AB41" s="179"/>
      <c r="AC41" s="179"/>
      <c r="AD41" s="180"/>
      <c r="AE41" s="73"/>
      <c r="AF41" s="73"/>
      <c r="AG41" s="73"/>
      <c r="AH41" s="73"/>
      <c r="AI41" s="73"/>
      <c r="AJ41" s="174"/>
      <c r="AK41" s="6"/>
      <c r="AL41" s="6"/>
      <c r="AM41" s="71" t="s">
        <v>32</v>
      </c>
      <c r="AN41" s="72"/>
      <c r="AO41" s="72"/>
      <c r="AP41" s="72"/>
      <c r="AQ41" s="72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4"/>
      <c r="BR41" s="75"/>
      <c r="BS41" s="75"/>
      <c r="BT41" s="75"/>
      <c r="BU41" s="76"/>
      <c r="BV41" s="19">
        <f>COUNTA(BV7:BV40)</f>
        <v>2</v>
      </c>
      <c r="BW41" s="19">
        <f>COUNTIF(BW7:BW40,BW6)</f>
        <v>2</v>
      </c>
      <c r="BX41" s="19">
        <f t="shared" ref="BX41:DA41" si="0">COUNTIF(BX7:BX40,BX6)</f>
        <v>2</v>
      </c>
      <c r="BY41" s="19">
        <f t="shared" si="0"/>
        <v>2</v>
      </c>
      <c r="BZ41" s="19">
        <f t="shared" si="0"/>
        <v>2</v>
      </c>
      <c r="CA41" s="19">
        <f t="shared" si="0"/>
        <v>2</v>
      </c>
      <c r="CB41" s="19">
        <f t="shared" si="0"/>
        <v>2</v>
      </c>
      <c r="CC41" s="19">
        <f t="shared" si="0"/>
        <v>2</v>
      </c>
      <c r="CD41" s="19">
        <f t="shared" si="0"/>
        <v>2</v>
      </c>
      <c r="CE41" s="19">
        <f t="shared" si="0"/>
        <v>2</v>
      </c>
      <c r="CF41" s="19">
        <f t="shared" si="0"/>
        <v>2</v>
      </c>
      <c r="CG41" s="19">
        <f t="shared" si="0"/>
        <v>2</v>
      </c>
      <c r="CH41" s="19">
        <f t="shared" si="0"/>
        <v>2</v>
      </c>
      <c r="CI41" s="19">
        <f t="shared" si="0"/>
        <v>2</v>
      </c>
      <c r="CJ41" s="19">
        <f t="shared" si="0"/>
        <v>2</v>
      </c>
      <c r="CK41" s="19">
        <f t="shared" si="0"/>
        <v>2</v>
      </c>
      <c r="CL41" s="19">
        <f t="shared" si="0"/>
        <v>2</v>
      </c>
      <c r="CM41" s="19">
        <f t="shared" si="0"/>
        <v>2</v>
      </c>
      <c r="CN41" s="19">
        <f t="shared" si="0"/>
        <v>2</v>
      </c>
      <c r="CO41" s="19">
        <f t="shared" si="0"/>
        <v>2</v>
      </c>
      <c r="CP41" s="19">
        <f t="shared" si="0"/>
        <v>2</v>
      </c>
      <c r="CQ41" s="19">
        <f t="shared" si="0"/>
        <v>2</v>
      </c>
      <c r="CR41" s="19">
        <f t="shared" si="0"/>
        <v>2</v>
      </c>
      <c r="CS41" s="19">
        <f t="shared" si="0"/>
        <v>2</v>
      </c>
      <c r="CT41" s="19">
        <f t="shared" si="0"/>
        <v>2</v>
      </c>
      <c r="CU41" s="19">
        <f t="shared" si="0"/>
        <v>2</v>
      </c>
      <c r="CV41" s="19">
        <f t="shared" si="0"/>
        <v>2</v>
      </c>
      <c r="CW41" s="19">
        <f t="shared" si="0"/>
        <v>2</v>
      </c>
      <c r="CX41" s="19">
        <f t="shared" si="0"/>
        <v>2</v>
      </c>
      <c r="CY41" s="19">
        <f t="shared" si="0"/>
        <v>2</v>
      </c>
      <c r="CZ41" s="19">
        <f t="shared" si="0"/>
        <v>2</v>
      </c>
      <c r="DA41" s="19">
        <f t="shared" si="0"/>
        <v>2</v>
      </c>
    </row>
    <row r="42" spans="1:105" ht="11.1" customHeight="1">
      <c r="A42" s="5">
        <v>1</v>
      </c>
      <c r="B42" s="71">
        <v>12</v>
      </c>
      <c r="C42" s="72"/>
      <c r="D42" s="72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175"/>
      <c r="T42" s="176"/>
      <c r="U42" s="176"/>
      <c r="V42" s="177"/>
      <c r="W42" s="175"/>
      <c r="X42" s="176"/>
      <c r="Y42" s="177"/>
      <c r="Z42" s="175"/>
      <c r="AA42" s="176"/>
      <c r="AB42" s="176"/>
      <c r="AC42" s="176"/>
      <c r="AD42" s="177"/>
      <c r="AE42" s="73"/>
      <c r="AF42" s="73"/>
      <c r="AG42" s="73"/>
      <c r="AH42" s="73"/>
      <c r="AI42" s="73"/>
      <c r="AJ42" s="174"/>
      <c r="AK42" s="6"/>
      <c r="AL42" s="6"/>
      <c r="AM42" s="71"/>
      <c r="AN42" s="72"/>
      <c r="AO42" s="72"/>
      <c r="AP42" s="72"/>
      <c r="AQ42" s="72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4"/>
      <c r="BR42" s="75"/>
      <c r="BS42" s="75"/>
      <c r="BT42" s="75"/>
      <c r="BU42" s="76"/>
      <c r="BV42" s="19"/>
      <c r="BW42" s="19" t="b">
        <f>EXACT(BW41,$BV$41)</f>
        <v>1</v>
      </c>
      <c r="BX42" s="19" t="b">
        <f t="shared" ref="BX42:DA42" si="1">EXACT(BX41,$BV$41)</f>
        <v>1</v>
      </c>
      <c r="BY42" s="19" t="b">
        <f t="shared" si="1"/>
        <v>1</v>
      </c>
      <c r="BZ42" s="19" t="b">
        <f t="shared" si="1"/>
        <v>1</v>
      </c>
      <c r="CA42" s="19" t="b">
        <f t="shared" si="1"/>
        <v>1</v>
      </c>
      <c r="CB42" s="19" t="b">
        <f t="shared" si="1"/>
        <v>1</v>
      </c>
      <c r="CC42" s="19" t="b">
        <f t="shared" si="1"/>
        <v>1</v>
      </c>
      <c r="CD42" s="19" t="b">
        <f t="shared" si="1"/>
        <v>1</v>
      </c>
      <c r="CE42" s="19" t="b">
        <f t="shared" si="1"/>
        <v>1</v>
      </c>
      <c r="CF42" s="19" t="b">
        <f t="shared" si="1"/>
        <v>1</v>
      </c>
      <c r="CG42" s="19" t="b">
        <f t="shared" si="1"/>
        <v>1</v>
      </c>
      <c r="CH42" s="19" t="b">
        <f t="shared" si="1"/>
        <v>1</v>
      </c>
      <c r="CI42" s="19" t="b">
        <f t="shared" si="1"/>
        <v>1</v>
      </c>
      <c r="CJ42" s="19" t="b">
        <f t="shared" si="1"/>
        <v>1</v>
      </c>
      <c r="CK42" s="19" t="b">
        <f t="shared" si="1"/>
        <v>1</v>
      </c>
      <c r="CL42" s="19" t="b">
        <f t="shared" si="1"/>
        <v>1</v>
      </c>
      <c r="CM42" s="19" t="b">
        <f t="shared" si="1"/>
        <v>1</v>
      </c>
      <c r="CN42" s="19" t="b">
        <f t="shared" si="1"/>
        <v>1</v>
      </c>
      <c r="CO42" s="19" t="b">
        <f t="shared" si="1"/>
        <v>1</v>
      </c>
      <c r="CP42" s="19" t="b">
        <f t="shared" si="1"/>
        <v>1</v>
      </c>
      <c r="CQ42" s="19" t="b">
        <f t="shared" si="1"/>
        <v>1</v>
      </c>
      <c r="CR42" s="19" t="b">
        <f t="shared" si="1"/>
        <v>1</v>
      </c>
      <c r="CS42" s="19" t="b">
        <f t="shared" si="1"/>
        <v>1</v>
      </c>
      <c r="CT42" s="19" t="b">
        <f t="shared" si="1"/>
        <v>1</v>
      </c>
      <c r="CU42" s="19" t="b">
        <f t="shared" si="1"/>
        <v>1</v>
      </c>
      <c r="CV42" s="19" t="b">
        <f t="shared" si="1"/>
        <v>1</v>
      </c>
      <c r="CW42" s="19" t="b">
        <f t="shared" si="1"/>
        <v>1</v>
      </c>
      <c r="CX42" s="19" t="b">
        <f t="shared" si="1"/>
        <v>1</v>
      </c>
      <c r="CY42" s="19" t="b">
        <f t="shared" si="1"/>
        <v>1</v>
      </c>
      <c r="CZ42" s="19" t="b">
        <f t="shared" si="1"/>
        <v>1</v>
      </c>
      <c r="DA42" s="19" t="b">
        <f t="shared" si="1"/>
        <v>1</v>
      </c>
    </row>
    <row r="43" spans="1:105" ht="11.1" customHeight="1" thickBot="1">
      <c r="A43" s="5">
        <v>1</v>
      </c>
      <c r="B43" s="71"/>
      <c r="C43" s="72"/>
      <c r="D43" s="72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178"/>
      <c r="T43" s="179"/>
      <c r="U43" s="179"/>
      <c r="V43" s="180"/>
      <c r="W43" s="178"/>
      <c r="X43" s="179"/>
      <c r="Y43" s="180"/>
      <c r="Z43" s="178"/>
      <c r="AA43" s="179"/>
      <c r="AB43" s="179"/>
      <c r="AC43" s="179"/>
      <c r="AD43" s="180"/>
      <c r="AE43" s="73"/>
      <c r="AF43" s="73"/>
      <c r="AG43" s="73"/>
      <c r="AH43" s="73"/>
      <c r="AI43" s="73"/>
      <c r="AJ43" s="174"/>
      <c r="AK43" s="6"/>
      <c r="AL43" s="6"/>
      <c r="AM43" s="94"/>
      <c r="AN43" s="95"/>
      <c r="AO43" s="95"/>
      <c r="AP43" s="95"/>
      <c r="AQ43" s="95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7"/>
      <c r="BQ43" s="78"/>
      <c r="BR43" s="79"/>
      <c r="BS43" s="79"/>
      <c r="BT43" s="79"/>
      <c r="BU43" s="80"/>
      <c r="BV43" s="12"/>
      <c r="BW43" s="64" t="str">
        <f>IF(BW42=TRUE,BW6,"ERR.")</f>
        <v>-</v>
      </c>
      <c r="BX43" s="64" t="str">
        <f t="shared" ref="BX43:DA43" si="2">IF(BX42=TRUE,BX6,"ERR.")</f>
        <v>GC2</v>
      </c>
      <c r="BY43" s="64">
        <f t="shared" si="2"/>
        <v>270</v>
      </c>
      <c r="BZ43" s="64" t="str">
        <f t="shared" si="2"/>
        <v>C</v>
      </c>
      <c r="CA43" s="64" t="str">
        <f t="shared" si="2"/>
        <v>M</v>
      </c>
      <c r="CB43" s="64" t="str">
        <f t="shared" si="2"/>
        <v>Y</v>
      </c>
      <c r="CC43" s="64" t="str">
        <f t="shared" si="2"/>
        <v>K</v>
      </c>
      <c r="CD43" s="64">
        <f t="shared" si="2"/>
        <v>877</v>
      </c>
      <c r="CE43" s="64">
        <f t="shared" si="2"/>
        <v>0</v>
      </c>
      <c r="CF43" s="64">
        <f t="shared" si="2"/>
        <v>0</v>
      </c>
      <c r="CG43" s="64">
        <f t="shared" si="2"/>
        <v>0</v>
      </c>
      <c r="CH43" s="64">
        <f t="shared" si="2"/>
        <v>0</v>
      </c>
      <c r="CI43" s="64">
        <f t="shared" si="2"/>
        <v>0</v>
      </c>
      <c r="CJ43" s="64" t="str">
        <f t="shared" si="2"/>
        <v>PO0039</v>
      </c>
      <c r="CK43" s="64">
        <f t="shared" si="2"/>
        <v>80</v>
      </c>
      <c r="CL43" s="64" t="str">
        <f t="shared" si="2"/>
        <v>DRIP OFF</v>
      </c>
      <c r="CM43" s="64" t="str">
        <f t="shared" si="2"/>
        <v>UV LUCIDO</v>
      </c>
      <c r="CN43" s="64">
        <f t="shared" si="2"/>
        <v>0</v>
      </c>
      <c r="CO43" s="64">
        <f t="shared" si="2"/>
        <v>0</v>
      </c>
      <c r="CP43" s="64">
        <f t="shared" si="2"/>
        <v>0</v>
      </c>
      <c r="CQ43" s="64">
        <f t="shared" si="2"/>
        <v>0</v>
      </c>
      <c r="CR43" s="64">
        <f t="shared" si="2"/>
        <v>0</v>
      </c>
      <c r="CS43" s="64">
        <f t="shared" si="2"/>
        <v>0</v>
      </c>
      <c r="CT43" s="64">
        <f t="shared" si="2"/>
        <v>0</v>
      </c>
      <c r="CU43" s="64" t="str">
        <f t="shared" si="2"/>
        <v>FU0443</v>
      </c>
      <c r="CV43" s="64">
        <f t="shared" si="2"/>
        <v>0</v>
      </c>
      <c r="CW43" s="64" t="str">
        <f t="shared" si="2"/>
        <v>NO</v>
      </c>
      <c r="CX43" s="64">
        <f t="shared" si="2"/>
        <v>0</v>
      </c>
      <c r="CY43" s="64" t="str">
        <f t="shared" si="2"/>
        <v>T1</v>
      </c>
      <c r="CZ43" s="64">
        <f t="shared" si="2"/>
        <v>325</v>
      </c>
      <c r="DA43" s="64">
        <f t="shared" si="2"/>
        <v>6.65</v>
      </c>
    </row>
    <row r="44" spans="1:105" ht="11.1" customHeight="1" thickBot="1">
      <c r="A44" s="5">
        <v>1</v>
      </c>
      <c r="B44" s="71">
        <v>13</v>
      </c>
      <c r="C44" s="72"/>
      <c r="D44" s="72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175"/>
      <c r="T44" s="176"/>
      <c r="U44" s="176"/>
      <c r="V44" s="177"/>
      <c r="W44" s="175"/>
      <c r="X44" s="176"/>
      <c r="Y44" s="177"/>
      <c r="Z44" s="175"/>
      <c r="AA44" s="176"/>
      <c r="AB44" s="176"/>
      <c r="AC44" s="176"/>
      <c r="AD44" s="177"/>
      <c r="AE44" s="73"/>
      <c r="AF44" s="73"/>
      <c r="AG44" s="73"/>
      <c r="AH44" s="73"/>
      <c r="AI44" s="73"/>
      <c r="AJ44" s="174"/>
      <c r="AK44" s="6"/>
      <c r="AL44" s="6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</row>
    <row r="45" spans="1:105" ht="11.1" customHeight="1">
      <c r="A45" s="5">
        <v>1</v>
      </c>
      <c r="B45" s="71"/>
      <c r="C45" s="72"/>
      <c r="D45" s="72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178"/>
      <c r="T45" s="179"/>
      <c r="U45" s="179"/>
      <c r="V45" s="180"/>
      <c r="W45" s="178"/>
      <c r="X45" s="179"/>
      <c r="Y45" s="180"/>
      <c r="Z45" s="178"/>
      <c r="AA45" s="179"/>
      <c r="AB45" s="179"/>
      <c r="AC45" s="179"/>
      <c r="AD45" s="180"/>
      <c r="AE45" s="73"/>
      <c r="AF45" s="73"/>
      <c r="AG45" s="73"/>
      <c r="AH45" s="73"/>
      <c r="AI45" s="73"/>
      <c r="AJ45" s="174"/>
      <c r="AK45" s="6"/>
      <c r="AL45" s="6"/>
      <c r="AM45" s="91" t="s">
        <v>56</v>
      </c>
      <c r="AN45" s="92"/>
      <c r="AO45" s="93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2"/>
    </row>
    <row r="46" spans="1:105" ht="11.1" customHeight="1">
      <c r="A46" s="5">
        <v>1</v>
      </c>
      <c r="B46" s="71">
        <v>14</v>
      </c>
      <c r="C46" s="72"/>
      <c r="D46" s="72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175"/>
      <c r="T46" s="176"/>
      <c r="U46" s="176"/>
      <c r="V46" s="177"/>
      <c r="W46" s="175"/>
      <c r="X46" s="176"/>
      <c r="Y46" s="177"/>
      <c r="Z46" s="175"/>
      <c r="AA46" s="176"/>
      <c r="AB46" s="176"/>
      <c r="AC46" s="176"/>
      <c r="AD46" s="177"/>
      <c r="AE46" s="73"/>
      <c r="AF46" s="73"/>
      <c r="AG46" s="73"/>
      <c r="AH46" s="73"/>
      <c r="AI46" s="73"/>
      <c r="AJ46" s="174"/>
      <c r="AK46" s="6"/>
      <c r="AL46" s="6"/>
      <c r="AM46" s="82" t="s">
        <v>58</v>
      </c>
      <c r="AN46" s="83"/>
      <c r="AO46" s="83"/>
      <c r="AP46" s="24" t="str">
        <f>IF(BZ$43&lt;&gt;"ERR.",BZ$43,"")</f>
        <v>C</v>
      </c>
      <c r="AQ46" s="24" t="str">
        <f t="shared" ref="AQ46:AS46" si="3">IF(CA$43&lt;&gt;"ERR.",CA$43,"")</f>
        <v>M</v>
      </c>
      <c r="AR46" s="24" t="str">
        <f t="shared" si="3"/>
        <v>Y</v>
      </c>
      <c r="AS46" s="24" t="str">
        <f t="shared" si="3"/>
        <v>K</v>
      </c>
      <c r="AT46" s="83" t="s">
        <v>57</v>
      </c>
      <c r="AU46" s="83"/>
      <c r="AV46" s="83"/>
      <c r="AW46" s="84">
        <f>IF(CD$43&lt;&gt;"ERR.",CD$43,"")</f>
        <v>877</v>
      </c>
      <c r="AX46" s="84"/>
      <c r="AY46" s="84"/>
      <c r="AZ46" s="84">
        <f>IF(CE$43&lt;&gt;"ERR.",CE$43,"")</f>
        <v>0</v>
      </c>
      <c r="BA46" s="84"/>
      <c r="BB46" s="84"/>
      <c r="BC46" s="84">
        <f>IF(CF$43&lt;&gt;"ERR.",CF$43,"")</f>
        <v>0</v>
      </c>
      <c r="BD46" s="84"/>
      <c r="BE46" s="84"/>
      <c r="BF46" s="84">
        <f>IF(CG$43&lt;&gt;"ERR.",CG$43,"")</f>
        <v>0</v>
      </c>
      <c r="BG46" s="84"/>
      <c r="BH46" s="84"/>
      <c r="BI46" s="84">
        <f>IF(CH$43&lt;&gt;"ERR.",CH$43,"")</f>
        <v>0</v>
      </c>
      <c r="BJ46" s="84"/>
      <c r="BK46" s="84"/>
      <c r="BL46" s="84">
        <f>IF(CI$43&lt;&gt;"ERR.",CI$43,"")</f>
        <v>0</v>
      </c>
      <c r="BM46" s="84"/>
      <c r="BN46" s="84"/>
      <c r="BO46" s="84"/>
      <c r="BP46" s="84"/>
      <c r="BQ46" s="84"/>
      <c r="BR46" s="81"/>
      <c r="BS46" s="81"/>
      <c r="BT46" s="81"/>
      <c r="BU46" s="25"/>
    </row>
    <row r="47" spans="1:105" ht="11.1" customHeight="1">
      <c r="A47" s="5">
        <v>1</v>
      </c>
      <c r="B47" s="71"/>
      <c r="C47" s="72"/>
      <c r="D47" s="72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178"/>
      <c r="T47" s="179"/>
      <c r="U47" s="179"/>
      <c r="V47" s="180"/>
      <c r="W47" s="178"/>
      <c r="X47" s="179"/>
      <c r="Y47" s="180"/>
      <c r="Z47" s="178"/>
      <c r="AA47" s="179"/>
      <c r="AB47" s="179"/>
      <c r="AC47" s="179"/>
      <c r="AD47" s="180"/>
      <c r="AE47" s="73"/>
      <c r="AF47" s="73"/>
      <c r="AG47" s="73"/>
      <c r="AH47" s="73"/>
      <c r="AI47" s="73"/>
      <c r="AJ47" s="174"/>
      <c r="AK47" s="6"/>
      <c r="AL47" s="6"/>
      <c r="AM47" s="82" t="s">
        <v>59</v>
      </c>
      <c r="AN47" s="83"/>
      <c r="AO47" s="83"/>
      <c r="AP47" s="89" t="str">
        <f>IF(CJ$43&lt;&gt;"ERR.",CJ$43,"")</f>
        <v>PO0039</v>
      </c>
      <c r="AQ47" s="89"/>
      <c r="AR47" s="89"/>
      <c r="AS47" s="89"/>
      <c r="AT47" s="83" t="s">
        <v>60</v>
      </c>
      <c r="AU47" s="83"/>
      <c r="AV47" s="83"/>
      <c r="AW47" s="84" t="str">
        <f>IF(CL$43&lt;&gt;"ERR.",CL$43,"")</f>
        <v>DRIP OFF</v>
      </c>
      <c r="AX47" s="84"/>
      <c r="AY47" s="84"/>
      <c r="AZ47" s="84"/>
      <c r="BA47" s="84"/>
      <c r="BB47" s="84"/>
      <c r="BC47" s="84"/>
      <c r="BD47" s="84"/>
      <c r="BE47" s="84"/>
      <c r="BU47" s="25"/>
    </row>
    <row r="48" spans="1:105" ht="11.1" customHeight="1">
      <c r="A48" s="5">
        <v>1</v>
      </c>
      <c r="B48" s="71">
        <v>15</v>
      </c>
      <c r="C48" s="72"/>
      <c r="D48" s="72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175"/>
      <c r="T48" s="176"/>
      <c r="U48" s="176"/>
      <c r="V48" s="177"/>
      <c r="W48" s="175"/>
      <c r="X48" s="176"/>
      <c r="Y48" s="177"/>
      <c r="Z48" s="175"/>
      <c r="AA48" s="176"/>
      <c r="AB48" s="176"/>
      <c r="AC48" s="176"/>
      <c r="AD48" s="177"/>
      <c r="AE48" s="73"/>
      <c r="AF48" s="73"/>
      <c r="AG48" s="73"/>
      <c r="AH48" s="73"/>
      <c r="AI48" s="73"/>
      <c r="AJ48" s="174"/>
      <c r="AK48" s="6"/>
      <c r="AL48" s="6"/>
      <c r="AM48" s="2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U48" s="25"/>
    </row>
    <row r="49" spans="1:77" ht="11.1" customHeight="1">
      <c r="A49" s="5">
        <v>1</v>
      </c>
      <c r="B49" s="71"/>
      <c r="C49" s="72"/>
      <c r="D49" s="72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178"/>
      <c r="T49" s="179"/>
      <c r="U49" s="179"/>
      <c r="V49" s="180"/>
      <c r="W49" s="178"/>
      <c r="X49" s="179"/>
      <c r="Y49" s="180"/>
      <c r="Z49" s="178"/>
      <c r="AA49" s="179"/>
      <c r="AB49" s="179"/>
      <c r="AC49" s="179"/>
      <c r="AD49" s="180"/>
      <c r="AE49" s="73"/>
      <c r="AF49" s="73"/>
      <c r="AG49" s="73"/>
      <c r="AH49" s="73"/>
      <c r="AI49" s="73"/>
      <c r="AJ49" s="174"/>
      <c r="AK49" s="6"/>
      <c r="AL49" s="6"/>
      <c r="AM49" s="161" t="s">
        <v>6</v>
      </c>
      <c r="AN49" s="162"/>
      <c r="AO49" s="162"/>
      <c r="AP49" s="163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U49" s="25"/>
    </row>
    <row r="50" spans="1:77" ht="11.1" customHeight="1">
      <c r="A50" s="5">
        <v>1</v>
      </c>
      <c r="B50" s="71">
        <v>16</v>
      </c>
      <c r="C50" s="72"/>
      <c r="D50" s="72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175"/>
      <c r="T50" s="176"/>
      <c r="U50" s="176"/>
      <c r="V50" s="177"/>
      <c r="W50" s="175"/>
      <c r="X50" s="176"/>
      <c r="Y50" s="177"/>
      <c r="Z50" s="175"/>
      <c r="AA50" s="176"/>
      <c r="AB50" s="176"/>
      <c r="AC50" s="176"/>
      <c r="AD50" s="177"/>
      <c r="AE50" s="73"/>
      <c r="AF50" s="73"/>
      <c r="AG50" s="73"/>
      <c r="AH50" s="73"/>
      <c r="AI50" s="73"/>
      <c r="AJ50" s="174"/>
      <c r="AK50" s="6"/>
      <c r="AL50" s="6"/>
      <c r="AM50" s="82" t="s">
        <v>61</v>
      </c>
      <c r="AN50" s="83"/>
      <c r="AO50" s="83"/>
      <c r="AP50" s="159">
        <v>6</v>
      </c>
      <c r="AQ50" s="159"/>
      <c r="AR50" s="159"/>
      <c r="AS50" s="83" t="s">
        <v>62</v>
      </c>
      <c r="AT50" s="83"/>
      <c r="AU50" s="83"/>
      <c r="AV50" s="83"/>
      <c r="AW50" s="160">
        <f>IF(CK$43&lt;&gt;"ERR.",CK$43,"")</f>
        <v>80</v>
      </c>
      <c r="AX50" s="160"/>
      <c r="AY50" s="160"/>
      <c r="AZ50" s="83" t="s">
        <v>63</v>
      </c>
      <c r="BA50" s="83"/>
      <c r="BB50" s="83"/>
      <c r="BC50" s="159">
        <v>13</v>
      </c>
      <c r="BD50" s="159"/>
      <c r="BE50" s="159"/>
      <c r="BF50" s="83" t="s">
        <v>64</v>
      </c>
      <c r="BG50" s="83"/>
      <c r="BH50" s="83"/>
      <c r="BI50" s="159">
        <v>1</v>
      </c>
      <c r="BJ50" s="159"/>
      <c r="BK50" s="159"/>
      <c r="BL50" s="83" t="s">
        <v>65</v>
      </c>
      <c r="BM50" s="83"/>
      <c r="BN50" s="83"/>
      <c r="BO50" s="83"/>
      <c r="BP50" s="83"/>
      <c r="BQ50" s="83"/>
      <c r="BR50" s="83"/>
      <c r="BS50" s="159" t="s">
        <v>316</v>
      </c>
      <c r="BT50" s="159"/>
      <c r="BU50" s="28"/>
    </row>
    <row r="51" spans="1:77" ht="11.1" customHeight="1">
      <c r="A51" s="5">
        <v>1</v>
      </c>
      <c r="B51" s="71"/>
      <c r="C51" s="72"/>
      <c r="D51" s="72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178"/>
      <c r="T51" s="179"/>
      <c r="U51" s="179"/>
      <c r="V51" s="180"/>
      <c r="W51" s="178"/>
      <c r="X51" s="179"/>
      <c r="Y51" s="180"/>
      <c r="Z51" s="178"/>
      <c r="AA51" s="179"/>
      <c r="AB51" s="179"/>
      <c r="AC51" s="179"/>
      <c r="AD51" s="180"/>
      <c r="AE51" s="73"/>
      <c r="AF51" s="73"/>
      <c r="AG51" s="73"/>
      <c r="AH51" s="73"/>
      <c r="AI51" s="73"/>
      <c r="AJ51" s="174"/>
      <c r="AK51" s="6"/>
      <c r="AL51" s="6"/>
      <c r="AM51" s="82" t="s">
        <v>68</v>
      </c>
      <c r="AN51" s="83"/>
      <c r="AO51" s="83"/>
      <c r="AP51" s="83"/>
      <c r="AQ51" s="83"/>
      <c r="AR51" s="83"/>
      <c r="AS51" s="158" t="s">
        <v>317</v>
      </c>
      <c r="AT51" s="158"/>
      <c r="AU51" s="158"/>
      <c r="AV51" s="158"/>
      <c r="AW51" s="158"/>
      <c r="AX51" s="158"/>
      <c r="AY51" s="158"/>
      <c r="AZ51" s="158"/>
      <c r="BA51" s="158"/>
      <c r="BB51" s="158"/>
      <c r="BC51" s="158"/>
      <c r="BD51" s="158"/>
      <c r="BE51" s="158"/>
      <c r="BF51" s="158"/>
      <c r="BG51" s="158"/>
      <c r="BH51" s="158"/>
      <c r="BI51" s="158"/>
      <c r="BJ51" s="158"/>
      <c r="BK51" s="158"/>
      <c r="BL51" s="158"/>
      <c r="BM51" s="158"/>
      <c r="BN51" s="158"/>
      <c r="BO51" s="158"/>
      <c r="BP51" s="158"/>
      <c r="BQ51" s="158"/>
      <c r="BR51" s="158"/>
      <c r="BS51" s="158"/>
      <c r="BT51" s="158"/>
      <c r="BU51" s="28"/>
    </row>
    <row r="52" spans="1:77" ht="11.1" customHeight="1" thickBot="1">
      <c r="A52" s="5">
        <v>1</v>
      </c>
      <c r="B52" s="71">
        <v>17</v>
      </c>
      <c r="C52" s="72"/>
      <c r="D52" s="72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175"/>
      <c r="T52" s="176"/>
      <c r="U52" s="176"/>
      <c r="V52" s="177"/>
      <c r="W52" s="175"/>
      <c r="X52" s="176"/>
      <c r="Y52" s="177"/>
      <c r="Z52" s="175"/>
      <c r="AA52" s="176"/>
      <c r="AB52" s="176"/>
      <c r="AC52" s="176"/>
      <c r="AD52" s="177"/>
      <c r="AE52" s="73"/>
      <c r="AF52" s="73"/>
      <c r="AG52" s="73"/>
      <c r="AH52" s="73"/>
      <c r="AI52" s="73"/>
      <c r="AJ52" s="174"/>
      <c r="AK52" s="6"/>
      <c r="AL52" s="6"/>
      <c r="AM52" s="29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1"/>
    </row>
    <row r="53" spans="1:77" ht="11.1" customHeight="1" thickBot="1">
      <c r="A53" s="5">
        <v>1</v>
      </c>
      <c r="B53" s="71"/>
      <c r="C53" s="72"/>
      <c r="D53" s="72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178"/>
      <c r="T53" s="179"/>
      <c r="U53" s="179"/>
      <c r="V53" s="180"/>
      <c r="W53" s="178"/>
      <c r="X53" s="179"/>
      <c r="Y53" s="180"/>
      <c r="Z53" s="178"/>
      <c r="AA53" s="179"/>
      <c r="AB53" s="179"/>
      <c r="AC53" s="179"/>
      <c r="AD53" s="180"/>
      <c r="AE53" s="73"/>
      <c r="AF53" s="73"/>
      <c r="AG53" s="73"/>
      <c r="AH53" s="73"/>
      <c r="AI53" s="73"/>
      <c r="AJ53" s="174"/>
      <c r="AK53" s="6"/>
      <c r="AL53" s="6"/>
    </row>
    <row r="54" spans="1:77" ht="11.1" customHeight="1">
      <c r="A54" s="5">
        <v>1</v>
      </c>
      <c r="B54" s="71">
        <v>18</v>
      </c>
      <c r="C54" s="72"/>
      <c r="D54" s="72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175"/>
      <c r="T54" s="176"/>
      <c r="U54" s="176"/>
      <c r="V54" s="177"/>
      <c r="W54" s="175"/>
      <c r="X54" s="176"/>
      <c r="Y54" s="177"/>
      <c r="Z54" s="175"/>
      <c r="AA54" s="176"/>
      <c r="AB54" s="176"/>
      <c r="AC54" s="176"/>
      <c r="AD54" s="177"/>
      <c r="AE54" s="73"/>
      <c r="AF54" s="73"/>
      <c r="AG54" s="73"/>
      <c r="AH54" s="73"/>
      <c r="AI54" s="73"/>
      <c r="AJ54" s="174"/>
      <c r="AK54" s="6"/>
      <c r="AL54" s="6"/>
      <c r="AM54" s="91" t="s">
        <v>37</v>
      </c>
      <c r="AN54" s="92"/>
      <c r="AO54" s="93"/>
      <c r="AP54" s="65" t="str">
        <f>IF($AP50&gt;0,"SI","NO")</f>
        <v>SI</v>
      </c>
      <c r="AQ54" s="66"/>
      <c r="AR54" s="66"/>
      <c r="AS54" s="67"/>
      <c r="AT54" s="155" t="s">
        <v>38</v>
      </c>
      <c r="AU54" s="155"/>
      <c r="AV54" s="155"/>
      <c r="AW54" s="155"/>
      <c r="AX54" s="155"/>
      <c r="AY54" s="155"/>
      <c r="AZ54" s="155"/>
      <c r="BA54" s="155"/>
      <c r="BB54" s="155"/>
      <c r="BC54" s="155"/>
      <c r="BD54" s="155"/>
      <c r="BE54" s="155"/>
      <c r="BF54" s="155"/>
      <c r="BG54" s="155"/>
      <c r="BH54" s="155"/>
      <c r="BI54" s="155"/>
      <c r="BJ54" s="155"/>
      <c r="BK54" s="155"/>
      <c r="BL54" s="155"/>
      <c r="BM54" s="155"/>
      <c r="BN54" s="155"/>
      <c r="BO54" s="155"/>
      <c r="BP54" s="155"/>
      <c r="BQ54" s="155"/>
      <c r="BR54" s="155"/>
      <c r="BS54" s="155"/>
      <c r="BT54" s="155"/>
      <c r="BU54" s="156"/>
    </row>
    <row r="55" spans="1:77" ht="11.1" customHeight="1">
      <c r="A55" s="5">
        <v>1</v>
      </c>
      <c r="B55" s="71"/>
      <c r="C55" s="72"/>
      <c r="D55" s="72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178"/>
      <c r="T55" s="179"/>
      <c r="U55" s="179"/>
      <c r="V55" s="180"/>
      <c r="W55" s="178"/>
      <c r="X55" s="179"/>
      <c r="Y55" s="180"/>
      <c r="Z55" s="178"/>
      <c r="AA55" s="179"/>
      <c r="AB55" s="179"/>
      <c r="AC55" s="179"/>
      <c r="AD55" s="180"/>
      <c r="AE55" s="73"/>
      <c r="AF55" s="73"/>
      <c r="AG55" s="73"/>
      <c r="AH55" s="73"/>
      <c r="AI55" s="73"/>
      <c r="AJ55" s="174"/>
      <c r="AK55" s="6"/>
      <c r="AL55" s="6"/>
      <c r="AM55" s="32"/>
      <c r="AN55" s="33"/>
      <c r="AO55" s="33"/>
      <c r="AP55" s="26"/>
      <c r="AQ55" s="26"/>
      <c r="AR55" s="26"/>
      <c r="AS55" s="26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5"/>
    </row>
    <row r="56" spans="1:77" ht="11.1" customHeight="1">
      <c r="A56" s="5">
        <v>1</v>
      </c>
      <c r="B56" s="71">
        <v>19</v>
      </c>
      <c r="C56" s="72"/>
      <c r="D56" s="72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175"/>
      <c r="T56" s="176"/>
      <c r="U56" s="176"/>
      <c r="V56" s="177"/>
      <c r="W56" s="175"/>
      <c r="X56" s="176"/>
      <c r="Y56" s="177"/>
      <c r="Z56" s="175"/>
      <c r="AA56" s="176"/>
      <c r="AB56" s="176"/>
      <c r="AC56" s="176"/>
      <c r="AD56" s="177"/>
      <c r="AE56" s="73"/>
      <c r="AF56" s="73"/>
      <c r="AG56" s="73"/>
      <c r="AH56" s="73"/>
      <c r="AI56" s="73"/>
      <c r="AJ56" s="174"/>
      <c r="AK56" s="6"/>
      <c r="AL56" s="6"/>
      <c r="AM56" s="85" t="s">
        <v>39</v>
      </c>
      <c r="AN56" s="86"/>
      <c r="AO56" s="86"/>
      <c r="AP56" s="88"/>
      <c r="AQ56" s="88"/>
      <c r="AR56" s="88"/>
      <c r="AS56" s="88"/>
      <c r="AT56" s="88"/>
      <c r="AZ56" s="83" t="s">
        <v>40</v>
      </c>
      <c r="BA56" s="83"/>
      <c r="BB56" s="83"/>
      <c r="BC56" s="83"/>
      <c r="BD56" s="90" t="s">
        <v>41</v>
      </c>
      <c r="BE56" s="90"/>
      <c r="BF56" s="90"/>
      <c r="BG56" s="149"/>
      <c r="BH56" s="149"/>
      <c r="BI56" s="149"/>
      <c r="BJ56" s="90" t="s">
        <v>42</v>
      </c>
      <c r="BK56" s="90"/>
      <c r="BL56" s="90"/>
      <c r="BM56" s="149"/>
      <c r="BN56" s="149"/>
      <c r="BO56" s="149"/>
      <c r="BP56" s="90" t="s">
        <v>43</v>
      </c>
      <c r="BQ56" s="90"/>
      <c r="BR56" s="90"/>
      <c r="BS56" s="149"/>
      <c r="BT56" s="149"/>
      <c r="BU56" s="157"/>
      <c r="BW56" s="13"/>
      <c r="BX56" s="13"/>
      <c r="BY56" s="13"/>
    </row>
    <row r="57" spans="1:77" ht="11.1" customHeight="1">
      <c r="A57" s="5">
        <v>1</v>
      </c>
      <c r="B57" s="71"/>
      <c r="C57" s="72"/>
      <c r="D57" s="72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178"/>
      <c r="T57" s="179"/>
      <c r="U57" s="179"/>
      <c r="V57" s="180"/>
      <c r="W57" s="178"/>
      <c r="X57" s="179"/>
      <c r="Y57" s="180"/>
      <c r="Z57" s="178"/>
      <c r="AA57" s="179"/>
      <c r="AB57" s="179"/>
      <c r="AC57" s="179"/>
      <c r="AD57" s="180"/>
      <c r="AE57" s="73"/>
      <c r="AF57" s="73"/>
      <c r="AG57" s="73"/>
      <c r="AH57" s="73"/>
      <c r="AI57" s="73"/>
      <c r="AJ57" s="174"/>
      <c r="AK57" s="6"/>
      <c r="AL57" s="6"/>
      <c r="AM57" s="36"/>
      <c r="AN57" s="34"/>
      <c r="AO57" s="34"/>
      <c r="AP57" s="7"/>
      <c r="AQ57" s="7"/>
      <c r="AR57" s="13"/>
      <c r="AS57" s="13"/>
      <c r="AU57" s="13"/>
      <c r="AV57" s="34"/>
      <c r="AW57" s="34"/>
      <c r="AX57" s="37"/>
      <c r="AY57" s="34"/>
      <c r="AZ57" s="34"/>
      <c r="BA57" s="37"/>
      <c r="BB57" s="34"/>
      <c r="BC57" s="34"/>
      <c r="BD57" s="7"/>
      <c r="BE57" s="7"/>
      <c r="BU57" s="25"/>
    </row>
    <row r="58" spans="1:77" ht="11.1" customHeight="1">
      <c r="A58" s="5">
        <v>1</v>
      </c>
      <c r="B58" s="71">
        <v>20</v>
      </c>
      <c r="C58" s="72"/>
      <c r="D58" s="72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175"/>
      <c r="T58" s="176"/>
      <c r="U58" s="176"/>
      <c r="V58" s="177"/>
      <c r="W58" s="175"/>
      <c r="X58" s="176"/>
      <c r="Y58" s="177"/>
      <c r="Z58" s="175"/>
      <c r="AA58" s="176"/>
      <c r="AB58" s="176"/>
      <c r="AC58" s="176"/>
      <c r="AD58" s="177"/>
      <c r="AE58" s="73"/>
      <c r="AF58" s="73"/>
      <c r="AG58" s="73"/>
      <c r="AH58" s="73"/>
      <c r="AI58" s="73"/>
      <c r="AJ58" s="174"/>
      <c r="AK58" s="6"/>
      <c r="AL58" s="6"/>
      <c r="AM58" s="38"/>
      <c r="AN58" s="39" t="s">
        <v>44</v>
      </c>
      <c r="AP58" s="13"/>
      <c r="AQ58" s="13"/>
      <c r="AR58" s="13"/>
      <c r="AS58" s="13"/>
      <c r="AT58" s="40"/>
      <c r="AU58" s="12"/>
      <c r="AV58" s="12"/>
      <c r="AW58" s="12"/>
      <c r="AX58" s="41"/>
      <c r="AY58" s="7"/>
      <c r="AZ58" s="41"/>
      <c r="BA58" s="41"/>
      <c r="BB58" s="41"/>
      <c r="BC58" s="41"/>
      <c r="BD58" s="41"/>
      <c r="BE58" s="41"/>
      <c r="BJ58" s="42" t="s">
        <v>45</v>
      </c>
      <c r="BK58" s="12" t="s">
        <v>46</v>
      </c>
      <c r="BM58" s="88"/>
      <c r="BN58" s="88"/>
      <c r="BO58" s="88"/>
      <c r="BP58" s="88"/>
      <c r="BQ58" s="88"/>
      <c r="BR58" s="88"/>
      <c r="BS58" s="88"/>
      <c r="BT58" s="88"/>
      <c r="BU58" s="96"/>
    </row>
    <row r="59" spans="1:77" ht="11.1" customHeight="1">
      <c r="A59" s="5">
        <v>1</v>
      </c>
      <c r="B59" s="71"/>
      <c r="C59" s="72"/>
      <c r="D59" s="72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178"/>
      <c r="T59" s="179"/>
      <c r="U59" s="179"/>
      <c r="V59" s="180"/>
      <c r="W59" s="178"/>
      <c r="X59" s="179"/>
      <c r="Y59" s="180"/>
      <c r="Z59" s="178"/>
      <c r="AA59" s="179"/>
      <c r="AB59" s="179"/>
      <c r="AC59" s="179"/>
      <c r="AD59" s="180"/>
      <c r="AE59" s="73"/>
      <c r="AF59" s="73"/>
      <c r="AG59" s="73"/>
      <c r="AH59" s="73"/>
      <c r="AI59" s="73"/>
      <c r="AJ59" s="174"/>
      <c r="AK59" s="6"/>
      <c r="AL59" s="6"/>
      <c r="AM59" s="38"/>
      <c r="AN59" s="39" t="s">
        <v>84</v>
      </c>
      <c r="AP59" s="13"/>
      <c r="AQ59" s="13"/>
      <c r="AR59" s="13"/>
      <c r="AS59" s="13"/>
      <c r="AT59" s="40"/>
      <c r="AU59" s="12"/>
      <c r="AV59" s="12"/>
      <c r="AW59" s="12"/>
      <c r="AX59" s="41"/>
      <c r="AY59" s="7"/>
      <c r="AZ59" s="41"/>
      <c r="BA59" s="41"/>
      <c r="BB59" s="41"/>
      <c r="BC59" s="41"/>
      <c r="BD59" s="41"/>
      <c r="BE59" s="41"/>
      <c r="BJ59" s="42" t="s">
        <v>45</v>
      </c>
      <c r="BK59" s="12" t="s">
        <v>46</v>
      </c>
      <c r="BM59" s="88"/>
      <c r="BN59" s="88"/>
      <c r="BO59" s="88"/>
      <c r="BP59" s="88"/>
      <c r="BQ59" s="88"/>
      <c r="BR59" s="88"/>
      <c r="BS59" s="88"/>
      <c r="BT59" s="88"/>
      <c r="BU59" s="96"/>
    </row>
    <row r="60" spans="1:77" ht="11.1" customHeight="1">
      <c r="A60" s="5">
        <v>1</v>
      </c>
      <c r="B60" s="71">
        <v>21</v>
      </c>
      <c r="C60" s="72"/>
      <c r="D60" s="72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175"/>
      <c r="T60" s="176"/>
      <c r="U60" s="176"/>
      <c r="V60" s="177"/>
      <c r="W60" s="175"/>
      <c r="X60" s="176"/>
      <c r="Y60" s="177"/>
      <c r="Z60" s="175"/>
      <c r="AA60" s="176"/>
      <c r="AB60" s="176"/>
      <c r="AC60" s="176"/>
      <c r="AD60" s="177"/>
      <c r="AE60" s="73"/>
      <c r="AF60" s="73"/>
      <c r="AG60" s="73"/>
      <c r="AH60" s="73"/>
      <c r="AI60" s="73"/>
      <c r="AJ60" s="174"/>
      <c r="AK60" s="6"/>
      <c r="AL60" s="6"/>
      <c r="AM60" s="38"/>
      <c r="AN60" s="39" t="s">
        <v>47</v>
      </c>
      <c r="AP60" s="13"/>
      <c r="AQ60" s="13"/>
      <c r="AR60" s="13"/>
      <c r="AS60" s="13"/>
      <c r="AT60" s="13"/>
      <c r="AU60" s="13"/>
      <c r="AV60" s="43"/>
      <c r="AW60" s="44"/>
      <c r="AX60" s="41"/>
      <c r="AY60" s="7"/>
      <c r="AZ60" s="41"/>
      <c r="BA60" s="41"/>
      <c r="BB60" s="41"/>
      <c r="BC60" s="41"/>
      <c r="BD60" s="41"/>
      <c r="BE60" s="41"/>
      <c r="BJ60" s="42" t="s">
        <v>45</v>
      </c>
      <c r="BK60" s="12" t="s">
        <v>46</v>
      </c>
      <c r="BM60" s="88"/>
      <c r="BN60" s="88"/>
      <c r="BO60" s="88"/>
      <c r="BP60" s="88"/>
      <c r="BQ60" s="88"/>
      <c r="BR60" s="88"/>
      <c r="BS60" s="88"/>
      <c r="BT60" s="88"/>
      <c r="BU60" s="96"/>
    </row>
    <row r="61" spans="1:77" ht="11.1" customHeight="1">
      <c r="A61" s="5">
        <v>1</v>
      </c>
      <c r="B61" s="71"/>
      <c r="C61" s="72"/>
      <c r="D61" s="72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178"/>
      <c r="T61" s="179"/>
      <c r="U61" s="179"/>
      <c r="V61" s="180"/>
      <c r="W61" s="178"/>
      <c r="X61" s="179"/>
      <c r="Y61" s="180"/>
      <c r="Z61" s="178"/>
      <c r="AA61" s="179"/>
      <c r="AB61" s="179"/>
      <c r="AC61" s="179"/>
      <c r="AD61" s="180"/>
      <c r="AE61" s="73"/>
      <c r="AF61" s="73"/>
      <c r="AG61" s="73"/>
      <c r="AH61" s="73"/>
      <c r="AI61" s="73"/>
      <c r="AJ61" s="174"/>
      <c r="AK61" s="6"/>
      <c r="AL61" s="6"/>
      <c r="AM61" s="38"/>
      <c r="AN61" s="39" t="s">
        <v>48</v>
      </c>
      <c r="AP61" s="13"/>
      <c r="AQ61" s="13"/>
      <c r="AR61" s="13"/>
      <c r="AS61" s="13"/>
      <c r="AT61" s="40"/>
      <c r="AU61" s="12"/>
      <c r="AV61" s="12"/>
      <c r="AW61" s="12"/>
      <c r="AX61" s="41"/>
      <c r="AY61" s="7"/>
      <c r="AZ61" s="41"/>
      <c r="BA61" s="41"/>
      <c r="BB61" s="41"/>
      <c r="BC61" s="41"/>
      <c r="BD61" s="41"/>
      <c r="BE61" s="41"/>
      <c r="BJ61" s="42" t="s">
        <v>45</v>
      </c>
      <c r="BK61" s="12" t="s">
        <v>46</v>
      </c>
      <c r="BM61" s="88"/>
      <c r="BN61" s="88"/>
      <c r="BO61" s="88"/>
      <c r="BP61" s="88"/>
      <c r="BQ61" s="88"/>
      <c r="BR61" s="88"/>
      <c r="BS61" s="88"/>
      <c r="BT61" s="88"/>
      <c r="BU61" s="96"/>
    </row>
    <row r="62" spans="1:77" ht="11.1" customHeight="1">
      <c r="A62" s="5">
        <v>1</v>
      </c>
      <c r="B62" s="71">
        <v>22</v>
      </c>
      <c r="C62" s="72"/>
      <c r="D62" s="72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175"/>
      <c r="T62" s="176"/>
      <c r="U62" s="176"/>
      <c r="V62" s="177"/>
      <c r="W62" s="175"/>
      <c r="X62" s="176"/>
      <c r="Y62" s="177"/>
      <c r="Z62" s="175"/>
      <c r="AA62" s="176"/>
      <c r="AB62" s="176"/>
      <c r="AC62" s="176"/>
      <c r="AD62" s="177"/>
      <c r="AE62" s="73"/>
      <c r="AF62" s="73"/>
      <c r="AG62" s="73"/>
      <c r="AH62" s="73"/>
      <c r="AI62" s="73"/>
      <c r="AJ62" s="174"/>
      <c r="AK62" s="6"/>
      <c r="AL62" s="6"/>
      <c r="AM62" s="38"/>
      <c r="AN62" s="39" t="s">
        <v>49</v>
      </c>
      <c r="AP62" s="13"/>
      <c r="AQ62" s="13"/>
      <c r="AR62" s="13"/>
      <c r="AS62" s="13"/>
      <c r="AT62" s="13"/>
      <c r="AU62" s="13"/>
      <c r="AV62" s="43"/>
      <c r="AW62" s="44"/>
      <c r="AX62" s="41"/>
      <c r="AY62" s="7"/>
      <c r="AZ62" s="41"/>
      <c r="BA62" s="41"/>
      <c r="BB62" s="41"/>
      <c r="BC62" s="41"/>
      <c r="BD62" s="41"/>
      <c r="BE62" s="41"/>
      <c r="BJ62" s="42" t="s">
        <v>45</v>
      </c>
      <c r="BK62" s="12" t="s">
        <v>46</v>
      </c>
      <c r="BM62" s="88"/>
      <c r="BN62" s="88"/>
      <c r="BO62" s="88"/>
      <c r="BP62" s="88"/>
      <c r="BQ62" s="88"/>
      <c r="BR62" s="88"/>
      <c r="BS62" s="88"/>
      <c r="BT62" s="88"/>
      <c r="BU62" s="96"/>
    </row>
    <row r="63" spans="1:77" ht="11.1" customHeight="1">
      <c r="A63" s="5">
        <v>1</v>
      </c>
      <c r="B63" s="71"/>
      <c r="C63" s="72"/>
      <c r="D63" s="72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178"/>
      <c r="T63" s="179"/>
      <c r="U63" s="179"/>
      <c r="V63" s="180"/>
      <c r="W63" s="178"/>
      <c r="X63" s="179"/>
      <c r="Y63" s="180"/>
      <c r="Z63" s="178"/>
      <c r="AA63" s="179"/>
      <c r="AB63" s="179"/>
      <c r="AC63" s="179"/>
      <c r="AD63" s="180"/>
      <c r="AE63" s="73"/>
      <c r="AF63" s="73"/>
      <c r="AG63" s="73"/>
      <c r="AH63" s="73"/>
      <c r="AI63" s="73"/>
      <c r="AJ63" s="174"/>
      <c r="AK63" s="6"/>
      <c r="AL63" s="6"/>
      <c r="AM63" s="38"/>
      <c r="AN63" s="39" t="s">
        <v>50</v>
      </c>
      <c r="AP63" s="13"/>
      <c r="AQ63" s="13"/>
      <c r="AR63" s="13"/>
      <c r="AS63" s="13"/>
      <c r="AT63" s="40"/>
      <c r="AU63" s="12"/>
      <c r="AV63" s="12"/>
      <c r="AW63" s="12"/>
      <c r="AX63" s="41"/>
      <c r="AY63" s="7"/>
      <c r="AZ63" s="41"/>
      <c r="BA63" s="41"/>
      <c r="BB63" s="41"/>
      <c r="BC63" s="41"/>
      <c r="BD63" s="41"/>
      <c r="BE63" s="41"/>
      <c r="BJ63" s="42" t="s">
        <v>45</v>
      </c>
      <c r="BK63" s="12" t="s">
        <v>46</v>
      </c>
      <c r="BM63" s="88"/>
      <c r="BN63" s="88"/>
      <c r="BO63" s="88"/>
      <c r="BP63" s="88"/>
      <c r="BQ63" s="88"/>
      <c r="BR63" s="88"/>
      <c r="BS63" s="88"/>
      <c r="BT63" s="88"/>
      <c r="BU63" s="96"/>
    </row>
    <row r="64" spans="1:77" ht="11.1" customHeight="1">
      <c r="A64" s="5">
        <v>1</v>
      </c>
      <c r="B64" s="71">
        <v>23</v>
      </c>
      <c r="C64" s="72"/>
      <c r="D64" s="72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175"/>
      <c r="T64" s="176"/>
      <c r="U64" s="176"/>
      <c r="V64" s="177"/>
      <c r="W64" s="175"/>
      <c r="X64" s="176"/>
      <c r="Y64" s="177"/>
      <c r="Z64" s="175"/>
      <c r="AA64" s="176"/>
      <c r="AB64" s="176"/>
      <c r="AC64" s="176"/>
      <c r="AD64" s="177"/>
      <c r="AE64" s="73"/>
      <c r="AF64" s="73"/>
      <c r="AG64" s="73"/>
      <c r="AH64" s="73"/>
      <c r="AI64" s="73"/>
      <c r="AJ64" s="174"/>
      <c r="AK64" s="6"/>
      <c r="AL64" s="6"/>
      <c r="AM64" s="38"/>
      <c r="AN64" s="39" t="s">
        <v>51</v>
      </c>
      <c r="AP64" s="13"/>
      <c r="AQ64" s="13"/>
      <c r="AR64" s="13"/>
      <c r="AS64" s="13"/>
      <c r="AT64" s="13"/>
      <c r="AU64" s="13"/>
      <c r="AV64" s="43"/>
      <c r="AW64" s="44"/>
      <c r="AX64" s="41"/>
      <c r="AY64" s="7"/>
      <c r="AZ64" s="41"/>
      <c r="BA64" s="41"/>
      <c r="BB64" s="41"/>
      <c r="BC64" s="41"/>
      <c r="BD64" s="41"/>
      <c r="BE64" s="41"/>
      <c r="BJ64" s="42" t="s">
        <v>45</v>
      </c>
      <c r="BK64" s="12" t="s">
        <v>46</v>
      </c>
      <c r="BM64" s="88"/>
      <c r="BN64" s="88"/>
      <c r="BO64" s="88"/>
      <c r="BP64" s="88"/>
      <c r="BQ64" s="88"/>
      <c r="BR64" s="88"/>
      <c r="BS64" s="88"/>
      <c r="BT64" s="88"/>
      <c r="BU64" s="96"/>
    </row>
    <row r="65" spans="1:73" ht="11.1" customHeight="1">
      <c r="A65" s="5">
        <v>1</v>
      </c>
      <c r="B65" s="71"/>
      <c r="C65" s="72"/>
      <c r="D65" s="72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178"/>
      <c r="T65" s="179"/>
      <c r="U65" s="179"/>
      <c r="V65" s="180"/>
      <c r="W65" s="178"/>
      <c r="X65" s="179"/>
      <c r="Y65" s="180"/>
      <c r="Z65" s="178"/>
      <c r="AA65" s="179"/>
      <c r="AB65" s="179"/>
      <c r="AC65" s="179"/>
      <c r="AD65" s="180"/>
      <c r="AE65" s="73"/>
      <c r="AF65" s="73"/>
      <c r="AG65" s="73"/>
      <c r="AH65" s="73"/>
      <c r="AI65" s="73"/>
      <c r="AJ65" s="174"/>
      <c r="AK65" s="6"/>
      <c r="AL65" s="6"/>
      <c r="AM65" s="38"/>
      <c r="AN65" s="39"/>
      <c r="AP65" s="13"/>
      <c r="AQ65" s="13"/>
      <c r="AR65" s="13"/>
      <c r="AS65" s="13"/>
      <c r="AT65" s="13"/>
      <c r="AU65" s="13"/>
      <c r="AV65" s="43"/>
      <c r="AW65" s="44"/>
      <c r="AX65" s="41"/>
      <c r="AY65" s="7"/>
      <c r="AZ65" s="41"/>
      <c r="BA65" s="41"/>
      <c r="BB65" s="41"/>
      <c r="BC65" s="41"/>
      <c r="BD65" s="41"/>
      <c r="BE65" s="41"/>
      <c r="BJ65" s="41"/>
      <c r="BK65" s="12"/>
      <c r="BM65" s="13"/>
      <c r="BN65" s="13"/>
      <c r="BO65" s="13"/>
      <c r="BP65" s="13"/>
      <c r="BQ65" s="13"/>
      <c r="BR65" s="13"/>
      <c r="BS65" s="13"/>
      <c r="BT65" s="13"/>
      <c r="BU65" s="45"/>
    </row>
    <row r="66" spans="1:73" ht="11.1" customHeight="1">
      <c r="A66" s="5">
        <v>1</v>
      </c>
      <c r="B66" s="71">
        <v>24</v>
      </c>
      <c r="C66" s="72"/>
      <c r="D66" s="72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175"/>
      <c r="T66" s="176"/>
      <c r="U66" s="176"/>
      <c r="V66" s="177"/>
      <c r="W66" s="175"/>
      <c r="X66" s="176"/>
      <c r="Y66" s="177"/>
      <c r="Z66" s="175"/>
      <c r="AA66" s="176"/>
      <c r="AB66" s="176"/>
      <c r="AC66" s="176"/>
      <c r="AD66" s="177"/>
      <c r="AE66" s="73"/>
      <c r="AF66" s="73"/>
      <c r="AG66" s="73"/>
      <c r="AH66" s="73"/>
      <c r="AI66" s="73"/>
      <c r="AJ66" s="174"/>
      <c r="AK66" s="6"/>
      <c r="AL66" s="6"/>
      <c r="AM66" s="38"/>
      <c r="AN66" s="147" t="s">
        <v>52</v>
      </c>
      <c r="AO66" s="148"/>
      <c r="AP66" s="148"/>
      <c r="AQ66" s="148"/>
      <c r="AR66" s="148"/>
      <c r="AS66" s="72" t="s">
        <v>53</v>
      </c>
      <c r="AT66" s="72"/>
      <c r="AU66" s="72"/>
      <c r="AV66" s="72"/>
      <c r="AW66" s="72"/>
      <c r="AX66" s="72" t="s">
        <v>54</v>
      </c>
      <c r="AY66" s="72"/>
      <c r="AZ66" s="72"/>
      <c r="BA66" s="72"/>
      <c r="BB66" s="72"/>
      <c r="BC66" s="72" t="s">
        <v>55</v>
      </c>
      <c r="BD66" s="72"/>
      <c r="BE66" s="72"/>
      <c r="BF66" s="72"/>
      <c r="BG66" s="72"/>
      <c r="BH66" s="151" t="str">
        <f>IF(BV3=FALSE,"","*"&amp;AQ3&amp;"*")</f>
        <v/>
      </c>
      <c r="BI66" s="152"/>
      <c r="BJ66" s="152"/>
      <c r="BK66" s="152"/>
      <c r="BL66" s="152"/>
      <c r="BM66" s="152"/>
      <c r="BN66" s="152"/>
      <c r="BO66" s="152"/>
      <c r="BP66" s="152"/>
      <c r="BQ66" s="152"/>
      <c r="BR66" s="152"/>
      <c r="BS66" s="152"/>
      <c r="BT66" s="152"/>
      <c r="BU66" s="153"/>
    </row>
    <row r="67" spans="1:73" ht="11.1" customHeight="1" thickBot="1">
      <c r="A67" s="5">
        <v>1</v>
      </c>
      <c r="B67" s="71"/>
      <c r="C67" s="72"/>
      <c r="D67" s="72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224"/>
      <c r="T67" s="225"/>
      <c r="U67" s="225"/>
      <c r="V67" s="226"/>
      <c r="W67" s="224"/>
      <c r="X67" s="225"/>
      <c r="Y67" s="226"/>
      <c r="Z67" s="224"/>
      <c r="AA67" s="225"/>
      <c r="AB67" s="225"/>
      <c r="AC67" s="225"/>
      <c r="AD67" s="226"/>
      <c r="AE67" s="77"/>
      <c r="AF67" s="77"/>
      <c r="AG67" s="77"/>
      <c r="AH67" s="77"/>
      <c r="AI67" s="77"/>
      <c r="AJ67" s="227"/>
      <c r="AK67" s="6"/>
      <c r="AL67" s="6"/>
      <c r="AM67" s="38"/>
      <c r="AN67" s="147"/>
      <c r="AO67" s="148"/>
      <c r="AP67" s="148"/>
      <c r="AQ67" s="148"/>
      <c r="AR67" s="148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50"/>
      <c r="BD67" s="150"/>
      <c r="BE67" s="150"/>
      <c r="BF67" s="150"/>
      <c r="BG67" s="150"/>
      <c r="BH67" s="151"/>
      <c r="BI67" s="152"/>
      <c r="BJ67" s="152"/>
      <c r="BK67" s="152"/>
      <c r="BL67" s="152"/>
      <c r="BM67" s="152"/>
      <c r="BN67" s="152"/>
      <c r="BO67" s="152"/>
      <c r="BP67" s="152"/>
      <c r="BQ67" s="152"/>
      <c r="BR67" s="152"/>
      <c r="BS67" s="152"/>
      <c r="BT67" s="152"/>
      <c r="BU67" s="153"/>
    </row>
    <row r="68" spans="1:73" ht="11.1" customHeight="1" thickBot="1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6"/>
      <c r="AL68" s="6"/>
      <c r="AM68" s="38"/>
      <c r="AN68" s="147"/>
      <c r="AO68" s="148"/>
      <c r="AP68" s="148"/>
      <c r="AQ68" s="148"/>
      <c r="AR68" s="148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50"/>
      <c r="BD68" s="150"/>
      <c r="BE68" s="150"/>
      <c r="BF68" s="150"/>
      <c r="BG68" s="150"/>
      <c r="BH68" s="151"/>
      <c r="BI68" s="152"/>
      <c r="BJ68" s="152"/>
      <c r="BK68" s="152"/>
      <c r="BL68" s="152"/>
      <c r="BM68" s="152"/>
      <c r="BN68" s="152"/>
      <c r="BO68" s="152"/>
      <c r="BP68" s="152"/>
      <c r="BQ68" s="152"/>
      <c r="BR68" s="152"/>
      <c r="BS68" s="152"/>
      <c r="BT68" s="152"/>
      <c r="BU68" s="153"/>
    </row>
    <row r="69" spans="1:73" ht="11.1" customHeight="1">
      <c r="B69" s="47" t="s">
        <v>128</v>
      </c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9"/>
      <c r="AK69" s="6"/>
      <c r="AL69" s="6"/>
      <c r="AM69" s="38"/>
      <c r="AN69" s="34"/>
      <c r="AO69" s="34"/>
      <c r="AP69" s="34"/>
      <c r="AQ69" s="34"/>
      <c r="AR69" s="34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50"/>
      <c r="BD69" s="50"/>
      <c r="BE69" s="50"/>
      <c r="BF69" s="50"/>
      <c r="BG69" s="50"/>
      <c r="BU69" s="25"/>
    </row>
    <row r="70" spans="1:73" ht="11.1" customHeight="1">
      <c r="B70" s="51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28"/>
      <c r="AK70" s="6"/>
      <c r="AL70" s="6"/>
      <c r="AM70" s="85" t="s">
        <v>131</v>
      </c>
      <c r="AN70" s="86"/>
      <c r="AO70" s="86"/>
      <c r="AP70" s="86"/>
      <c r="AQ70" s="86"/>
      <c r="AR70" s="86"/>
      <c r="AS70" s="86"/>
      <c r="AT70" s="86"/>
      <c r="AU70" s="86"/>
      <c r="AV70" s="86"/>
      <c r="AW70" s="86"/>
      <c r="AX70" s="86"/>
      <c r="AY70" s="86"/>
      <c r="AZ70" s="86"/>
      <c r="BA70" s="86"/>
      <c r="BB70" s="86"/>
      <c r="BC70" s="86"/>
      <c r="BD70" s="86"/>
      <c r="BE70" s="86"/>
      <c r="BF70" s="86"/>
      <c r="BG70" s="86"/>
      <c r="BH70" s="86"/>
      <c r="BI70" s="86"/>
      <c r="BJ70" s="86"/>
      <c r="BK70" s="86"/>
      <c r="BL70" s="86"/>
      <c r="BM70" s="86"/>
      <c r="BN70" s="86"/>
      <c r="BO70" s="86"/>
      <c r="BP70" s="86"/>
      <c r="BQ70" s="86"/>
      <c r="BR70" s="86"/>
      <c r="BS70" s="86"/>
      <c r="BT70" s="86"/>
      <c r="BU70" s="87"/>
    </row>
    <row r="71" spans="1:73" ht="11.1" customHeight="1">
      <c r="B71" s="38"/>
      <c r="C71" s="83" t="s">
        <v>126</v>
      </c>
      <c r="D71" s="83"/>
      <c r="E71" s="83"/>
      <c r="F71" s="83" t="s">
        <v>144</v>
      </c>
      <c r="G71" s="83"/>
      <c r="H71" s="89">
        <f ca="1">SUMIF($W$20:$Y$67,F71,$A$20:$A$67)</f>
        <v>8</v>
      </c>
      <c r="I71" s="89"/>
      <c r="J71" s="89"/>
      <c r="K71" s="83" t="s">
        <v>145</v>
      </c>
      <c r="L71" s="83"/>
      <c r="M71" s="83"/>
      <c r="N71" s="83" t="s">
        <v>144</v>
      </c>
      <c r="O71" s="83"/>
      <c r="P71" s="89">
        <f>SUMIF($W$20:$Y$67,N71,$S$20:$V$67)</f>
        <v>265</v>
      </c>
      <c r="Q71" s="89"/>
      <c r="R71" s="89"/>
      <c r="S71" s="83" t="s">
        <v>129</v>
      </c>
      <c r="T71" s="83"/>
      <c r="U71" s="83"/>
      <c r="V71" s="83" t="s">
        <v>144</v>
      </c>
      <c r="W71" s="83"/>
      <c r="X71" s="89">
        <f>P71*$L$6</f>
        <v>1762.25</v>
      </c>
      <c r="Y71" s="89"/>
      <c r="Z71" s="89"/>
      <c r="AA71" s="83" t="s">
        <v>150</v>
      </c>
      <c r="AB71" s="83"/>
      <c r="AC71" s="83"/>
      <c r="AD71" s="83" t="s">
        <v>144</v>
      </c>
      <c r="AE71" s="83"/>
      <c r="AF71" s="89">
        <f ca="1">H71*BV2+X71</f>
        <v>1866.25</v>
      </c>
      <c r="AG71" s="89"/>
      <c r="AH71" s="89"/>
      <c r="AI71" s="40"/>
      <c r="AJ71" s="28"/>
      <c r="AK71" s="6"/>
      <c r="AL71" s="6"/>
      <c r="AM71" s="36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28"/>
    </row>
    <row r="72" spans="1:73" ht="11.1" customHeight="1">
      <c r="B72" s="51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28"/>
      <c r="AK72" s="6"/>
      <c r="AL72" s="6"/>
      <c r="AM72" s="85" t="s">
        <v>66</v>
      </c>
      <c r="AN72" s="86"/>
      <c r="AO72" s="86"/>
      <c r="AP72" s="88"/>
      <c r="AQ72" s="88"/>
      <c r="AR72" s="88"/>
      <c r="AS72" s="88"/>
      <c r="AT72" s="88"/>
      <c r="AU72" s="83" t="s">
        <v>67</v>
      </c>
      <c r="AV72" s="83"/>
      <c r="AW72" s="83"/>
      <c r="AX72" s="83"/>
      <c r="AY72" s="83"/>
      <c r="AZ72" s="88"/>
      <c r="BA72" s="88"/>
      <c r="BB72" s="88"/>
      <c r="BC72" s="88"/>
      <c r="BD72" s="88"/>
      <c r="BE72" s="88"/>
      <c r="BF72" s="88"/>
      <c r="BG72" s="88"/>
      <c r="BH72" s="88"/>
      <c r="BI72" s="88"/>
      <c r="BJ72" s="88"/>
      <c r="BK72" s="88"/>
      <c r="BL72" s="88"/>
      <c r="BM72" s="88"/>
      <c r="BN72" s="88"/>
      <c r="BO72" s="88"/>
      <c r="BP72" s="88"/>
      <c r="BQ72" s="88"/>
      <c r="BR72" s="88"/>
      <c r="BS72" s="88"/>
      <c r="BT72" s="88"/>
      <c r="BU72" s="28"/>
    </row>
    <row r="73" spans="1:73" ht="11.1" customHeight="1" thickBot="1">
      <c r="B73" s="51"/>
      <c r="C73" s="83" t="s">
        <v>126</v>
      </c>
      <c r="D73" s="83"/>
      <c r="E73" s="83"/>
      <c r="F73" s="83" t="s">
        <v>146</v>
      </c>
      <c r="G73" s="83"/>
      <c r="H73" s="89">
        <f ca="1">SUMIF($W$20:$Y$67,F73,$A$20:$A$67)</f>
        <v>0</v>
      </c>
      <c r="I73" s="89"/>
      <c r="J73" s="89"/>
      <c r="K73" s="83" t="s">
        <v>145</v>
      </c>
      <c r="L73" s="83"/>
      <c r="M73" s="83"/>
      <c r="N73" s="83" t="s">
        <v>146</v>
      </c>
      <c r="O73" s="83"/>
      <c r="P73" s="89">
        <f>SUMIF($W$20:$Y$67,N73,$S$20:$V$67)</f>
        <v>0</v>
      </c>
      <c r="Q73" s="89"/>
      <c r="R73" s="89"/>
      <c r="S73" s="83" t="s">
        <v>129</v>
      </c>
      <c r="T73" s="83"/>
      <c r="U73" s="83"/>
      <c r="V73" s="83" t="s">
        <v>146</v>
      </c>
      <c r="W73" s="83"/>
      <c r="X73" s="89">
        <f>P73*$L$6</f>
        <v>0</v>
      </c>
      <c r="Y73" s="89"/>
      <c r="Z73" s="89"/>
      <c r="AA73" s="83" t="s">
        <v>150</v>
      </c>
      <c r="AB73" s="83"/>
      <c r="AC73" s="83"/>
      <c r="AD73" s="83" t="s">
        <v>146</v>
      </c>
      <c r="AE73" s="83"/>
      <c r="AF73" s="89">
        <f ca="1">H73*BV2+X73</f>
        <v>0</v>
      </c>
      <c r="AG73" s="89"/>
      <c r="AH73" s="89"/>
      <c r="AI73" s="40"/>
      <c r="AJ73" s="28"/>
      <c r="AK73" s="6"/>
      <c r="AL73" s="6"/>
      <c r="AM73" s="52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4"/>
    </row>
    <row r="74" spans="1:73" ht="11.1" customHeight="1" thickBot="1">
      <c r="B74" s="51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28"/>
      <c r="AK74" s="6"/>
      <c r="AL74" s="6"/>
    </row>
    <row r="75" spans="1:73" ht="11.1" customHeight="1">
      <c r="B75" s="51"/>
      <c r="C75" s="83" t="s">
        <v>126</v>
      </c>
      <c r="D75" s="83"/>
      <c r="E75" s="83"/>
      <c r="F75" s="83" t="s">
        <v>147</v>
      </c>
      <c r="G75" s="83"/>
      <c r="H75" s="89">
        <f ca="1">SUMIF($W$20:$Y$67,F75,$A$20:$A$67)</f>
        <v>0</v>
      </c>
      <c r="I75" s="89"/>
      <c r="J75" s="89"/>
      <c r="K75" s="83" t="s">
        <v>145</v>
      </c>
      <c r="L75" s="83"/>
      <c r="M75" s="83"/>
      <c r="N75" s="83" t="s">
        <v>147</v>
      </c>
      <c r="O75" s="83"/>
      <c r="P75" s="89">
        <f>SUMIF($W$20:$Y$67,N75,$S$20:$V$67)</f>
        <v>0</v>
      </c>
      <c r="Q75" s="89"/>
      <c r="R75" s="89"/>
      <c r="S75" s="83" t="s">
        <v>129</v>
      </c>
      <c r="T75" s="83"/>
      <c r="U75" s="83"/>
      <c r="V75" s="83" t="s">
        <v>147</v>
      </c>
      <c r="W75" s="83"/>
      <c r="X75" s="89">
        <f>P75*$L$6</f>
        <v>0</v>
      </c>
      <c r="Y75" s="89"/>
      <c r="Z75" s="89"/>
      <c r="AA75" s="83" t="s">
        <v>150</v>
      </c>
      <c r="AB75" s="83"/>
      <c r="AC75" s="83"/>
      <c r="AD75" s="83" t="s">
        <v>147</v>
      </c>
      <c r="AE75" s="83"/>
      <c r="AF75" s="89">
        <f ca="1">H75*BV2+X75</f>
        <v>0</v>
      </c>
      <c r="AG75" s="89"/>
      <c r="AH75" s="89"/>
      <c r="AI75" s="40"/>
      <c r="AJ75" s="28"/>
      <c r="AK75" s="6"/>
      <c r="AL75" s="6"/>
      <c r="AM75" s="145" t="s">
        <v>70</v>
      </c>
      <c r="AN75" s="146"/>
      <c r="AO75" s="146"/>
      <c r="AP75" s="68" t="str">
        <f>IF($AP78=0,"NO","SI")</f>
        <v>NO</v>
      </c>
      <c r="AQ75" s="69"/>
      <c r="AR75" s="69"/>
      <c r="AS75" s="70"/>
      <c r="AT75" s="154" t="s">
        <v>69</v>
      </c>
      <c r="AU75" s="155"/>
      <c r="AV75" s="155"/>
      <c r="AW75" s="155"/>
      <c r="AX75" s="155"/>
      <c r="AY75" s="155"/>
      <c r="AZ75" s="155"/>
      <c r="BA75" s="155"/>
      <c r="BB75" s="155"/>
      <c r="BC75" s="155"/>
      <c r="BD75" s="155"/>
      <c r="BE75" s="155"/>
      <c r="BF75" s="155"/>
      <c r="BG75" s="155"/>
      <c r="BH75" s="155"/>
      <c r="BI75" s="155"/>
      <c r="BJ75" s="155"/>
      <c r="BK75" s="155"/>
      <c r="BL75" s="155"/>
      <c r="BM75" s="155"/>
      <c r="BN75" s="155"/>
      <c r="BO75" s="155"/>
      <c r="BP75" s="155"/>
      <c r="BQ75" s="155"/>
      <c r="BR75" s="155"/>
      <c r="BS75" s="155"/>
      <c r="BT75" s="155"/>
      <c r="BU75" s="156"/>
    </row>
    <row r="76" spans="1:73" ht="11.1" customHeight="1">
      <c r="B76" s="51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28"/>
      <c r="AK76" s="6"/>
      <c r="AL76" s="6"/>
      <c r="AM76" s="32"/>
      <c r="AN76" s="33"/>
      <c r="AO76" s="33"/>
      <c r="AP76" s="26"/>
      <c r="AQ76" s="26"/>
      <c r="AR76" s="26"/>
      <c r="AS76" s="26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5"/>
    </row>
    <row r="77" spans="1:73" ht="11.1" customHeight="1">
      <c r="B77" s="51"/>
      <c r="C77" s="83" t="s">
        <v>126</v>
      </c>
      <c r="D77" s="83"/>
      <c r="E77" s="83"/>
      <c r="F77" s="83" t="s">
        <v>148</v>
      </c>
      <c r="G77" s="83"/>
      <c r="H77" s="89">
        <f ca="1">SUMIF($W$20:$Y$67,F77,$A$20:$A$67)</f>
        <v>0</v>
      </c>
      <c r="I77" s="89"/>
      <c r="J77" s="89"/>
      <c r="K77" s="83" t="s">
        <v>145</v>
      </c>
      <c r="L77" s="83"/>
      <c r="M77" s="83"/>
      <c r="N77" s="83" t="s">
        <v>148</v>
      </c>
      <c r="O77" s="83"/>
      <c r="P77" s="89">
        <f>SUMIF($W$20:$Y$67,N77,$S$20:$V$67)</f>
        <v>0</v>
      </c>
      <c r="Q77" s="89"/>
      <c r="R77" s="89"/>
      <c r="S77" s="83" t="s">
        <v>129</v>
      </c>
      <c r="T77" s="83"/>
      <c r="U77" s="83"/>
      <c r="V77" s="83" t="s">
        <v>148</v>
      </c>
      <c r="W77" s="83"/>
      <c r="X77" s="89">
        <f>P77*$L$6</f>
        <v>0</v>
      </c>
      <c r="Y77" s="89"/>
      <c r="Z77" s="89"/>
      <c r="AA77" s="83" t="s">
        <v>150</v>
      </c>
      <c r="AB77" s="83"/>
      <c r="AC77" s="83"/>
      <c r="AD77" s="83" t="s">
        <v>148</v>
      </c>
      <c r="AE77" s="83"/>
      <c r="AF77" s="89">
        <f ca="1">H77*BV2+X77</f>
        <v>0</v>
      </c>
      <c r="AG77" s="89"/>
      <c r="AH77" s="89"/>
      <c r="AI77" s="40"/>
      <c r="AJ77" s="28"/>
      <c r="AK77" s="6"/>
      <c r="AL77" s="6"/>
      <c r="AM77" s="85" t="s">
        <v>39</v>
      </c>
      <c r="AN77" s="86"/>
      <c r="AO77" s="86"/>
      <c r="AP77" s="88"/>
      <c r="AQ77" s="88"/>
      <c r="AR77" s="88"/>
      <c r="AS77" s="88"/>
      <c r="AT77" s="88"/>
      <c r="AZ77" s="72" t="s">
        <v>40</v>
      </c>
      <c r="BA77" s="72"/>
      <c r="BB77" s="72"/>
      <c r="BC77" s="72"/>
      <c r="BD77" s="90" t="s">
        <v>71</v>
      </c>
      <c r="BE77" s="90"/>
      <c r="BF77" s="90"/>
      <c r="BG77" s="149"/>
      <c r="BH77" s="149"/>
      <c r="BI77" s="149"/>
      <c r="BJ77" s="90" t="s">
        <v>42</v>
      </c>
      <c r="BK77" s="90"/>
      <c r="BL77" s="90"/>
      <c r="BM77" s="149"/>
      <c r="BN77" s="149"/>
      <c r="BO77" s="149"/>
      <c r="BP77" s="90"/>
      <c r="BQ77" s="90"/>
      <c r="BR77" s="90"/>
      <c r="BS77" s="149"/>
      <c r="BT77" s="149"/>
      <c r="BU77" s="157"/>
    </row>
    <row r="78" spans="1:73" ht="11.1" customHeight="1">
      <c r="B78" s="51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28"/>
      <c r="AK78" s="6"/>
      <c r="AL78" s="6"/>
      <c r="AM78" s="82" t="s">
        <v>59</v>
      </c>
      <c r="AN78" s="83"/>
      <c r="AO78" s="83"/>
      <c r="AP78" s="208">
        <f>IF(CN$43&lt;&gt;"ERR.",CN$43,0)</f>
        <v>0</v>
      </c>
      <c r="AQ78" s="208"/>
      <c r="AR78" s="208"/>
      <c r="AS78" s="83" t="s">
        <v>72</v>
      </c>
      <c r="AT78" s="83"/>
      <c r="AU78" s="83"/>
      <c r="AV78" s="83"/>
      <c r="AW78" s="159"/>
      <c r="AX78" s="159"/>
      <c r="AY78" s="159"/>
      <c r="AZ78" s="83" t="s">
        <v>60</v>
      </c>
      <c r="BA78" s="83"/>
      <c r="BB78" s="83"/>
      <c r="BC78" s="160" t="str">
        <f>IF(CM$43&lt;&gt;"ERR.",CM$43,"")</f>
        <v>UV LUCIDO</v>
      </c>
      <c r="BD78" s="160"/>
      <c r="BE78" s="160"/>
      <c r="BF78" s="160"/>
      <c r="BG78" s="160"/>
      <c r="BH78" s="160"/>
      <c r="BI78" s="160"/>
      <c r="BJ78" s="83" t="s">
        <v>63</v>
      </c>
      <c r="BK78" s="83"/>
      <c r="BL78" s="83"/>
      <c r="BM78" s="159">
        <v>13</v>
      </c>
      <c r="BN78" s="159"/>
      <c r="BO78" s="159"/>
      <c r="BP78" s="83" t="s">
        <v>64</v>
      </c>
      <c r="BQ78" s="83"/>
      <c r="BR78" s="83"/>
      <c r="BS78" s="209">
        <f>BI50</f>
        <v>1</v>
      </c>
      <c r="BT78" s="209"/>
      <c r="BU78" s="55"/>
    </row>
    <row r="79" spans="1:73" ht="11.1" customHeight="1">
      <c r="B79" s="51"/>
      <c r="C79" s="83" t="s">
        <v>126</v>
      </c>
      <c r="D79" s="83"/>
      <c r="E79" s="83"/>
      <c r="F79" s="83" t="s">
        <v>149</v>
      </c>
      <c r="G79" s="83"/>
      <c r="H79" s="89">
        <f ca="1">H71+H73+H75+H77</f>
        <v>8</v>
      </c>
      <c r="I79" s="89"/>
      <c r="J79" s="89"/>
      <c r="K79" s="83" t="s">
        <v>145</v>
      </c>
      <c r="L79" s="83"/>
      <c r="M79" s="83"/>
      <c r="N79" s="83" t="s">
        <v>149</v>
      </c>
      <c r="O79" s="83"/>
      <c r="P79" s="89">
        <f>P71+P73+P75+P77</f>
        <v>265</v>
      </c>
      <c r="Q79" s="89"/>
      <c r="R79" s="89"/>
      <c r="S79" s="83" t="s">
        <v>129</v>
      </c>
      <c r="T79" s="83"/>
      <c r="U79" s="83"/>
      <c r="V79" s="83" t="s">
        <v>149</v>
      </c>
      <c r="W79" s="83"/>
      <c r="X79" s="89">
        <f>X71+X73+X75+X77</f>
        <v>1762.25</v>
      </c>
      <c r="Y79" s="89"/>
      <c r="Z79" s="89"/>
      <c r="AA79" s="83" t="s">
        <v>150</v>
      </c>
      <c r="AB79" s="83"/>
      <c r="AC79" s="83"/>
      <c r="AD79" s="83" t="s">
        <v>149</v>
      </c>
      <c r="AE79" s="83"/>
      <c r="AF79" s="89">
        <f ca="1">AF71+AF73+AF75+AF77</f>
        <v>1866.25</v>
      </c>
      <c r="AG79" s="89"/>
      <c r="AH79" s="89"/>
      <c r="AI79" s="40"/>
      <c r="AJ79" s="28"/>
      <c r="AK79" s="6"/>
      <c r="AL79" s="6"/>
      <c r="AM79" s="82" t="s">
        <v>73</v>
      </c>
      <c r="AN79" s="83"/>
      <c r="AO79" s="83"/>
      <c r="AP79" s="83"/>
      <c r="AQ79" s="83"/>
      <c r="AR79" s="83"/>
      <c r="AS79" s="83"/>
      <c r="AT79" s="159">
        <v>1</v>
      </c>
      <c r="AU79" s="159"/>
      <c r="AV79" s="159"/>
      <c r="AW79" s="83" t="s">
        <v>68</v>
      </c>
      <c r="AX79" s="83"/>
      <c r="AY79" s="83"/>
      <c r="AZ79" s="83"/>
      <c r="BA79" s="83"/>
      <c r="BB79" s="83"/>
      <c r="BC79" s="159" t="s">
        <v>317</v>
      </c>
      <c r="BD79" s="159"/>
      <c r="BE79" s="159"/>
      <c r="BF79" s="159"/>
      <c r="BG79" s="159"/>
      <c r="BH79" s="159"/>
      <c r="BI79" s="159"/>
      <c r="BJ79" s="159"/>
      <c r="BK79" s="159"/>
      <c r="BL79" s="159"/>
      <c r="BM79" s="159"/>
      <c r="BN79" s="159"/>
      <c r="BO79" s="159"/>
      <c r="BP79" s="159"/>
      <c r="BQ79" s="159"/>
      <c r="BR79" s="159"/>
      <c r="BS79" s="159"/>
      <c r="BT79" s="159"/>
      <c r="BU79" s="28"/>
    </row>
    <row r="80" spans="1:73" ht="11.1" customHeight="1" thickBot="1">
      <c r="B80" s="29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1"/>
      <c r="AK80" s="6"/>
      <c r="AL80" s="6"/>
      <c r="AM80" s="38"/>
      <c r="BU80" s="45"/>
    </row>
    <row r="81" spans="2:73" ht="11.1" customHeight="1"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6"/>
      <c r="AL81" s="6"/>
      <c r="AM81" s="85" t="s">
        <v>66</v>
      </c>
      <c r="AN81" s="86"/>
      <c r="AO81" s="86"/>
      <c r="AP81" s="88"/>
      <c r="AQ81" s="88"/>
      <c r="AR81" s="88"/>
      <c r="AS81" s="88"/>
      <c r="AT81" s="88"/>
      <c r="AU81" s="83" t="s">
        <v>67</v>
      </c>
      <c r="AV81" s="83"/>
      <c r="AW81" s="83"/>
      <c r="AX81" s="83"/>
      <c r="AY81" s="83"/>
      <c r="AZ81" s="88"/>
      <c r="BA81" s="88"/>
      <c r="BB81" s="88"/>
      <c r="BC81" s="88"/>
      <c r="BD81" s="88"/>
      <c r="BE81" s="88"/>
      <c r="BF81" s="88"/>
      <c r="BG81" s="88"/>
      <c r="BH81" s="88"/>
      <c r="BI81" s="88"/>
      <c r="BJ81" s="88"/>
      <c r="BK81" s="88"/>
      <c r="BL81" s="88"/>
      <c r="BM81" s="88"/>
      <c r="BN81" s="88"/>
      <c r="BO81" s="88"/>
      <c r="BP81" s="88"/>
      <c r="BQ81" s="88"/>
      <c r="BR81" s="88"/>
      <c r="BS81" s="88"/>
      <c r="BT81" s="88"/>
      <c r="BU81" s="28"/>
    </row>
    <row r="82" spans="2:73" ht="11.1" customHeight="1" thickBot="1"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6"/>
      <c r="AL82" s="6"/>
      <c r="AM82" s="52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4"/>
    </row>
    <row r="83" spans="2:73" ht="2.1" customHeight="1" thickBot="1">
      <c r="AK83" s="6"/>
      <c r="AL83" s="6"/>
    </row>
    <row r="84" spans="2:73" ht="11.1" customHeight="1">
      <c r="B84" s="91" t="s">
        <v>75</v>
      </c>
      <c r="C84" s="92"/>
      <c r="D84" s="92"/>
      <c r="E84" s="92"/>
      <c r="F84" s="93"/>
      <c r="G84" s="65" t="str">
        <f>IF(F86=0,"NO","SI")</f>
        <v>NO</v>
      </c>
      <c r="H84" s="66"/>
      <c r="I84" s="66"/>
      <c r="J84" s="67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2"/>
      <c r="AK84" s="6"/>
      <c r="AL84" s="6"/>
    </row>
    <row r="85" spans="2:73" ht="11.1" customHeight="1">
      <c r="B85" s="2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25"/>
      <c r="AK85" s="6"/>
      <c r="AL85" s="6"/>
    </row>
    <row r="86" spans="2:73" ht="11.1" customHeight="1">
      <c r="B86" s="23"/>
      <c r="C86" s="83" t="s">
        <v>13</v>
      </c>
      <c r="D86" s="83"/>
      <c r="E86" s="83"/>
      <c r="F86" s="89">
        <f>IF(CO$43&lt;&gt;"ERR.",CO$43,0)</f>
        <v>0</v>
      </c>
      <c r="G86" s="89"/>
      <c r="H86" s="89"/>
      <c r="I86" s="89"/>
      <c r="J86" s="89"/>
      <c r="K86" s="83" t="s">
        <v>76</v>
      </c>
      <c r="L86" s="83"/>
      <c r="M86" s="83"/>
      <c r="N86" s="83"/>
      <c r="O86" s="83"/>
      <c r="P86" s="89">
        <f>IF(CP$43&lt;&gt;"ERR.",CP$43,"")</f>
        <v>0</v>
      </c>
      <c r="Q86" s="89"/>
      <c r="R86" s="89"/>
      <c r="S86" s="89"/>
      <c r="T86" s="89"/>
      <c r="U86" s="89"/>
      <c r="V86" s="89"/>
      <c r="W86" s="83" t="s">
        <v>77</v>
      </c>
      <c r="X86" s="83"/>
      <c r="Y86" s="83"/>
      <c r="Z86" s="83"/>
      <c r="AA86" s="89">
        <f>IF(CT$43&lt;&gt;"ERR.",CT$43,"")</f>
        <v>0</v>
      </c>
      <c r="AB86" s="89"/>
      <c r="AC86" s="89"/>
      <c r="AD86" s="83" t="s">
        <v>78</v>
      </c>
      <c r="AE86" s="83"/>
      <c r="AF86" s="83"/>
      <c r="AG86" s="89">
        <f>IF(CS$43&lt;&gt;"ERR.",CS$43,"")</f>
        <v>0</v>
      </c>
      <c r="AH86" s="89"/>
      <c r="AI86" s="89"/>
      <c r="AJ86" s="28"/>
      <c r="AK86" s="6"/>
      <c r="AL86" s="6"/>
    </row>
    <row r="87" spans="2:73" ht="11.1" customHeight="1">
      <c r="B87" s="2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AJ87" s="25"/>
      <c r="AK87" s="6"/>
      <c r="AL87" s="6"/>
    </row>
    <row r="88" spans="2:73" ht="11.1" customHeight="1">
      <c r="B88" s="32"/>
      <c r="C88" s="83" t="s">
        <v>13</v>
      </c>
      <c r="D88" s="83"/>
      <c r="E88" s="83"/>
      <c r="F88" s="89">
        <f>IF(CQ$43&lt;&gt;"ERR.",CQ$43,"")</f>
        <v>0</v>
      </c>
      <c r="G88" s="89"/>
      <c r="H88" s="89"/>
      <c r="I88" s="89"/>
      <c r="J88" s="89"/>
      <c r="K88" s="83" t="s">
        <v>76</v>
      </c>
      <c r="L88" s="83"/>
      <c r="M88" s="83"/>
      <c r="N88" s="83"/>
      <c r="O88" s="83"/>
      <c r="P88" s="89">
        <f>IF(CR$43&lt;&gt;"ERR.",CR$43,"")</f>
        <v>0</v>
      </c>
      <c r="Q88" s="89"/>
      <c r="R88" s="89"/>
      <c r="S88" s="89"/>
      <c r="T88" s="89"/>
      <c r="U88" s="89"/>
      <c r="V88" s="89"/>
      <c r="W88" s="83" t="s">
        <v>77</v>
      </c>
      <c r="X88" s="83"/>
      <c r="Y88" s="83"/>
      <c r="Z88" s="83"/>
      <c r="AA88" s="89">
        <f>IF(CT$43&lt;&gt;"ERR.",CT$43,"")</f>
        <v>0</v>
      </c>
      <c r="AB88" s="89"/>
      <c r="AC88" s="89"/>
      <c r="AD88" s="83" t="s">
        <v>78</v>
      </c>
      <c r="AE88" s="83"/>
      <c r="AF88" s="83"/>
      <c r="AG88" s="89">
        <f>IF(CS$43&lt;&gt;"ERR.",CS$43,"")</f>
        <v>0</v>
      </c>
      <c r="AH88" s="89"/>
      <c r="AI88" s="89"/>
      <c r="AJ88" s="25"/>
      <c r="AK88" s="6"/>
      <c r="AL88" s="6"/>
    </row>
    <row r="89" spans="2:73" ht="11.1" customHeight="1">
      <c r="B89" s="2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28"/>
      <c r="AK89" s="6"/>
      <c r="AL89" s="6"/>
    </row>
    <row r="90" spans="2:73" ht="11.1" customHeight="1">
      <c r="B90" s="23"/>
      <c r="C90" s="83" t="s">
        <v>13</v>
      </c>
      <c r="D90" s="83"/>
      <c r="E90" s="83"/>
      <c r="F90" s="89"/>
      <c r="G90" s="89"/>
      <c r="H90" s="89"/>
      <c r="I90" s="89"/>
      <c r="J90" s="89"/>
      <c r="K90" s="83" t="s">
        <v>76</v>
      </c>
      <c r="L90" s="83"/>
      <c r="M90" s="83"/>
      <c r="N90" s="83"/>
      <c r="O90" s="83"/>
      <c r="P90" s="89"/>
      <c r="Q90" s="89"/>
      <c r="R90" s="89"/>
      <c r="S90" s="89"/>
      <c r="T90" s="89"/>
      <c r="U90" s="89"/>
      <c r="V90" s="89"/>
      <c r="W90" s="83" t="s">
        <v>77</v>
      </c>
      <c r="X90" s="83"/>
      <c r="Y90" s="83"/>
      <c r="Z90" s="83"/>
      <c r="AA90" s="89"/>
      <c r="AB90" s="89"/>
      <c r="AC90" s="89"/>
      <c r="AD90" s="83" t="s">
        <v>78</v>
      </c>
      <c r="AE90" s="83"/>
      <c r="AF90" s="83"/>
      <c r="AG90" s="89"/>
      <c r="AH90" s="89"/>
      <c r="AI90" s="89"/>
      <c r="AJ90" s="28"/>
      <c r="AK90" s="6"/>
      <c r="AL90" s="6"/>
    </row>
    <row r="91" spans="2:73" ht="11.1" customHeight="1">
      <c r="B91" s="2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28"/>
      <c r="AK91" s="6"/>
      <c r="AL91" s="6"/>
    </row>
    <row r="92" spans="2:73" ht="11.1" customHeight="1">
      <c r="B92" s="23"/>
      <c r="C92" s="213" t="s">
        <v>79</v>
      </c>
      <c r="D92" s="213"/>
      <c r="E92" s="213"/>
      <c r="F92" s="88"/>
      <c r="G92" s="88"/>
      <c r="H92" s="88"/>
      <c r="I92" s="88"/>
      <c r="J92" s="88"/>
      <c r="K92" s="214" t="s">
        <v>80</v>
      </c>
      <c r="L92" s="214"/>
      <c r="M92" s="214"/>
      <c r="N92" s="214"/>
      <c r="O92" s="88"/>
      <c r="P92" s="88"/>
      <c r="Q92" s="88"/>
      <c r="R92" s="88"/>
      <c r="S92" s="88"/>
      <c r="T92" s="56"/>
      <c r="U92" s="56"/>
      <c r="V92" s="56"/>
      <c r="W92" s="56"/>
      <c r="X92" s="57"/>
      <c r="Y92" s="42" t="s">
        <v>45</v>
      </c>
      <c r="Z92" s="12" t="s">
        <v>46</v>
      </c>
      <c r="AB92" s="88"/>
      <c r="AC92" s="88"/>
      <c r="AD92" s="88"/>
      <c r="AE92" s="88"/>
      <c r="AF92" s="88"/>
      <c r="AG92" s="88"/>
      <c r="AH92" s="88"/>
      <c r="AI92" s="88"/>
      <c r="AJ92" s="96"/>
      <c r="AK92" s="6"/>
      <c r="AL92" s="6"/>
    </row>
    <row r="93" spans="2:73" ht="11.1" customHeight="1" thickBot="1">
      <c r="B93" s="29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1"/>
      <c r="AK93" s="6"/>
      <c r="AL93" s="6"/>
    </row>
    <row r="94" spans="2:73" ht="11.1" customHeight="1" thickBot="1">
      <c r="AK94" s="6"/>
      <c r="AL94" s="6"/>
    </row>
    <row r="95" spans="2:73" ht="11.1" customHeight="1">
      <c r="B95" s="91" t="s">
        <v>92</v>
      </c>
      <c r="C95" s="92"/>
      <c r="D95" s="93"/>
      <c r="E95" s="65" t="str">
        <f>IF(F105&gt;0,"SI","NO")</f>
        <v>SI</v>
      </c>
      <c r="F95" s="66"/>
      <c r="G95" s="66"/>
      <c r="H95" s="67"/>
      <c r="I95" s="154" t="s">
        <v>38</v>
      </c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  <c r="AA95" s="155"/>
      <c r="AB95" s="155"/>
      <c r="AC95" s="155"/>
      <c r="AD95" s="155"/>
      <c r="AE95" s="155"/>
      <c r="AF95" s="155"/>
      <c r="AG95" s="155"/>
      <c r="AH95" s="155"/>
      <c r="AI95" s="155"/>
      <c r="AJ95" s="156"/>
      <c r="AK95" s="6"/>
      <c r="AL95" s="6"/>
    </row>
    <row r="96" spans="2:73" ht="11.1" customHeight="1">
      <c r="B96" s="32"/>
      <c r="C96" s="33"/>
      <c r="D96" s="33"/>
      <c r="E96" s="26"/>
      <c r="F96" s="26"/>
      <c r="G96" s="26"/>
      <c r="H96" s="26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5"/>
      <c r="AK96" s="6"/>
      <c r="AL96" s="6"/>
    </row>
    <row r="97" spans="2:38" ht="11.1" customHeight="1">
      <c r="B97" s="85" t="s">
        <v>39</v>
      </c>
      <c r="C97" s="86"/>
      <c r="D97" s="86"/>
      <c r="E97" s="88"/>
      <c r="F97" s="88"/>
      <c r="G97" s="88"/>
      <c r="H97" s="88"/>
      <c r="I97" s="88"/>
      <c r="O97" s="83" t="s">
        <v>40</v>
      </c>
      <c r="P97" s="83"/>
      <c r="Q97" s="83"/>
      <c r="R97" s="83"/>
      <c r="S97" s="90" t="s">
        <v>81</v>
      </c>
      <c r="T97" s="90"/>
      <c r="U97" s="90"/>
      <c r="V97" s="149"/>
      <c r="W97" s="149"/>
      <c r="X97" s="149"/>
      <c r="Y97" s="90" t="s">
        <v>82</v>
      </c>
      <c r="Z97" s="90"/>
      <c r="AA97" s="90"/>
      <c r="AB97" s="149"/>
      <c r="AC97" s="149"/>
      <c r="AD97" s="149"/>
      <c r="AE97" s="90" t="s">
        <v>83</v>
      </c>
      <c r="AF97" s="90"/>
      <c r="AG97" s="90"/>
      <c r="AH97" s="210"/>
      <c r="AI97" s="211"/>
      <c r="AJ97" s="212"/>
      <c r="AK97" s="6"/>
      <c r="AL97" s="6"/>
    </row>
    <row r="98" spans="2:38" ht="11.1" customHeight="1">
      <c r="B98" s="36"/>
      <c r="C98" s="34"/>
      <c r="D98" s="34"/>
      <c r="E98" s="7"/>
      <c r="F98" s="7"/>
      <c r="G98" s="13"/>
      <c r="H98" s="13"/>
      <c r="J98" s="13"/>
      <c r="K98" s="34"/>
      <c r="L98" s="34"/>
      <c r="M98" s="37"/>
      <c r="N98" s="34"/>
      <c r="O98" s="34"/>
      <c r="P98" s="37"/>
      <c r="Q98" s="34"/>
      <c r="R98" s="34"/>
      <c r="S98" s="7"/>
      <c r="T98" s="7"/>
      <c r="AJ98" s="25"/>
      <c r="AK98" s="6"/>
      <c r="AL98" s="6"/>
    </row>
    <row r="99" spans="2:38" ht="11.1" customHeight="1">
      <c r="B99" s="38"/>
      <c r="C99" s="39" t="s">
        <v>44</v>
      </c>
      <c r="E99" s="13"/>
      <c r="F99" s="13"/>
      <c r="G99" s="13"/>
      <c r="H99" s="13"/>
      <c r="I99" s="40"/>
      <c r="J99" s="12"/>
      <c r="K99" s="12"/>
      <c r="L99" s="12"/>
      <c r="M99" s="41"/>
      <c r="N99" s="7"/>
      <c r="O99" s="41"/>
      <c r="P99" s="41"/>
      <c r="Q99" s="41"/>
      <c r="R99" s="41"/>
      <c r="S99" s="41"/>
      <c r="T99" s="41"/>
      <c r="Y99" s="42" t="s">
        <v>45</v>
      </c>
      <c r="Z99" s="12" t="s">
        <v>46</v>
      </c>
      <c r="AB99" s="88"/>
      <c r="AC99" s="88"/>
      <c r="AD99" s="88"/>
      <c r="AE99" s="88"/>
      <c r="AF99" s="88"/>
      <c r="AG99" s="88"/>
      <c r="AH99" s="88"/>
      <c r="AI99" s="88"/>
      <c r="AJ99" s="96"/>
      <c r="AK99" s="6"/>
      <c r="AL99" s="6"/>
    </row>
    <row r="100" spans="2:38" ht="11.1" customHeight="1">
      <c r="B100" s="38"/>
      <c r="C100" s="39" t="s">
        <v>85</v>
      </c>
      <c r="E100" s="13"/>
      <c r="F100" s="13"/>
      <c r="G100" s="13"/>
      <c r="H100" s="13"/>
      <c r="I100" s="40"/>
      <c r="J100" s="12"/>
      <c r="K100" s="12"/>
      <c r="L100" s="12"/>
      <c r="M100" s="41"/>
      <c r="N100" s="7"/>
      <c r="O100" s="41"/>
      <c r="P100" s="41"/>
      <c r="Q100" s="41"/>
      <c r="R100" s="41"/>
      <c r="S100" s="41"/>
      <c r="T100" s="41"/>
      <c r="Y100" s="42" t="s">
        <v>45</v>
      </c>
      <c r="Z100" s="12" t="s">
        <v>46</v>
      </c>
      <c r="AB100" s="88"/>
      <c r="AC100" s="88"/>
      <c r="AD100" s="88"/>
      <c r="AE100" s="88"/>
      <c r="AF100" s="88"/>
      <c r="AG100" s="88"/>
      <c r="AH100" s="88"/>
      <c r="AI100" s="88"/>
      <c r="AJ100" s="96"/>
      <c r="AK100" s="6"/>
      <c r="AL100" s="6"/>
    </row>
    <row r="101" spans="2:38" ht="11.1" customHeight="1">
      <c r="B101" s="38"/>
      <c r="C101" s="39" t="s">
        <v>48</v>
      </c>
      <c r="E101" s="13"/>
      <c r="F101" s="13"/>
      <c r="G101" s="13"/>
      <c r="H101" s="13"/>
      <c r="I101" s="13"/>
      <c r="J101" s="13"/>
      <c r="K101" s="43"/>
      <c r="L101" s="44"/>
      <c r="M101" s="41"/>
      <c r="N101" s="7"/>
      <c r="O101" s="41"/>
      <c r="P101" s="41"/>
      <c r="Q101" s="41"/>
      <c r="R101" s="41"/>
      <c r="S101" s="41"/>
      <c r="T101" s="41"/>
      <c r="Y101" s="42" t="s">
        <v>45</v>
      </c>
      <c r="Z101" s="12" t="s">
        <v>46</v>
      </c>
      <c r="AB101" s="88"/>
      <c r="AC101" s="88"/>
      <c r="AD101" s="88"/>
      <c r="AE101" s="88"/>
      <c r="AF101" s="88"/>
      <c r="AG101" s="88"/>
      <c r="AH101" s="88"/>
      <c r="AI101" s="88"/>
      <c r="AJ101" s="96"/>
      <c r="AK101" s="6"/>
      <c r="AL101" s="6"/>
    </row>
    <row r="102" spans="2:38" ht="11.1" customHeight="1">
      <c r="B102" s="38"/>
      <c r="C102" s="26"/>
      <c r="D102" s="26"/>
      <c r="E102" s="26"/>
      <c r="F102" s="26"/>
      <c r="G102" s="26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AJ102" s="25"/>
      <c r="AK102" s="6"/>
      <c r="AL102" s="6"/>
    </row>
    <row r="103" spans="2:38" ht="11.1" customHeight="1">
      <c r="B103" s="85" t="s">
        <v>131</v>
      </c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7"/>
      <c r="AK103" s="6"/>
      <c r="AL103" s="6"/>
    </row>
    <row r="104" spans="2:38" ht="11.1" customHeight="1">
      <c r="B104" s="36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5"/>
      <c r="AK104" s="6"/>
      <c r="AL104" s="6"/>
    </row>
    <row r="105" spans="2:38" ht="11.1" customHeight="1">
      <c r="B105" s="85" t="s">
        <v>86</v>
      </c>
      <c r="C105" s="86"/>
      <c r="D105" s="86"/>
      <c r="E105" s="86"/>
      <c r="F105" s="89" t="str">
        <f>IF(CU$43&lt;&gt;"ERR.",CU$43,0)</f>
        <v>FU0443</v>
      </c>
      <c r="G105" s="89"/>
      <c r="H105" s="89"/>
      <c r="I105" s="86" t="s">
        <v>87</v>
      </c>
      <c r="J105" s="86"/>
      <c r="K105" s="86"/>
      <c r="L105" s="86"/>
      <c r="M105" s="89" t="str">
        <f>IFERROR(VLOOKUP($F105,[4]Giacenza_Fustelle!$A$3:$N$10000,6,FALSE),"")</f>
        <v>BOBST 1260</v>
      </c>
      <c r="N105" s="89"/>
      <c r="O105" s="89"/>
      <c r="P105" s="89"/>
      <c r="Q105" s="86" t="s">
        <v>88</v>
      </c>
      <c r="R105" s="86"/>
      <c r="S105" s="86"/>
      <c r="T105" s="89" t="str">
        <f>IFERROR(VLOOKUP($F105,[4]Giacenza_Fustelle!$A$3:$N$10000,8,FALSE),"")</f>
        <v>Si</v>
      </c>
      <c r="U105" s="89"/>
      <c r="V105" s="86" t="s">
        <v>89</v>
      </c>
      <c r="W105" s="86"/>
      <c r="X105" s="86"/>
      <c r="Y105" s="86"/>
      <c r="Z105" s="89" t="str">
        <f>IFERROR(VLOOKUP($F105,[4]Giacenza_Fustelle!$A$3:$N$10000,9,FALSE),"")</f>
        <v>Si</v>
      </c>
      <c r="AA105" s="89"/>
      <c r="AB105" s="86" t="s">
        <v>90</v>
      </c>
      <c r="AC105" s="86"/>
      <c r="AD105" s="86"/>
      <c r="AE105" s="89" t="str">
        <f>IFERROR(VLOOKUP($F105,[4]Giacenza_Fustelle!$A$3:$N$10000,10,FALSE),"")</f>
        <v>No</v>
      </c>
      <c r="AF105" s="89"/>
      <c r="AG105" s="86" t="s">
        <v>91</v>
      </c>
      <c r="AH105" s="86"/>
      <c r="AI105" s="89">
        <f>IF(CV$43&lt;&gt;"ERR.",CV$43,0)</f>
        <v>0</v>
      </c>
      <c r="AJ105" s="222"/>
      <c r="AK105" s="6"/>
      <c r="AL105" s="6"/>
    </row>
    <row r="106" spans="2:38" ht="11.1" customHeight="1">
      <c r="B106" s="36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28"/>
      <c r="AK106" s="6"/>
      <c r="AL106" s="6"/>
    </row>
    <row r="107" spans="2:38" ht="11.1" customHeight="1">
      <c r="B107" s="85" t="s">
        <v>66</v>
      </c>
      <c r="C107" s="86"/>
      <c r="D107" s="86"/>
      <c r="E107" s="88"/>
      <c r="F107" s="88"/>
      <c r="G107" s="88"/>
      <c r="H107" s="88"/>
      <c r="I107" s="88"/>
      <c r="J107" s="83" t="s">
        <v>67</v>
      </c>
      <c r="K107" s="83"/>
      <c r="L107" s="83"/>
      <c r="M107" s="83"/>
      <c r="N107" s="83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28"/>
      <c r="AK107" s="6"/>
      <c r="AL107" s="6"/>
    </row>
    <row r="108" spans="2:38" ht="11.1" customHeight="1" thickBot="1">
      <c r="B108" s="52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4"/>
      <c r="AK108" s="6"/>
      <c r="AL108" s="6"/>
    </row>
    <row r="109" spans="2:38" ht="11.1" customHeight="1" thickBot="1">
      <c r="AK109" s="6"/>
      <c r="AL109" s="6"/>
    </row>
    <row r="110" spans="2:38" ht="11.1" customHeight="1">
      <c r="B110" s="91" t="s">
        <v>93</v>
      </c>
      <c r="C110" s="92"/>
      <c r="D110" s="92"/>
      <c r="E110" s="93"/>
      <c r="F110" s="65" t="str">
        <f>IF(M112=0,"NO","SI")</f>
        <v>NO</v>
      </c>
      <c r="G110" s="66"/>
      <c r="H110" s="66"/>
      <c r="I110" s="67"/>
      <c r="J110" s="154" t="s">
        <v>38</v>
      </c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5"/>
      <c r="Y110" s="155"/>
      <c r="Z110" s="155"/>
      <c r="AA110" s="155"/>
      <c r="AB110" s="155"/>
      <c r="AC110" s="155"/>
      <c r="AD110" s="155"/>
      <c r="AE110" s="155"/>
      <c r="AF110" s="155"/>
      <c r="AG110" s="155"/>
      <c r="AH110" s="155"/>
      <c r="AI110" s="155"/>
      <c r="AJ110" s="156"/>
      <c r="AK110" s="6"/>
      <c r="AL110" s="6"/>
    </row>
    <row r="111" spans="2:38" ht="11.1" customHeight="1">
      <c r="B111" s="32"/>
      <c r="C111" s="33"/>
      <c r="D111" s="33"/>
      <c r="E111" s="26"/>
      <c r="F111" s="26"/>
      <c r="G111" s="26"/>
      <c r="H111" s="26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5"/>
      <c r="AK111" s="6"/>
      <c r="AL111" s="6"/>
    </row>
    <row r="112" spans="2:38" ht="11.1" customHeight="1">
      <c r="B112" s="85" t="s">
        <v>39</v>
      </c>
      <c r="C112" s="86"/>
      <c r="D112" s="86"/>
      <c r="E112" s="88"/>
      <c r="F112" s="88"/>
      <c r="G112" s="88"/>
      <c r="H112" s="88"/>
      <c r="I112" s="83" t="s">
        <v>97</v>
      </c>
      <c r="J112" s="83"/>
      <c r="K112" s="83"/>
      <c r="L112" s="83"/>
      <c r="M112" s="89">
        <f>IF(CX$43&lt;&gt;"ERR.",CX$43,0)</f>
        <v>0</v>
      </c>
      <c r="N112" s="89"/>
      <c r="O112" s="83" t="s">
        <v>40</v>
      </c>
      <c r="P112" s="83"/>
      <c r="Q112" s="83"/>
      <c r="R112" s="83"/>
      <c r="S112" s="90" t="s">
        <v>71</v>
      </c>
      <c r="T112" s="90"/>
      <c r="U112" s="90"/>
      <c r="V112" s="149"/>
      <c r="W112" s="149"/>
      <c r="X112" s="149"/>
      <c r="Y112" s="90" t="s">
        <v>94</v>
      </c>
      <c r="Z112" s="90"/>
      <c r="AA112" s="90"/>
      <c r="AB112" s="149"/>
      <c r="AC112" s="149"/>
      <c r="AD112" s="149"/>
      <c r="AE112" s="90"/>
      <c r="AF112" s="90"/>
      <c r="AG112" s="90"/>
      <c r="AH112" s="210"/>
      <c r="AI112" s="211"/>
      <c r="AJ112" s="212"/>
      <c r="AK112" s="6"/>
      <c r="AL112" s="6"/>
    </row>
    <row r="113" spans="2:38" ht="11.1" customHeight="1">
      <c r="B113" s="36"/>
      <c r="C113" s="34"/>
      <c r="D113" s="34"/>
      <c r="E113" s="7"/>
      <c r="F113" s="7"/>
      <c r="G113" s="13"/>
      <c r="H113" s="13"/>
      <c r="J113" s="13"/>
      <c r="K113" s="34"/>
      <c r="L113" s="34"/>
      <c r="M113" s="37"/>
      <c r="N113" s="34"/>
      <c r="O113" s="34"/>
      <c r="P113" s="37"/>
      <c r="Q113" s="34"/>
      <c r="R113" s="34"/>
      <c r="S113" s="7"/>
      <c r="T113" s="7"/>
      <c r="AJ113" s="25"/>
      <c r="AK113" s="6"/>
      <c r="AL113" s="6"/>
    </row>
    <row r="114" spans="2:38" ht="11.1" customHeight="1">
      <c r="B114" s="38"/>
      <c r="C114" s="39" t="s">
        <v>44</v>
      </c>
      <c r="E114" s="13"/>
      <c r="F114" s="13"/>
      <c r="G114" s="13"/>
      <c r="H114" s="13"/>
      <c r="I114" s="40"/>
      <c r="J114" s="12"/>
      <c r="K114" s="12"/>
      <c r="L114" s="12"/>
      <c r="M114" s="41"/>
      <c r="N114" s="7"/>
      <c r="O114" s="41"/>
      <c r="P114" s="41"/>
      <c r="Q114" s="41"/>
      <c r="R114" s="41"/>
      <c r="S114" s="41"/>
      <c r="T114" s="41"/>
      <c r="Y114" s="42" t="s">
        <v>45</v>
      </c>
      <c r="Z114" s="12" t="s">
        <v>46</v>
      </c>
      <c r="AB114" s="88"/>
      <c r="AC114" s="88"/>
      <c r="AD114" s="88"/>
      <c r="AE114" s="88"/>
      <c r="AF114" s="88"/>
      <c r="AG114" s="88"/>
      <c r="AH114" s="88"/>
      <c r="AI114" s="88"/>
      <c r="AJ114" s="96"/>
      <c r="AK114" s="6"/>
      <c r="AL114" s="6"/>
    </row>
    <row r="115" spans="2:38" ht="11.1" customHeight="1">
      <c r="B115" s="38"/>
      <c r="C115" s="39" t="s">
        <v>85</v>
      </c>
      <c r="E115" s="13"/>
      <c r="F115" s="13"/>
      <c r="G115" s="13"/>
      <c r="H115" s="13"/>
      <c r="I115" s="40"/>
      <c r="J115" s="12"/>
      <c r="K115" s="12"/>
      <c r="L115" s="12"/>
      <c r="M115" s="41"/>
      <c r="N115" s="7"/>
      <c r="O115" s="41"/>
      <c r="P115" s="41"/>
      <c r="Q115" s="41"/>
      <c r="R115" s="41"/>
      <c r="S115" s="41"/>
      <c r="T115" s="41"/>
      <c r="Y115" s="42" t="s">
        <v>45</v>
      </c>
      <c r="Z115" s="12" t="s">
        <v>46</v>
      </c>
      <c r="AB115" s="88"/>
      <c r="AC115" s="88"/>
      <c r="AD115" s="88"/>
      <c r="AE115" s="88"/>
      <c r="AF115" s="88"/>
      <c r="AG115" s="88"/>
      <c r="AH115" s="88"/>
      <c r="AI115" s="88"/>
      <c r="AJ115" s="96"/>
      <c r="AK115" s="6"/>
      <c r="AL115" s="6"/>
    </row>
    <row r="116" spans="2:38" ht="11.1" customHeight="1">
      <c r="B116" s="38"/>
      <c r="C116" s="39" t="s">
        <v>48</v>
      </c>
      <c r="E116" s="13"/>
      <c r="F116" s="13"/>
      <c r="G116" s="13"/>
      <c r="H116" s="13"/>
      <c r="I116" s="13"/>
      <c r="J116" s="13"/>
      <c r="K116" s="43"/>
      <c r="L116" s="44"/>
      <c r="M116" s="41"/>
      <c r="N116" s="7"/>
      <c r="O116" s="41"/>
      <c r="P116" s="41"/>
      <c r="Q116" s="41"/>
      <c r="R116" s="41"/>
      <c r="S116" s="41"/>
      <c r="T116" s="41"/>
      <c r="Y116" s="42" t="s">
        <v>45</v>
      </c>
      <c r="Z116" s="12" t="s">
        <v>46</v>
      </c>
      <c r="AB116" s="88"/>
      <c r="AC116" s="88"/>
      <c r="AD116" s="88"/>
      <c r="AE116" s="88"/>
      <c r="AF116" s="88"/>
      <c r="AG116" s="88"/>
      <c r="AH116" s="88"/>
      <c r="AI116" s="88"/>
      <c r="AJ116" s="96"/>
      <c r="AK116" s="6"/>
      <c r="AL116" s="6"/>
    </row>
    <row r="117" spans="2:38" ht="11.1" customHeight="1">
      <c r="B117" s="38"/>
      <c r="C117" s="39" t="s">
        <v>95</v>
      </c>
      <c r="E117" s="13"/>
      <c r="F117" s="13"/>
      <c r="G117" s="13"/>
      <c r="H117" s="13"/>
      <c r="I117" s="13"/>
      <c r="J117" s="13"/>
      <c r="K117" s="43"/>
      <c r="L117" s="44"/>
      <c r="M117" s="41"/>
      <c r="N117" s="7"/>
      <c r="O117" s="41"/>
      <c r="P117" s="41"/>
      <c r="Q117" s="41"/>
      <c r="R117" s="41"/>
      <c r="S117" s="41"/>
      <c r="T117" s="41"/>
      <c r="Y117" s="42" t="s">
        <v>45</v>
      </c>
      <c r="Z117" s="12" t="s">
        <v>46</v>
      </c>
      <c r="AB117" s="88"/>
      <c r="AC117" s="88"/>
      <c r="AD117" s="88"/>
      <c r="AE117" s="88"/>
      <c r="AF117" s="88"/>
      <c r="AG117" s="88"/>
      <c r="AH117" s="88"/>
      <c r="AI117" s="88"/>
      <c r="AJ117" s="96"/>
      <c r="AK117" s="6"/>
      <c r="AL117" s="6"/>
    </row>
    <row r="118" spans="2:38" ht="11.1" customHeight="1">
      <c r="B118" s="38"/>
      <c r="C118" s="39" t="s">
        <v>96</v>
      </c>
      <c r="E118" s="13"/>
      <c r="F118" s="13"/>
      <c r="G118" s="13"/>
      <c r="H118" s="13"/>
      <c r="I118" s="13"/>
      <c r="J118" s="13"/>
      <c r="K118" s="43"/>
      <c r="L118" s="44"/>
      <c r="M118" s="41"/>
      <c r="N118" s="7"/>
      <c r="O118" s="41"/>
      <c r="P118" s="41"/>
      <c r="Q118" s="41"/>
      <c r="R118" s="41"/>
      <c r="S118" s="41"/>
      <c r="T118" s="41"/>
      <c r="Y118" s="42" t="s">
        <v>45</v>
      </c>
      <c r="Z118" s="12" t="s">
        <v>46</v>
      </c>
      <c r="AB118" s="88"/>
      <c r="AC118" s="88"/>
      <c r="AD118" s="88"/>
      <c r="AE118" s="88"/>
      <c r="AF118" s="88"/>
      <c r="AG118" s="88"/>
      <c r="AH118" s="88"/>
      <c r="AI118" s="88"/>
      <c r="AJ118" s="96"/>
      <c r="AK118" s="6"/>
      <c r="AL118" s="6"/>
    </row>
    <row r="119" spans="2:38" ht="11.1" customHeight="1">
      <c r="B119" s="38"/>
      <c r="C119" s="26"/>
      <c r="D119" s="26"/>
      <c r="E119" s="26"/>
      <c r="F119" s="26"/>
      <c r="G119" s="26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AJ119" s="25"/>
      <c r="AK119" s="6"/>
      <c r="AL119" s="6"/>
    </row>
    <row r="120" spans="2:38" ht="11.1" customHeight="1">
      <c r="B120" s="215" t="s">
        <v>114</v>
      </c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16"/>
      <c r="Q120" s="216"/>
      <c r="R120" s="216"/>
      <c r="S120" s="216"/>
      <c r="T120" s="216"/>
      <c r="U120" s="216"/>
      <c r="V120" s="216"/>
      <c r="W120" s="216"/>
      <c r="X120" s="216"/>
      <c r="Y120" s="216"/>
      <c r="Z120" s="216"/>
      <c r="AA120" s="216"/>
      <c r="AB120" s="216"/>
      <c r="AC120" s="216"/>
      <c r="AD120" s="216"/>
      <c r="AE120" s="216"/>
      <c r="AF120" s="216"/>
      <c r="AG120" s="216"/>
      <c r="AH120" s="216"/>
      <c r="AI120" s="216"/>
      <c r="AJ120" s="217"/>
      <c r="AK120" s="6"/>
      <c r="AL120" s="6"/>
    </row>
    <row r="121" spans="2:38" ht="11.1" customHeight="1">
      <c r="B121" s="36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28"/>
      <c r="AK121" s="6"/>
      <c r="AL121" s="6"/>
    </row>
    <row r="122" spans="2:38" ht="11.1" customHeight="1">
      <c r="B122" s="85" t="s">
        <v>66</v>
      </c>
      <c r="C122" s="86"/>
      <c r="D122" s="86"/>
      <c r="E122" s="88"/>
      <c r="F122" s="88"/>
      <c r="G122" s="88"/>
      <c r="H122" s="88"/>
      <c r="I122" s="88"/>
      <c r="J122" s="83" t="s">
        <v>67</v>
      </c>
      <c r="K122" s="83"/>
      <c r="L122" s="83"/>
      <c r="M122" s="83"/>
      <c r="N122" s="83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28"/>
      <c r="AK122" s="6"/>
      <c r="AL122" s="6"/>
    </row>
    <row r="123" spans="2:38" ht="11.1" customHeight="1" thickBot="1">
      <c r="B123" s="52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4"/>
      <c r="AK123" s="6"/>
      <c r="AL123" s="6"/>
    </row>
    <row r="124" spans="2:38" ht="11.1" customHeight="1" thickBot="1">
      <c r="AK124" s="6"/>
      <c r="AL124" s="6"/>
    </row>
    <row r="125" spans="2:38" ht="11.1" customHeight="1">
      <c r="B125" s="91" t="s">
        <v>105</v>
      </c>
      <c r="C125" s="92"/>
      <c r="D125" s="92"/>
      <c r="E125" s="93"/>
      <c r="F125" s="65" t="str">
        <f>IFERROR(VLOOKUP($F105,[4]Giacenza_Fustelle!$A$3:$N$10000,12,FALSE),"")</f>
        <v>Si</v>
      </c>
      <c r="G125" s="66"/>
      <c r="H125" s="66"/>
      <c r="I125" s="67"/>
      <c r="J125" s="154" t="s">
        <v>38</v>
      </c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  <c r="AA125" s="155"/>
      <c r="AB125" s="155"/>
      <c r="AC125" s="155"/>
      <c r="AD125" s="155"/>
      <c r="AE125" s="155"/>
      <c r="AF125" s="155"/>
      <c r="AG125" s="155"/>
      <c r="AH125" s="155"/>
      <c r="AI125" s="155"/>
      <c r="AJ125" s="156"/>
      <c r="AK125" s="6"/>
      <c r="AL125" s="6"/>
    </row>
    <row r="126" spans="2:38" ht="11.1" customHeight="1">
      <c r="B126" s="32"/>
      <c r="C126" s="33"/>
      <c r="D126" s="33"/>
      <c r="E126" s="26"/>
      <c r="F126" s="26"/>
      <c r="G126" s="26"/>
      <c r="H126" s="26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5"/>
      <c r="AK126" s="6"/>
      <c r="AL126" s="6"/>
    </row>
    <row r="127" spans="2:38" ht="11.1" customHeight="1">
      <c r="B127" s="85" t="s">
        <v>39</v>
      </c>
      <c r="C127" s="86"/>
      <c r="D127" s="86"/>
      <c r="E127" s="88"/>
      <c r="F127" s="88"/>
      <c r="G127" s="88"/>
      <c r="H127" s="88"/>
      <c r="I127" s="40"/>
      <c r="J127" s="40"/>
      <c r="K127" s="40"/>
      <c r="L127" s="40"/>
      <c r="M127" s="40"/>
      <c r="N127" s="40"/>
      <c r="O127" s="83" t="s">
        <v>40</v>
      </c>
      <c r="P127" s="83"/>
      <c r="Q127" s="83"/>
      <c r="R127" s="83"/>
      <c r="S127" s="90" t="s">
        <v>98</v>
      </c>
      <c r="T127" s="90"/>
      <c r="U127" s="90"/>
      <c r="V127" s="149"/>
      <c r="W127" s="149"/>
      <c r="X127" s="149"/>
      <c r="Y127" s="90" t="s">
        <v>99</v>
      </c>
      <c r="Z127" s="90"/>
      <c r="AA127" s="90"/>
      <c r="AB127" s="149"/>
      <c r="AC127" s="149"/>
      <c r="AD127" s="149"/>
      <c r="AE127" s="90" t="s">
        <v>100</v>
      </c>
      <c r="AF127" s="90"/>
      <c r="AG127" s="90"/>
      <c r="AH127" s="210"/>
      <c r="AI127" s="211"/>
      <c r="AJ127" s="212"/>
      <c r="AK127" s="6"/>
      <c r="AL127" s="6"/>
    </row>
    <row r="128" spans="2:38" ht="11.1" customHeight="1">
      <c r="B128" s="36"/>
      <c r="C128" s="34"/>
      <c r="D128" s="34"/>
      <c r="E128" s="7"/>
      <c r="F128" s="7"/>
      <c r="G128" s="13"/>
      <c r="H128" s="13"/>
      <c r="J128" s="13"/>
      <c r="K128" s="34"/>
      <c r="L128" s="34"/>
      <c r="M128" s="37"/>
      <c r="N128" s="34"/>
      <c r="O128" s="34"/>
      <c r="P128" s="37"/>
      <c r="Q128" s="34"/>
      <c r="R128" s="34"/>
      <c r="S128" s="90" t="s">
        <v>94</v>
      </c>
      <c r="T128" s="90"/>
      <c r="U128" s="90"/>
      <c r="V128" s="149"/>
      <c r="W128" s="149"/>
      <c r="X128" s="149"/>
      <c r="Y128" s="90" t="s">
        <v>101</v>
      </c>
      <c r="Z128" s="90"/>
      <c r="AA128" s="90"/>
      <c r="AB128" s="149"/>
      <c r="AC128" s="149"/>
      <c r="AD128" s="149"/>
      <c r="AE128" s="90" t="s">
        <v>102</v>
      </c>
      <c r="AF128" s="90"/>
      <c r="AG128" s="90"/>
      <c r="AH128" s="210"/>
      <c r="AI128" s="211"/>
      <c r="AJ128" s="212"/>
      <c r="AK128" s="6"/>
      <c r="AL128" s="6"/>
    </row>
    <row r="129" spans="2:38" ht="11.1" customHeight="1">
      <c r="B129" s="36"/>
      <c r="C129" s="34"/>
      <c r="D129" s="34"/>
      <c r="E129" s="7"/>
      <c r="F129" s="7"/>
      <c r="G129" s="13"/>
      <c r="H129" s="13"/>
      <c r="J129" s="13"/>
      <c r="K129" s="34"/>
      <c r="L129" s="34"/>
      <c r="M129" s="37"/>
      <c r="N129" s="34"/>
      <c r="O129" s="34"/>
      <c r="P129" s="37"/>
      <c r="Q129" s="34"/>
      <c r="R129" s="34"/>
      <c r="S129" s="34"/>
      <c r="T129" s="34"/>
      <c r="U129" s="34"/>
      <c r="V129" s="7"/>
      <c r="W129" s="7"/>
      <c r="X129" s="7"/>
      <c r="Y129" s="46"/>
      <c r="Z129" s="61"/>
      <c r="AA129" s="34"/>
      <c r="AB129" s="62"/>
      <c r="AC129" s="62"/>
      <c r="AD129" s="62"/>
      <c r="AE129" s="61"/>
      <c r="AF129" s="61"/>
      <c r="AG129" s="61"/>
      <c r="AH129" s="62"/>
      <c r="AI129" s="62"/>
      <c r="AJ129" s="63"/>
      <c r="AK129" s="6"/>
      <c r="AL129" s="6"/>
    </row>
    <row r="130" spans="2:38" ht="11.1" customHeight="1">
      <c r="B130" s="38"/>
      <c r="C130" s="39" t="s">
        <v>44</v>
      </c>
      <c r="E130" s="13"/>
      <c r="F130" s="13"/>
      <c r="G130" s="13"/>
      <c r="H130" s="13"/>
      <c r="I130" s="40"/>
      <c r="J130" s="12"/>
      <c r="K130" s="12"/>
      <c r="L130" s="12"/>
      <c r="M130" s="41"/>
      <c r="N130" s="7"/>
      <c r="O130" s="41"/>
      <c r="P130" s="41"/>
      <c r="Q130" s="41"/>
      <c r="R130" s="41"/>
      <c r="S130" s="41"/>
      <c r="T130" s="41"/>
      <c r="Y130" s="42" t="s">
        <v>45</v>
      </c>
      <c r="Z130" s="12" t="s">
        <v>46</v>
      </c>
      <c r="AB130" s="88"/>
      <c r="AC130" s="88"/>
      <c r="AD130" s="88"/>
      <c r="AE130" s="88"/>
      <c r="AF130" s="88"/>
      <c r="AG130" s="88"/>
      <c r="AH130" s="88"/>
      <c r="AI130" s="88"/>
      <c r="AJ130" s="96"/>
      <c r="AK130" s="6"/>
      <c r="AL130" s="6"/>
    </row>
    <row r="131" spans="2:38" ht="11.1" customHeight="1">
      <c r="B131" s="38"/>
      <c r="C131" s="39" t="s">
        <v>85</v>
      </c>
      <c r="E131" s="13"/>
      <c r="F131" s="13"/>
      <c r="G131" s="13"/>
      <c r="H131" s="13"/>
      <c r="I131" s="40"/>
      <c r="J131" s="12"/>
      <c r="K131" s="12"/>
      <c r="L131" s="12"/>
      <c r="M131" s="41"/>
      <c r="N131" s="7"/>
      <c r="O131" s="41"/>
      <c r="P131" s="41"/>
      <c r="Q131" s="41"/>
      <c r="R131" s="41"/>
      <c r="S131" s="41"/>
      <c r="T131" s="41"/>
      <c r="Y131" s="42" t="s">
        <v>45</v>
      </c>
      <c r="Z131" s="12" t="s">
        <v>46</v>
      </c>
      <c r="AB131" s="88"/>
      <c r="AC131" s="88"/>
      <c r="AD131" s="88"/>
      <c r="AE131" s="88"/>
      <c r="AF131" s="88"/>
      <c r="AG131" s="88"/>
      <c r="AH131" s="88"/>
      <c r="AI131" s="88"/>
      <c r="AJ131" s="96"/>
      <c r="AK131" s="6"/>
      <c r="AL131" s="6"/>
    </row>
    <row r="132" spans="2:38" ht="11.1" customHeight="1">
      <c r="B132" s="38"/>
      <c r="C132" s="39" t="s">
        <v>48</v>
      </c>
      <c r="E132" s="13"/>
      <c r="F132" s="13"/>
      <c r="G132" s="13"/>
      <c r="H132" s="13"/>
      <c r="I132" s="13"/>
      <c r="J132" s="13"/>
      <c r="K132" s="43"/>
      <c r="L132" s="44"/>
      <c r="M132" s="41"/>
      <c r="N132" s="7"/>
      <c r="O132" s="41"/>
      <c r="P132" s="41"/>
      <c r="Q132" s="41"/>
      <c r="R132" s="41"/>
      <c r="S132" s="41"/>
      <c r="T132" s="41"/>
      <c r="Y132" s="42" t="s">
        <v>45</v>
      </c>
      <c r="Z132" s="12" t="s">
        <v>46</v>
      </c>
      <c r="AB132" s="88"/>
      <c r="AC132" s="88"/>
      <c r="AD132" s="88"/>
      <c r="AE132" s="88"/>
      <c r="AF132" s="88"/>
      <c r="AG132" s="88"/>
      <c r="AH132" s="88"/>
      <c r="AI132" s="88"/>
      <c r="AJ132" s="96"/>
      <c r="AK132" s="6"/>
      <c r="AL132" s="6"/>
    </row>
    <row r="133" spans="2:38" ht="11.1" customHeight="1">
      <c r="B133" s="38"/>
      <c r="C133" s="39" t="s">
        <v>95</v>
      </c>
      <c r="E133" s="13"/>
      <c r="F133" s="13"/>
      <c r="G133" s="13"/>
      <c r="H133" s="13"/>
      <c r="I133" s="13"/>
      <c r="J133" s="13"/>
      <c r="K133" s="43"/>
      <c r="L133" s="44"/>
      <c r="M133" s="41"/>
      <c r="N133" s="7"/>
      <c r="O133" s="41"/>
      <c r="P133" s="41"/>
      <c r="Q133" s="41"/>
      <c r="R133" s="41"/>
      <c r="S133" s="41"/>
      <c r="T133" s="41"/>
      <c r="Y133" s="42" t="s">
        <v>45</v>
      </c>
      <c r="Z133" s="12" t="s">
        <v>46</v>
      </c>
      <c r="AB133" s="88"/>
      <c r="AC133" s="88"/>
      <c r="AD133" s="88"/>
      <c r="AE133" s="88"/>
      <c r="AF133" s="88"/>
      <c r="AG133" s="88"/>
      <c r="AH133" s="88"/>
      <c r="AI133" s="88"/>
      <c r="AJ133" s="96"/>
      <c r="AK133" s="6"/>
      <c r="AL133" s="6"/>
    </row>
    <row r="134" spans="2:38" ht="11.1" customHeight="1">
      <c r="B134" s="38"/>
      <c r="C134" s="39" t="s">
        <v>96</v>
      </c>
      <c r="E134" s="13"/>
      <c r="F134" s="13"/>
      <c r="G134" s="13"/>
      <c r="H134" s="13"/>
      <c r="I134" s="13"/>
      <c r="J134" s="13"/>
      <c r="K134" s="43"/>
      <c r="L134" s="44"/>
      <c r="M134" s="41"/>
      <c r="N134" s="7"/>
      <c r="O134" s="41"/>
      <c r="P134" s="41"/>
      <c r="Q134" s="41"/>
      <c r="R134" s="41"/>
      <c r="S134" s="41"/>
      <c r="T134" s="41"/>
      <c r="Y134" s="42" t="s">
        <v>45</v>
      </c>
      <c r="Z134" s="12" t="s">
        <v>46</v>
      </c>
      <c r="AB134" s="88"/>
      <c r="AC134" s="88"/>
      <c r="AD134" s="88"/>
      <c r="AE134" s="88"/>
      <c r="AF134" s="88"/>
      <c r="AG134" s="88"/>
      <c r="AH134" s="88"/>
      <c r="AI134" s="88"/>
      <c r="AJ134" s="96"/>
      <c r="AK134" s="6"/>
      <c r="AL134" s="6"/>
    </row>
    <row r="135" spans="2:38" ht="11.1" customHeight="1">
      <c r="B135" s="38"/>
      <c r="C135" s="26"/>
      <c r="D135" s="26"/>
      <c r="E135" s="26"/>
      <c r="F135" s="26"/>
      <c r="G135" s="26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AJ135" s="25"/>
      <c r="AK135" s="6"/>
      <c r="AL135" s="6"/>
    </row>
    <row r="136" spans="2:38" ht="11.1" customHeight="1">
      <c r="B136" s="215" t="s">
        <v>132</v>
      </c>
      <c r="C136" s="216"/>
      <c r="D136" s="216"/>
      <c r="E136" s="216"/>
      <c r="F136" s="216"/>
      <c r="G136" s="216"/>
      <c r="H136" s="216"/>
      <c r="I136" s="216"/>
      <c r="J136" s="216"/>
      <c r="K136" s="216"/>
      <c r="L136" s="216"/>
      <c r="M136" s="216"/>
      <c r="N136" s="216"/>
      <c r="O136" s="216"/>
      <c r="P136" s="216"/>
      <c r="Q136" s="216"/>
      <c r="R136" s="216"/>
      <c r="S136" s="216"/>
      <c r="T136" s="216"/>
      <c r="U136" s="216"/>
      <c r="V136" s="216"/>
      <c r="W136" s="216"/>
      <c r="X136" s="216"/>
      <c r="Y136" s="216"/>
      <c r="Z136" s="216"/>
      <c r="AA136" s="216"/>
      <c r="AB136" s="216"/>
      <c r="AC136" s="216"/>
      <c r="AD136" s="216"/>
      <c r="AE136" s="216"/>
      <c r="AF136" s="216"/>
      <c r="AG136" s="216"/>
      <c r="AH136" s="216"/>
      <c r="AI136" s="216"/>
      <c r="AJ136" s="217"/>
      <c r="AK136" s="6"/>
      <c r="AL136" s="6"/>
    </row>
    <row r="137" spans="2:38" ht="11.1" customHeight="1">
      <c r="B137" s="215"/>
      <c r="C137" s="216"/>
      <c r="D137" s="216"/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6"/>
      <c r="S137" s="216"/>
      <c r="T137" s="216"/>
      <c r="U137" s="216"/>
      <c r="V137" s="216"/>
      <c r="W137" s="216"/>
      <c r="X137" s="216"/>
      <c r="Y137" s="216"/>
      <c r="Z137" s="216"/>
      <c r="AA137" s="216"/>
      <c r="AB137" s="216"/>
      <c r="AC137" s="216"/>
      <c r="AD137" s="216"/>
      <c r="AE137" s="216"/>
      <c r="AF137" s="216"/>
      <c r="AG137" s="216"/>
      <c r="AH137" s="216"/>
      <c r="AI137" s="216"/>
      <c r="AJ137" s="217"/>
      <c r="AK137" s="6"/>
      <c r="AL137" s="6"/>
    </row>
    <row r="138" spans="2:38" ht="11.1" customHeight="1">
      <c r="B138" s="58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60"/>
      <c r="AK138" s="6"/>
      <c r="AL138" s="6"/>
    </row>
    <row r="139" spans="2:38" ht="11.1" customHeight="1">
      <c r="B139" s="58"/>
      <c r="C139" s="216" t="s">
        <v>87</v>
      </c>
      <c r="D139" s="216"/>
      <c r="E139" s="216"/>
      <c r="F139" s="216"/>
      <c r="G139" s="216"/>
      <c r="H139" s="89" t="str">
        <f>IFERROR(VLOOKUP($F105,[4]Giacenza_Fustelle!$A$3:$N$10000,13,FALSE),"")</f>
        <v>DIana X80</v>
      </c>
      <c r="I139" s="89"/>
      <c r="J139" s="89"/>
      <c r="K139" s="89"/>
      <c r="L139" s="89"/>
      <c r="M139" s="216" t="s">
        <v>103</v>
      </c>
      <c r="N139" s="216"/>
      <c r="O139" s="216"/>
      <c r="P139" s="216"/>
      <c r="Q139" s="216"/>
      <c r="R139" s="216"/>
      <c r="S139" s="89" t="str">
        <f>IFERROR(VLOOKUP($F105,[4]Giacenza_Fustelle!$A$3:$N$10000,14,FALSE),"")</f>
        <v>Lineare</v>
      </c>
      <c r="T139" s="89"/>
      <c r="U139" s="89"/>
      <c r="V139" s="89"/>
      <c r="W139" s="89"/>
      <c r="X139" s="27"/>
      <c r="Y139" s="216" t="s">
        <v>104</v>
      </c>
      <c r="Z139" s="216"/>
      <c r="AA139" s="216"/>
      <c r="AB139" s="88"/>
      <c r="AC139" s="88"/>
      <c r="AD139" s="88"/>
      <c r="AE139" s="88"/>
      <c r="AF139" s="88"/>
      <c r="AG139" s="88"/>
      <c r="AH139" s="88"/>
      <c r="AI139" s="88"/>
      <c r="AJ139" s="60"/>
      <c r="AK139" s="6"/>
      <c r="AL139" s="6"/>
    </row>
    <row r="140" spans="2:38" ht="11.1" customHeight="1">
      <c r="B140" s="36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28"/>
      <c r="AK140" s="6"/>
      <c r="AL140" s="6"/>
    </row>
    <row r="141" spans="2:38" ht="11.1" customHeight="1">
      <c r="B141" s="85" t="s">
        <v>66</v>
      </c>
      <c r="C141" s="86"/>
      <c r="D141" s="86"/>
      <c r="E141" s="88"/>
      <c r="F141" s="88"/>
      <c r="G141" s="88"/>
      <c r="H141" s="88"/>
      <c r="I141" s="88"/>
      <c r="J141" s="83" t="s">
        <v>67</v>
      </c>
      <c r="K141" s="83"/>
      <c r="L141" s="83"/>
      <c r="M141" s="83"/>
      <c r="N141" s="83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28"/>
      <c r="AK141" s="6"/>
      <c r="AL141" s="6"/>
    </row>
    <row r="142" spans="2:38" ht="11.1" customHeight="1" thickBot="1">
      <c r="B142" s="52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4"/>
      <c r="AK142" s="6"/>
      <c r="AL142" s="6"/>
    </row>
    <row r="143" spans="2:38" ht="11.1" customHeight="1" thickBot="1">
      <c r="AK143" s="6"/>
      <c r="AL143" s="6"/>
    </row>
    <row r="144" spans="2:38" ht="11.1" customHeight="1">
      <c r="B144" s="91" t="s">
        <v>106</v>
      </c>
      <c r="C144" s="92"/>
      <c r="D144" s="92"/>
      <c r="E144" s="93"/>
      <c r="F144" s="65" t="str">
        <f>IF($E95="SI","SI","NO")</f>
        <v>SI</v>
      </c>
      <c r="G144" s="66"/>
      <c r="H144" s="66"/>
      <c r="I144" s="67"/>
      <c r="J144" s="154" t="s">
        <v>38</v>
      </c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  <c r="AA144" s="155"/>
      <c r="AB144" s="155"/>
      <c r="AC144" s="155"/>
      <c r="AD144" s="155"/>
      <c r="AE144" s="155"/>
      <c r="AF144" s="155"/>
      <c r="AG144" s="155"/>
      <c r="AH144" s="155"/>
      <c r="AI144" s="155"/>
      <c r="AJ144" s="156"/>
      <c r="AK144" s="6"/>
      <c r="AL144" s="6"/>
    </row>
    <row r="145" spans="2:38" ht="11.1" customHeight="1">
      <c r="B145" s="32"/>
      <c r="C145" s="33"/>
      <c r="D145" s="33"/>
      <c r="E145" s="26"/>
      <c r="F145" s="26"/>
      <c r="G145" s="26"/>
      <c r="H145" s="26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5"/>
      <c r="AK145" s="6"/>
      <c r="AL145" s="6"/>
    </row>
    <row r="146" spans="2:38" ht="11.1" customHeight="1">
      <c r="B146" s="85" t="s">
        <v>39</v>
      </c>
      <c r="C146" s="86"/>
      <c r="D146" s="86"/>
      <c r="E146" s="88"/>
      <c r="F146" s="88"/>
      <c r="G146" s="88"/>
      <c r="H146" s="88"/>
      <c r="I146" s="40"/>
      <c r="J146" s="40"/>
      <c r="K146" s="40"/>
      <c r="L146" s="40"/>
      <c r="M146" s="40"/>
      <c r="N146" s="40"/>
      <c r="O146" s="83" t="s">
        <v>40</v>
      </c>
      <c r="P146" s="83"/>
      <c r="Q146" s="83"/>
      <c r="R146" s="83"/>
      <c r="S146" s="90" t="s">
        <v>98</v>
      </c>
      <c r="T146" s="90"/>
      <c r="U146" s="90"/>
      <c r="V146" s="149"/>
      <c r="W146" s="149"/>
      <c r="X146" s="149"/>
      <c r="Y146" s="90" t="s">
        <v>99</v>
      </c>
      <c r="Z146" s="90"/>
      <c r="AA146" s="90"/>
      <c r="AB146" s="149"/>
      <c r="AC146" s="149"/>
      <c r="AD146" s="149"/>
      <c r="AE146" s="90" t="s">
        <v>100</v>
      </c>
      <c r="AF146" s="90"/>
      <c r="AG146" s="90"/>
      <c r="AH146" s="210"/>
      <c r="AI146" s="211"/>
      <c r="AJ146" s="212"/>
      <c r="AK146" s="6"/>
      <c r="AL146" s="6"/>
    </row>
    <row r="147" spans="2:38" ht="11.1" customHeight="1">
      <c r="B147" s="36"/>
      <c r="C147" s="34"/>
      <c r="D147" s="34"/>
      <c r="E147" s="7"/>
      <c r="F147" s="7"/>
      <c r="G147" s="13"/>
      <c r="H147" s="13"/>
      <c r="J147" s="13"/>
      <c r="K147" s="34"/>
      <c r="L147" s="34"/>
      <c r="M147" s="37"/>
      <c r="N147" s="34"/>
      <c r="O147" s="34"/>
      <c r="P147" s="37"/>
      <c r="Q147" s="34"/>
      <c r="R147" s="34"/>
      <c r="S147" s="90" t="s">
        <v>94</v>
      </c>
      <c r="T147" s="90"/>
      <c r="U147" s="90"/>
      <c r="V147" s="149"/>
      <c r="W147" s="149"/>
      <c r="X147" s="149"/>
      <c r="Y147" s="90" t="s">
        <v>101</v>
      </c>
      <c r="Z147" s="90"/>
      <c r="AA147" s="90"/>
      <c r="AB147" s="149"/>
      <c r="AC147" s="149"/>
      <c r="AD147" s="149"/>
      <c r="AE147" s="90" t="s">
        <v>102</v>
      </c>
      <c r="AF147" s="90"/>
      <c r="AG147" s="90"/>
      <c r="AH147" s="210"/>
      <c r="AI147" s="211"/>
      <c r="AJ147" s="212"/>
      <c r="AK147" s="6"/>
      <c r="AL147" s="6"/>
    </row>
    <row r="148" spans="2:38" ht="11.1" customHeight="1">
      <c r="B148" s="36"/>
      <c r="C148" s="34"/>
      <c r="D148" s="34"/>
      <c r="E148" s="7"/>
      <c r="F148" s="7"/>
      <c r="G148" s="13"/>
      <c r="H148" s="13"/>
      <c r="J148" s="13"/>
      <c r="K148" s="34"/>
      <c r="L148" s="34"/>
      <c r="M148" s="37"/>
      <c r="N148" s="34"/>
      <c r="O148" s="34"/>
      <c r="P148" s="37"/>
      <c r="Q148" s="34"/>
      <c r="R148" s="34"/>
      <c r="S148" s="34"/>
      <c r="T148" s="34"/>
      <c r="U148" s="34"/>
      <c r="V148" s="7"/>
      <c r="W148" s="7"/>
      <c r="X148" s="7"/>
      <c r="Y148" s="46"/>
      <c r="Z148" s="61"/>
      <c r="AA148" s="34"/>
      <c r="AB148" s="62"/>
      <c r="AC148" s="62"/>
      <c r="AD148" s="62"/>
      <c r="AE148" s="61"/>
      <c r="AF148" s="61"/>
      <c r="AG148" s="61"/>
      <c r="AH148" s="62"/>
      <c r="AI148" s="62"/>
      <c r="AJ148" s="63"/>
      <c r="AK148" s="6"/>
      <c r="AL148" s="6"/>
    </row>
    <row r="149" spans="2:38" ht="11.1" customHeight="1">
      <c r="B149" s="38"/>
      <c r="C149" s="39" t="s">
        <v>44</v>
      </c>
      <c r="E149" s="13"/>
      <c r="F149" s="13"/>
      <c r="G149" s="13"/>
      <c r="H149" s="13"/>
      <c r="I149" s="40"/>
      <c r="J149" s="12"/>
      <c r="K149" s="12"/>
      <c r="L149" s="12"/>
      <c r="M149" s="41"/>
      <c r="N149" s="7"/>
      <c r="O149" s="41"/>
      <c r="P149" s="41"/>
      <c r="Q149" s="41"/>
      <c r="R149" s="41"/>
      <c r="S149" s="41"/>
      <c r="T149" s="41"/>
      <c r="Y149" s="42" t="s">
        <v>45</v>
      </c>
      <c r="Z149" s="12" t="s">
        <v>46</v>
      </c>
      <c r="AB149" s="88"/>
      <c r="AC149" s="88"/>
      <c r="AD149" s="88"/>
      <c r="AE149" s="88"/>
      <c r="AF149" s="88"/>
      <c r="AG149" s="88"/>
      <c r="AH149" s="88"/>
      <c r="AI149" s="88"/>
      <c r="AJ149" s="96"/>
      <c r="AK149" s="6"/>
      <c r="AL149" s="6"/>
    </row>
    <row r="150" spans="2:38" ht="11.1" customHeight="1">
      <c r="B150" s="38"/>
      <c r="C150" s="39" t="s">
        <v>107</v>
      </c>
      <c r="E150" s="13"/>
      <c r="F150" s="13"/>
      <c r="G150" s="13"/>
      <c r="H150" s="13"/>
      <c r="I150" s="13"/>
      <c r="J150" s="13"/>
      <c r="K150" s="43"/>
      <c r="L150" s="44"/>
      <c r="M150" s="41"/>
      <c r="N150" s="7"/>
      <c r="O150" s="41"/>
      <c r="P150" s="41"/>
      <c r="Q150" s="41"/>
      <c r="R150" s="41"/>
      <c r="S150" s="41"/>
      <c r="T150" s="41"/>
      <c r="Y150" s="42" t="s">
        <v>45</v>
      </c>
      <c r="Z150" s="12" t="s">
        <v>46</v>
      </c>
      <c r="AB150" s="88"/>
      <c r="AC150" s="88"/>
      <c r="AD150" s="88"/>
      <c r="AE150" s="88"/>
      <c r="AF150" s="88"/>
      <c r="AG150" s="88"/>
      <c r="AH150" s="88"/>
      <c r="AI150" s="88"/>
      <c r="AJ150" s="96"/>
      <c r="AK150" s="6"/>
      <c r="AL150" s="6"/>
    </row>
    <row r="151" spans="2:38" ht="11.1" customHeight="1">
      <c r="B151" s="38"/>
      <c r="C151" s="26"/>
      <c r="D151" s="26"/>
      <c r="E151" s="26"/>
      <c r="F151" s="26"/>
      <c r="G151" s="26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AJ151" s="25"/>
      <c r="AK151" s="6"/>
      <c r="AL151" s="6"/>
    </row>
    <row r="152" spans="2:38" ht="11.1" customHeight="1">
      <c r="B152" s="215" t="s">
        <v>133</v>
      </c>
      <c r="C152" s="216"/>
      <c r="D152" s="216"/>
      <c r="E152" s="216"/>
      <c r="F152" s="216"/>
      <c r="G152" s="216"/>
      <c r="H152" s="216"/>
      <c r="I152" s="216"/>
      <c r="J152" s="216"/>
      <c r="K152" s="216"/>
      <c r="L152" s="216"/>
      <c r="M152" s="216"/>
      <c r="N152" s="216"/>
      <c r="O152" s="216"/>
      <c r="P152" s="216"/>
      <c r="Q152" s="216"/>
      <c r="R152" s="216"/>
      <c r="S152" s="216"/>
      <c r="T152" s="216"/>
      <c r="U152" s="216"/>
      <c r="V152" s="216"/>
      <c r="W152" s="216"/>
      <c r="X152" s="216"/>
      <c r="Y152" s="216"/>
      <c r="Z152" s="216"/>
      <c r="AA152" s="216"/>
      <c r="AB152" s="216"/>
      <c r="AC152" s="216"/>
      <c r="AD152" s="216"/>
      <c r="AE152" s="216"/>
      <c r="AF152" s="216"/>
      <c r="AG152" s="216"/>
      <c r="AH152" s="216"/>
      <c r="AI152" s="216"/>
      <c r="AJ152" s="217"/>
      <c r="AK152" s="6"/>
      <c r="AL152" s="6"/>
    </row>
    <row r="153" spans="2:38" ht="11.1" customHeight="1">
      <c r="B153" s="36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28"/>
      <c r="AK153" s="6"/>
      <c r="AL153" s="6"/>
    </row>
    <row r="154" spans="2:38" ht="11.1" customHeight="1">
      <c r="B154" s="85" t="s">
        <v>66</v>
      </c>
      <c r="C154" s="86"/>
      <c r="D154" s="86"/>
      <c r="E154" s="88"/>
      <c r="F154" s="88"/>
      <c r="G154" s="88"/>
      <c r="H154" s="88"/>
      <c r="I154" s="88"/>
      <c r="J154" s="83" t="s">
        <v>67</v>
      </c>
      <c r="K154" s="83"/>
      <c r="L154" s="83"/>
      <c r="M154" s="83"/>
      <c r="N154" s="83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28"/>
      <c r="AK154" s="6"/>
      <c r="AL154" s="6"/>
    </row>
    <row r="155" spans="2:38" ht="11.1" customHeight="1" thickBot="1">
      <c r="B155" s="52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4"/>
      <c r="AK155" s="6"/>
      <c r="AL155" s="6"/>
    </row>
    <row r="156" spans="2:38" ht="11.1" customHeight="1" thickBot="1">
      <c r="AK156" s="6"/>
      <c r="AL156" s="6"/>
    </row>
    <row r="157" spans="2:38" ht="11.1" customHeight="1">
      <c r="B157" s="91" t="s">
        <v>108</v>
      </c>
      <c r="C157" s="92"/>
      <c r="D157" s="92"/>
      <c r="E157" s="93"/>
      <c r="F157" s="65" t="str">
        <f>IF($F144="SI","SI","NO")</f>
        <v>SI</v>
      </c>
      <c r="G157" s="66"/>
      <c r="H157" s="66"/>
      <c r="I157" s="67"/>
      <c r="J157" s="154" t="s">
        <v>38</v>
      </c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  <c r="AA157" s="155"/>
      <c r="AB157" s="155"/>
      <c r="AC157" s="155"/>
      <c r="AD157" s="155"/>
      <c r="AE157" s="155"/>
      <c r="AF157" s="155"/>
      <c r="AG157" s="155"/>
      <c r="AH157" s="155"/>
      <c r="AI157" s="155"/>
      <c r="AJ157" s="156"/>
      <c r="AK157" s="6"/>
      <c r="AL157" s="6"/>
    </row>
    <row r="158" spans="2:38" ht="11.1" customHeight="1">
      <c r="B158" s="32"/>
      <c r="C158" s="33"/>
      <c r="D158" s="33"/>
      <c r="E158" s="26"/>
      <c r="F158" s="26"/>
      <c r="G158" s="26"/>
      <c r="H158" s="26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5"/>
      <c r="AK158" s="6"/>
      <c r="AL158" s="6"/>
    </row>
    <row r="159" spans="2:38" ht="11.1" customHeight="1">
      <c r="B159" s="85" t="s">
        <v>39</v>
      </c>
      <c r="C159" s="86"/>
      <c r="D159" s="86"/>
      <c r="E159" s="88"/>
      <c r="F159" s="88"/>
      <c r="G159" s="88"/>
      <c r="H159" s="88"/>
      <c r="I159" s="40"/>
      <c r="J159" s="40"/>
      <c r="K159" s="40"/>
      <c r="L159" s="40"/>
      <c r="M159" s="40"/>
      <c r="N159" s="40"/>
      <c r="O159" s="83" t="s">
        <v>40</v>
      </c>
      <c r="P159" s="83"/>
      <c r="Q159" s="83"/>
      <c r="R159" s="83"/>
      <c r="S159" s="90" t="s">
        <v>109</v>
      </c>
      <c r="T159" s="90"/>
      <c r="U159" s="90"/>
      <c r="V159" s="149"/>
      <c r="W159" s="149"/>
      <c r="X159" s="149"/>
      <c r="Y159" s="147" t="s">
        <v>110</v>
      </c>
      <c r="Z159" s="148"/>
      <c r="AA159" s="148"/>
      <c r="AB159" s="223"/>
      <c r="AC159" s="210"/>
      <c r="AD159" s="211"/>
      <c r="AE159" s="211"/>
      <c r="AF159" s="211"/>
      <c r="AG159" s="211"/>
      <c r="AH159" s="211"/>
      <c r="AI159" s="211"/>
      <c r="AJ159" s="212"/>
      <c r="AK159" s="6"/>
      <c r="AL159" s="6"/>
    </row>
    <row r="160" spans="2:38" ht="11.1" customHeight="1">
      <c r="B160" s="36"/>
      <c r="C160" s="34"/>
      <c r="D160" s="34"/>
      <c r="E160" s="7"/>
      <c r="F160" s="7"/>
      <c r="G160" s="13"/>
      <c r="H160" s="13"/>
      <c r="J160" s="13"/>
      <c r="K160" s="34"/>
      <c r="L160" s="34"/>
      <c r="M160" s="37"/>
      <c r="N160" s="34"/>
      <c r="O160" s="34"/>
      <c r="P160" s="37"/>
      <c r="Q160" s="34"/>
      <c r="R160" s="34"/>
      <c r="S160" s="34"/>
      <c r="T160" s="34"/>
      <c r="U160" s="34"/>
      <c r="V160" s="7"/>
      <c r="W160" s="7"/>
      <c r="X160" s="7"/>
      <c r="Y160" s="46"/>
      <c r="Z160" s="61"/>
      <c r="AA160" s="34"/>
      <c r="AB160" s="62"/>
      <c r="AC160" s="62"/>
      <c r="AD160" s="62"/>
      <c r="AE160" s="61"/>
      <c r="AF160" s="61"/>
      <c r="AG160" s="61"/>
      <c r="AH160" s="62"/>
      <c r="AI160" s="62"/>
      <c r="AJ160" s="63"/>
      <c r="AK160" s="6"/>
      <c r="AL160" s="6"/>
    </row>
    <row r="161" spans="2:38" ht="11.1" customHeight="1">
      <c r="B161" s="38"/>
      <c r="C161" s="39" t="s">
        <v>111</v>
      </c>
      <c r="E161" s="13"/>
      <c r="F161" s="13"/>
      <c r="G161" s="13"/>
      <c r="H161" s="13"/>
      <c r="I161" s="40"/>
      <c r="J161" s="12"/>
      <c r="K161" s="12"/>
      <c r="L161" s="12"/>
      <c r="M161" s="41"/>
      <c r="N161" s="7"/>
      <c r="O161" s="41"/>
      <c r="P161" s="41"/>
      <c r="Q161" s="41"/>
      <c r="R161" s="41"/>
      <c r="S161" s="41"/>
      <c r="T161" s="41"/>
      <c r="Y161" s="42" t="s">
        <v>45</v>
      </c>
      <c r="Z161" s="12" t="s">
        <v>46</v>
      </c>
      <c r="AB161" s="88"/>
      <c r="AC161" s="88"/>
      <c r="AD161" s="88"/>
      <c r="AE161" s="88"/>
      <c r="AF161" s="88"/>
      <c r="AG161" s="88"/>
      <c r="AH161" s="88"/>
      <c r="AI161" s="88"/>
      <c r="AJ161" s="96"/>
      <c r="AK161" s="6"/>
      <c r="AL161" s="6"/>
    </row>
    <row r="162" spans="2:38" ht="11.1" customHeight="1">
      <c r="B162" s="38"/>
      <c r="C162" s="39"/>
      <c r="E162" s="13"/>
      <c r="F162" s="13"/>
      <c r="G162" s="13"/>
      <c r="H162" s="13"/>
      <c r="I162" s="40"/>
      <c r="J162" s="12"/>
      <c r="K162" s="12"/>
      <c r="L162" s="12"/>
      <c r="M162" s="41"/>
      <c r="N162" s="7"/>
      <c r="O162" s="41"/>
      <c r="P162" s="41"/>
      <c r="Q162" s="41"/>
      <c r="R162" s="41"/>
      <c r="S162" s="41"/>
      <c r="T162" s="41"/>
      <c r="Y162" s="41"/>
      <c r="Z162" s="12"/>
      <c r="AB162" s="13"/>
      <c r="AC162" s="13"/>
      <c r="AD162" s="13"/>
      <c r="AE162" s="13"/>
      <c r="AF162" s="13"/>
      <c r="AG162" s="13"/>
      <c r="AH162" s="13"/>
      <c r="AI162" s="13"/>
      <c r="AJ162" s="45"/>
      <c r="AK162" s="6"/>
      <c r="AL162" s="6"/>
    </row>
    <row r="163" spans="2:38" ht="11.1" customHeight="1">
      <c r="B163" s="85" t="s">
        <v>66</v>
      </c>
      <c r="C163" s="86"/>
      <c r="D163" s="86"/>
      <c r="E163" s="88"/>
      <c r="F163" s="88"/>
      <c r="G163" s="88"/>
      <c r="H163" s="88"/>
      <c r="I163" s="88"/>
      <c r="J163" s="83" t="s">
        <v>112</v>
      </c>
      <c r="K163" s="83"/>
      <c r="L163" s="83"/>
      <c r="M163" s="83"/>
      <c r="N163" s="83"/>
      <c r="O163" s="88"/>
      <c r="P163" s="88"/>
      <c r="Q163" s="88"/>
      <c r="R163" s="88"/>
      <c r="S163" s="88"/>
      <c r="T163" s="88"/>
      <c r="U163" s="83" t="s">
        <v>113</v>
      </c>
      <c r="V163" s="83"/>
      <c r="W163" s="83"/>
      <c r="X163" s="83"/>
      <c r="Y163" s="83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28"/>
      <c r="AK163" s="6"/>
      <c r="AL163" s="6"/>
    </row>
    <row r="164" spans="2:38" ht="11.1" customHeight="1" thickBot="1">
      <c r="B164" s="52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4"/>
      <c r="AK164" s="6"/>
      <c r="AL164" s="6"/>
    </row>
  </sheetData>
  <sheetProtection selectLockedCells="1"/>
  <mergeCells count="708">
    <mergeCell ref="B17:G17"/>
    <mergeCell ref="H17:I17"/>
    <mergeCell ref="J17:O17"/>
    <mergeCell ref="P17:T17"/>
    <mergeCell ref="AF6:AH7"/>
    <mergeCell ref="AY11:BA11"/>
    <mergeCell ref="BB11:BF11"/>
    <mergeCell ref="BG11:BI11"/>
    <mergeCell ref="BK11:BM11"/>
    <mergeCell ref="E6:G7"/>
    <mergeCell ref="H6:K7"/>
    <mergeCell ref="L6:N7"/>
    <mergeCell ref="R6:T7"/>
    <mergeCell ref="U6:W7"/>
    <mergeCell ref="X6:Z7"/>
    <mergeCell ref="AA6:AC7"/>
    <mergeCell ref="AD6:AE7"/>
    <mergeCell ref="O6:Q7"/>
    <mergeCell ref="AV11:AX11"/>
    <mergeCell ref="AS11:AU11"/>
    <mergeCell ref="B9:I10"/>
    <mergeCell ref="J9:J10"/>
    <mergeCell ref="K9:R10"/>
    <mergeCell ref="S9:Z10"/>
    <mergeCell ref="AF79:AH79"/>
    <mergeCell ref="C79:E79"/>
    <mergeCell ref="F79:G79"/>
    <mergeCell ref="K79:M79"/>
    <mergeCell ref="N79:O79"/>
    <mergeCell ref="S79:U79"/>
    <mergeCell ref="V79:W79"/>
    <mergeCell ref="X79:Z79"/>
    <mergeCell ref="AA79:AC79"/>
    <mergeCell ref="AD79:AE79"/>
    <mergeCell ref="B16:F16"/>
    <mergeCell ref="G16:I16"/>
    <mergeCell ref="J16:M16"/>
    <mergeCell ref="N16:Q16"/>
    <mergeCell ref="R16:X16"/>
    <mergeCell ref="AB16:AE16"/>
    <mergeCell ref="B11:F11"/>
    <mergeCell ref="G11:I11"/>
    <mergeCell ref="J11:M11"/>
    <mergeCell ref="N11:Q11"/>
    <mergeCell ref="R11:X11"/>
    <mergeCell ref="Y11:AA11"/>
    <mergeCell ref="AB11:AE11"/>
    <mergeCell ref="Y16:AA16"/>
    <mergeCell ref="B14:I15"/>
    <mergeCell ref="J14:J15"/>
    <mergeCell ref="S14:Z15"/>
    <mergeCell ref="AA14:AA15"/>
    <mergeCell ref="K14:R15"/>
    <mergeCell ref="AB14:AJ15"/>
    <mergeCell ref="B12:G12"/>
    <mergeCell ref="H12:I12"/>
    <mergeCell ref="J12:O12"/>
    <mergeCell ref="P12:T12"/>
    <mergeCell ref="AF71:AH71"/>
    <mergeCell ref="C73:E73"/>
    <mergeCell ref="F73:G73"/>
    <mergeCell ref="K73:M73"/>
    <mergeCell ref="N73:O73"/>
    <mergeCell ref="S73:U73"/>
    <mergeCell ref="V73:W73"/>
    <mergeCell ref="X73:Z73"/>
    <mergeCell ref="AA73:AC73"/>
    <mergeCell ref="AD73:AE73"/>
    <mergeCell ref="AF73:AH73"/>
    <mergeCell ref="C71:E71"/>
    <mergeCell ref="F71:G71"/>
    <mergeCell ref="H71:J71"/>
    <mergeCell ref="K71:M71"/>
    <mergeCell ref="N71:O71"/>
    <mergeCell ref="S71:U71"/>
    <mergeCell ref="V71:W71"/>
    <mergeCell ref="X71:Z71"/>
    <mergeCell ref="AA71:AC71"/>
    <mergeCell ref="AD71:AE71"/>
    <mergeCell ref="V77:W77"/>
    <mergeCell ref="X77:Z77"/>
    <mergeCell ref="AA77:AC77"/>
    <mergeCell ref="AD77:AE77"/>
    <mergeCell ref="AF77:AH77"/>
    <mergeCell ref="C75:E75"/>
    <mergeCell ref="F75:G75"/>
    <mergeCell ref="K75:M75"/>
    <mergeCell ref="N75:O75"/>
    <mergeCell ref="S75:U75"/>
    <mergeCell ref="V75:W75"/>
    <mergeCell ref="X75:Z75"/>
    <mergeCell ref="AA75:AC75"/>
    <mergeCell ref="AD75:AE75"/>
    <mergeCell ref="AF75:AH75"/>
    <mergeCell ref="C77:E77"/>
    <mergeCell ref="F77:G77"/>
    <mergeCell ref="K77:M77"/>
    <mergeCell ref="N77:O77"/>
    <mergeCell ref="S77:U77"/>
    <mergeCell ref="S62:V63"/>
    <mergeCell ref="W62:Y63"/>
    <mergeCell ref="Z62:AD63"/>
    <mergeCell ref="S64:V65"/>
    <mergeCell ref="W64:Y65"/>
    <mergeCell ref="Z64:AD65"/>
    <mergeCell ref="W38:Y39"/>
    <mergeCell ref="Z38:AD39"/>
    <mergeCell ref="Z48:AD49"/>
    <mergeCell ref="S50:V51"/>
    <mergeCell ref="W50:Y51"/>
    <mergeCell ref="Z50:AD51"/>
    <mergeCell ref="W40:Y41"/>
    <mergeCell ref="Z40:AD41"/>
    <mergeCell ref="S42:V43"/>
    <mergeCell ref="W42:Y43"/>
    <mergeCell ref="Z42:AD43"/>
    <mergeCell ref="S40:V41"/>
    <mergeCell ref="S38:V39"/>
    <mergeCell ref="AH26:AJ27"/>
    <mergeCell ref="W36:Y37"/>
    <mergeCell ref="Z36:AD37"/>
    <mergeCell ref="S20:V21"/>
    <mergeCell ref="S19:V19"/>
    <mergeCell ref="Z32:AD33"/>
    <mergeCell ref="S34:V35"/>
    <mergeCell ref="W34:Y35"/>
    <mergeCell ref="Z34:AD35"/>
    <mergeCell ref="Z26:AD27"/>
    <mergeCell ref="W32:Y33"/>
    <mergeCell ref="S36:V37"/>
    <mergeCell ref="E19:M19"/>
    <mergeCell ref="E20:M21"/>
    <mergeCell ref="E22:M23"/>
    <mergeCell ref="E24:M25"/>
    <mergeCell ref="E26:M27"/>
    <mergeCell ref="E28:M29"/>
    <mergeCell ref="E30:M31"/>
    <mergeCell ref="E32:M33"/>
    <mergeCell ref="E34:M35"/>
    <mergeCell ref="AE50:AG51"/>
    <mergeCell ref="AE66:AG67"/>
    <mergeCell ref="AH66:AJ67"/>
    <mergeCell ref="AE54:AG55"/>
    <mergeCell ref="AH54:AJ55"/>
    <mergeCell ref="AH50:AJ51"/>
    <mergeCell ref="AE52:AG53"/>
    <mergeCell ref="AH52:AJ53"/>
    <mergeCell ref="AE64:AG65"/>
    <mergeCell ref="AH64:AJ65"/>
    <mergeCell ref="AE56:AG57"/>
    <mergeCell ref="AH56:AJ57"/>
    <mergeCell ref="AE58:AG59"/>
    <mergeCell ref="AH58:AJ59"/>
    <mergeCell ref="AE60:AG61"/>
    <mergeCell ref="AH60:AJ61"/>
    <mergeCell ref="AE62:AG63"/>
    <mergeCell ref="AH62:AJ63"/>
    <mergeCell ref="AE48:AG49"/>
    <mergeCell ref="AH48:AJ49"/>
    <mergeCell ref="AE44:AG45"/>
    <mergeCell ref="AH44:AJ45"/>
    <mergeCell ref="AE46:AG47"/>
    <mergeCell ref="AH46:AJ47"/>
    <mergeCell ref="U12:Y12"/>
    <mergeCell ref="Z12:AA12"/>
    <mergeCell ref="AB12:AH12"/>
    <mergeCell ref="AI12:AJ12"/>
    <mergeCell ref="AE36:AG37"/>
    <mergeCell ref="AH36:AJ37"/>
    <mergeCell ref="AE22:AG23"/>
    <mergeCell ref="AH22:AJ23"/>
    <mergeCell ref="AE24:AG25"/>
    <mergeCell ref="AH24:AJ25"/>
    <mergeCell ref="AE26:AG27"/>
    <mergeCell ref="Z19:AD19"/>
    <mergeCell ref="Z20:AD21"/>
    <mergeCell ref="S22:V23"/>
    <mergeCell ref="W22:Y23"/>
    <mergeCell ref="Z22:AD23"/>
    <mergeCell ref="S24:V25"/>
    <mergeCell ref="W24:Y25"/>
    <mergeCell ref="B60:D61"/>
    <mergeCell ref="N60:R61"/>
    <mergeCell ref="S54:V55"/>
    <mergeCell ref="W54:Y55"/>
    <mergeCell ref="Z54:AD55"/>
    <mergeCell ref="B48:D49"/>
    <mergeCell ref="N48:R49"/>
    <mergeCell ref="B50:D51"/>
    <mergeCell ref="N50:R51"/>
    <mergeCell ref="S48:V49"/>
    <mergeCell ref="W48:Y49"/>
    <mergeCell ref="S52:V53"/>
    <mergeCell ref="W52:Y53"/>
    <mergeCell ref="Z52:AD53"/>
    <mergeCell ref="E48:M49"/>
    <mergeCell ref="E50:M51"/>
    <mergeCell ref="W60:Y61"/>
    <mergeCell ref="Z60:AD61"/>
    <mergeCell ref="E52:M53"/>
    <mergeCell ref="B66:D67"/>
    <mergeCell ref="N66:R67"/>
    <mergeCell ref="E64:M65"/>
    <mergeCell ref="E66:M67"/>
    <mergeCell ref="S66:V67"/>
    <mergeCell ref="W66:Y67"/>
    <mergeCell ref="Z66:AD67"/>
    <mergeCell ref="W56:Y57"/>
    <mergeCell ref="Z56:AD57"/>
    <mergeCell ref="S58:V59"/>
    <mergeCell ref="W58:Y59"/>
    <mergeCell ref="Z58:AD59"/>
    <mergeCell ref="S56:V57"/>
    <mergeCell ref="B62:D63"/>
    <mergeCell ref="N62:R63"/>
    <mergeCell ref="E62:M63"/>
    <mergeCell ref="E60:M61"/>
    <mergeCell ref="B56:D57"/>
    <mergeCell ref="N56:R57"/>
    <mergeCell ref="B58:D59"/>
    <mergeCell ref="N58:R59"/>
    <mergeCell ref="B64:D65"/>
    <mergeCell ref="N64:R65"/>
    <mergeCell ref="S60:V61"/>
    <mergeCell ref="E42:M43"/>
    <mergeCell ref="B52:D53"/>
    <mergeCell ref="N52:R53"/>
    <mergeCell ref="B54:D55"/>
    <mergeCell ref="N54:R55"/>
    <mergeCell ref="E54:M55"/>
    <mergeCell ref="E56:M57"/>
    <mergeCell ref="E58:M59"/>
    <mergeCell ref="B36:D37"/>
    <mergeCell ref="N36:R37"/>
    <mergeCell ref="B38:D39"/>
    <mergeCell ref="N38:R39"/>
    <mergeCell ref="E36:M37"/>
    <mergeCell ref="E38:M39"/>
    <mergeCell ref="E40:M41"/>
    <mergeCell ref="B141:D141"/>
    <mergeCell ref="E141:I141"/>
    <mergeCell ref="J141:N141"/>
    <mergeCell ref="O141:AI141"/>
    <mergeCell ref="B22:D23"/>
    <mergeCell ref="N22:R23"/>
    <mergeCell ref="S26:V27"/>
    <mergeCell ref="W26:Y27"/>
    <mergeCell ref="B44:D45"/>
    <mergeCell ref="N44:R45"/>
    <mergeCell ref="B46:D47"/>
    <mergeCell ref="N46:R47"/>
    <mergeCell ref="S44:V45"/>
    <mergeCell ref="W44:Y45"/>
    <mergeCell ref="Z44:AD45"/>
    <mergeCell ref="S46:V47"/>
    <mergeCell ref="W46:Y47"/>
    <mergeCell ref="Z46:AD47"/>
    <mergeCell ref="E44:M45"/>
    <mergeCell ref="E46:M47"/>
    <mergeCell ref="B40:D41"/>
    <mergeCell ref="N40:R41"/>
    <mergeCell ref="B42:D43"/>
    <mergeCell ref="N42:R43"/>
    <mergeCell ref="B19:D19"/>
    <mergeCell ref="B152:AJ152"/>
    <mergeCell ref="AB149:AJ149"/>
    <mergeCell ref="AH147:AJ147"/>
    <mergeCell ref="AH146:AJ146"/>
    <mergeCell ref="AH127:AJ127"/>
    <mergeCell ref="O122:AI122"/>
    <mergeCell ref="AH97:AJ97"/>
    <mergeCell ref="B20:D21"/>
    <mergeCell ref="N19:R19"/>
    <mergeCell ref="N20:R21"/>
    <mergeCell ref="B144:E144"/>
    <mergeCell ref="J144:AJ144"/>
    <mergeCell ref="B146:D146"/>
    <mergeCell ref="S128:U128"/>
    <mergeCell ref="V128:X128"/>
    <mergeCell ref="Y128:AA128"/>
    <mergeCell ref="AB128:AD128"/>
    <mergeCell ref="AE128:AG128"/>
    <mergeCell ref="B32:D33"/>
    <mergeCell ref="N32:R33"/>
    <mergeCell ref="B34:D35"/>
    <mergeCell ref="N34:R35"/>
    <mergeCell ref="S32:V33"/>
    <mergeCell ref="E146:H146"/>
    <mergeCell ref="O146:R146"/>
    <mergeCell ref="B163:D163"/>
    <mergeCell ref="E163:I163"/>
    <mergeCell ref="J163:N163"/>
    <mergeCell ref="Y159:AB159"/>
    <mergeCell ref="AC159:AJ159"/>
    <mergeCell ref="O163:T163"/>
    <mergeCell ref="U163:Y163"/>
    <mergeCell ref="AE146:AG146"/>
    <mergeCell ref="B154:D154"/>
    <mergeCell ref="E154:I154"/>
    <mergeCell ref="B157:E157"/>
    <mergeCell ref="B159:D159"/>
    <mergeCell ref="E159:H159"/>
    <mergeCell ref="AB146:AD146"/>
    <mergeCell ref="AB161:AJ161"/>
    <mergeCell ref="J154:N154"/>
    <mergeCell ref="S146:U146"/>
    <mergeCell ref="V146:X146"/>
    <mergeCell ref="Y146:AA146"/>
    <mergeCell ref="O154:AI154"/>
    <mergeCell ref="J157:AJ157"/>
    <mergeCell ref="O159:R159"/>
    <mergeCell ref="N26:R27"/>
    <mergeCell ref="B28:D29"/>
    <mergeCell ref="N28:R29"/>
    <mergeCell ref="B30:D31"/>
    <mergeCell ref="N30:R31"/>
    <mergeCell ref="S28:V29"/>
    <mergeCell ref="W28:Y29"/>
    <mergeCell ref="Z28:AD29"/>
    <mergeCell ref="S30:V31"/>
    <mergeCell ref="W30:Y31"/>
    <mergeCell ref="Z30:AD31"/>
    <mergeCell ref="B6:D7"/>
    <mergeCell ref="B125:E125"/>
    <mergeCell ref="J125:AJ125"/>
    <mergeCell ref="B127:D127"/>
    <mergeCell ref="E127:H127"/>
    <mergeCell ref="O127:R127"/>
    <mergeCell ref="S127:U127"/>
    <mergeCell ref="V127:X127"/>
    <mergeCell ref="Y127:AA127"/>
    <mergeCell ref="AB127:AD127"/>
    <mergeCell ref="AE127:AG127"/>
    <mergeCell ref="B120:AJ120"/>
    <mergeCell ref="M112:N112"/>
    <mergeCell ref="I112:L112"/>
    <mergeCell ref="E112:H112"/>
    <mergeCell ref="AB114:AJ114"/>
    <mergeCell ref="AB115:AJ115"/>
    <mergeCell ref="AB116:AJ116"/>
    <mergeCell ref="B24:D25"/>
    <mergeCell ref="N24:R25"/>
    <mergeCell ref="B26:D27"/>
    <mergeCell ref="AI105:AJ105"/>
    <mergeCell ref="AD86:AF86"/>
    <mergeCell ref="AE112:AG112"/>
    <mergeCell ref="S159:U159"/>
    <mergeCell ref="V159:X159"/>
    <mergeCell ref="AB150:AJ150"/>
    <mergeCell ref="S147:U147"/>
    <mergeCell ref="V147:X147"/>
    <mergeCell ref="Y147:AA147"/>
    <mergeCell ref="AB147:AD147"/>
    <mergeCell ref="AE147:AG147"/>
    <mergeCell ref="B112:D112"/>
    <mergeCell ref="O112:R112"/>
    <mergeCell ref="S112:U112"/>
    <mergeCell ref="V112:X112"/>
    <mergeCell ref="Y112:AA112"/>
    <mergeCell ref="AB112:AD112"/>
    <mergeCell ref="AH128:AJ128"/>
    <mergeCell ref="C139:G139"/>
    <mergeCell ref="H139:L139"/>
    <mergeCell ref="M139:R139"/>
    <mergeCell ref="Y139:AA139"/>
    <mergeCell ref="AB139:AI139"/>
    <mergeCell ref="S139:W139"/>
    <mergeCell ref="AB130:AJ130"/>
    <mergeCell ref="AB131:AJ131"/>
    <mergeCell ref="AB132:AJ132"/>
    <mergeCell ref="AB133:AJ133"/>
    <mergeCell ref="AB134:AJ134"/>
    <mergeCell ref="B136:AJ137"/>
    <mergeCell ref="B122:D122"/>
    <mergeCell ref="E122:I122"/>
    <mergeCell ref="J122:N122"/>
    <mergeCell ref="Y97:AA97"/>
    <mergeCell ref="AB97:AD97"/>
    <mergeCell ref="AE97:AG97"/>
    <mergeCell ref="B103:AJ103"/>
    <mergeCell ref="B107:D107"/>
    <mergeCell ref="E107:I107"/>
    <mergeCell ref="J107:N107"/>
    <mergeCell ref="O107:AI107"/>
    <mergeCell ref="B105:E105"/>
    <mergeCell ref="F105:H105"/>
    <mergeCell ref="I105:L105"/>
    <mergeCell ref="Q105:S105"/>
    <mergeCell ref="T105:U105"/>
    <mergeCell ref="V105:Y105"/>
    <mergeCell ref="Z105:AA105"/>
    <mergeCell ref="AB105:AD105"/>
    <mergeCell ref="AE105:AF105"/>
    <mergeCell ref="AG105:AH105"/>
    <mergeCell ref="AH112:AJ112"/>
    <mergeCell ref="C92:E92"/>
    <mergeCell ref="F92:J92"/>
    <mergeCell ref="K92:N92"/>
    <mergeCell ref="O92:S92"/>
    <mergeCell ref="AB92:AJ92"/>
    <mergeCell ref="B95:D95"/>
    <mergeCell ref="I95:AJ95"/>
    <mergeCell ref="AB99:AJ99"/>
    <mergeCell ref="AB100:AJ100"/>
    <mergeCell ref="AB101:AJ101"/>
    <mergeCell ref="B97:D97"/>
    <mergeCell ref="E97:I97"/>
    <mergeCell ref="O97:R97"/>
    <mergeCell ref="S97:U97"/>
    <mergeCell ref="V97:X97"/>
    <mergeCell ref="M105:P105"/>
    <mergeCell ref="E95:H95"/>
    <mergeCell ref="F110:I110"/>
    <mergeCell ref="B84:F84"/>
    <mergeCell ref="F86:J86"/>
    <mergeCell ref="K86:O86"/>
    <mergeCell ref="P86:V86"/>
    <mergeCell ref="W86:Z86"/>
    <mergeCell ref="AA86:AC86"/>
    <mergeCell ref="AG86:AI86"/>
    <mergeCell ref="C86:E86"/>
    <mergeCell ref="B110:E110"/>
    <mergeCell ref="J110:AJ110"/>
    <mergeCell ref="AG88:AI88"/>
    <mergeCell ref="C90:E90"/>
    <mergeCell ref="F90:J90"/>
    <mergeCell ref="K90:O90"/>
    <mergeCell ref="P90:V90"/>
    <mergeCell ref="W90:Z90"/>
    <mergeCell ref="AA90:AC90"/>
    <mergeCell ref="AD90:AF90"/>
    <mergeCell ref="AG90:AI90"/>
    <mergeCell ref="C88:E88"/>
    <mergeCell ref="F88:J88"/>
    <mergeCell ref="K88:O88"/>
    <mergeCell ref="P88:V88"/>
    <mergeCell ref="W88:Z88"/>
    <mergeCell ref="U17:Y17"/>
    <mergeCell ref="Z17:AA17"/>
    <mergeCell ref="AB17:AH17"/>
    <mergeCell ref="AI17:AJ17"/>
    <mergeCell ref="AF11:AJ11"/>
    <mergeCell ref="AF16:AJ16"/>
    <mergeCell ref="BN11:BU11"/>
    <mergeCell ref="AA88:AC88"/>
    <mergeCell ref="AD88:AF88"/>
    <mergeCell ref="W19:Y19"/>
    <mergeCell ref="AM14:AQ16"/>
    <mergeCell ref="W20:Y21"/>
    <mergeCell ref="AM81:AO81"/>
    <mergeCell ref="AP81:AT81"/>
    <mergeCell ref="AU81:AY81"/>
    <mergeCell ref="AZ81:BT81"/>
    <mergeCell ref="BC79:BT79"/>
    <mergeCell ref="AM78:AO78"/>
    <mergeCell ref="AP78:AR78"/>
    <mergeCell ref="AW78:AY78"/>
    <mergeCell ref="BJ78:BL78"/>
    <mergeCell ref="BM78:BO78"/>
    <mergeCell ref="BP78:BR78"/>
    <mergeCell ref="BS78:BT78"/>
    <mergeCell ref="AI6:AJ7"/>
    <mergeCell ref="BR7:BU7"/>
    <mergeCell ref="AU7:AW7"/>
    <mergeCell ref="AW9:BB9"/>
    <mergeCell ref="AX10:BB10"/>
    <mergeCell ref="AU9:AV9"/>
    <mergeCell ref="BG7:BJ7"/>
    <mergeCell ref="BK7:BN7"/>
    <mergeCell ref="BO10:BU10"/>
    <mergeCell ref="BE10:BK10"/>
    <mergeCell ref="AM10:AO10"/>
    <mergeCell ref="AP10:AT10"/>
    <mergeCell ref="AM9:AO9"/>
    <mergeCell ref="AQ9:AT9"/>
    <mergeCell ref="BC10:BD10"/>
    <mergeCell ref="BA7:BC7"/>
    <mergeCell ref="BL46:BN46"/>
    <mergeCell ref="AA9:AA10"/>
    <mergeCell ref="AB9:AJ10"/>
    <mergeCell ref="AC3:AF4"/>
    <mergeCell ref="AG3:AJ4"/>
    <mergeCell ref="AE19:AG19"/>
    <mergeCell ref="AH19:AJ19"/>
    <mergeCell ref="AE20:AG21"/>
    <mergeCell ref="AH20:AJ21"/>
    <mergeCell ref="AE28:AG29"/>
    <mergeCell ref="AH28:AJ29"/>
    <mergeCell ref="AE30:AG31"/>
    <mergeCell ref="AH30:AJ31"/>
    <mergeCell ref="AE32:AG33"/>
    <mergeCell ref="AH32:AJ33"/>
    <mergeCell ref="AE34:AG35"/>
    <mergeCell ref="AH34:AJ35"/>
    <mergeCell ref="AE38:AG39"/>
    <mergeCell ref="AH38:AJ39"/>
    <mergeCell ref="AE40:AG41"/>
    <mergeCell ref="AH40:AJ41"/>
    <mergeCell ref="AE42:AG43"/>
    <mergeCell ref="AH42:AJ43"/>
    <mergeCell ref="Z24:AD25"/>
    <mergeCell ref="AT79:AV79"/>
    <mergeCell ref="AZ78:BB78"/>
    <mergeCell ref="BC78:BI78"/>
    <mergeCell ref="AW79:BB79"/>
    <mergeCell ref="AP47:AS47"/>
    <mergeCell ref="AT47:AV47"/>
    <mergeCell ref="AW47:BE47"/>
    <mergeCell ref="AM49:AP49"/>
    <mergeCell ref="AM50:AO50"/>
    <mergeCell ref="AP50:AR50"/>
    <mergeCell ref="AM47:AO47"/>
    <mergeCell ref="AW50:AY50"/>
    <mergeCell ref="BI50:BK50"/>
    <mergeCell ref="AS50:AV50"/>
    <mergeCell ref="BF50:BH50"/>
    <mergeCell ref="AM51:AR51"/>
    <mergeCell ref="AM54:AO54"/>
    <mergeCell ref="AM56:AO56"/>
    <mergeCell ref="AS78:AV78"/>
    <mergeCell ref="AM79:AS79"/>
    <mergeCell ref="BO46:BQ46"/>
    <mergeCell ref="BS77:BU77"/>
    <mergeCell ref="AS51:BT51"/>
    <mergeCell ref="BS50:BT50"/>
    <mergeCell ref="BJ77:BL77"/>
    <mergeCell ref="BM77:BO77"/>
    <mergeCell ref="BP77:BR77"/>
    <mergeCell ref="AZ50:BB50"/>
    <mergeCell ref="BC50:BE50"/>
    <mergeCell ref="BG77:BI77"/>
    <mergeCell ref="BM58:BU58"/>
    <mergeCell ref="BM59:BU59"/>
    <mergeCell ref="BS56:BU56"/>
    <mergeCell ref="BL50:BR50"/>
    <mergeCell ref="AP56:AT56"/>
    <mergeCell ref="AZ56:BC56"/>
    <mergeCell ref="BD56:BF56"/>
    <mergeCell ref="BG56:BI56"/>
    <mergeCell ref="BJ56:BL56"/>
    <mergeCell ref="BM56:BO56"/>
    <mergeCell ref="BP56:BR56"/>
    <mergeCell ref="AT54:BU54"/>
    <mergeCell ref="BF46:BH46"/>
    <mergeCell ref="BI46:BK46"/>
    <mergeCell ref="BB20:BF22"/>
    <mergeCell ref="BG41:BK43"/>
    <mergeCell ref="BC9:BG9"/>
    <mergeCell ref="BH9:BL9"/>
    <mergeCell ref="BM9:BO9"/>
    <mergeCell ref="AM75:AO75"/>
    <mergeCell ref="BM60:BU60"/>
    <mergeCell ref="BM61:BU61"/>
    <mergeCell ref="BM62:BU62"/>
    <mergeCell ref="BM63:BU63"/>
    <mergeCell ref="BM64:BU64"/>
    <mergeCell ref="AN66:AR68"/>
    <mergeCell ref="AS66:AW66"/>
    <mergeCell ref="AM72:AO72"/>
    <mergeCell ref="AP72:AT72"/>
    <mergeCell ref="AU72:AY72"/>
    <mergeCell ref="AZ72:BT72"/>
    <mergeCell ref="AX66:BB66"/>
    <mergeCell ref="BC66:BG66"/>
    <mergeCell ref="AS67:AW68"/>
    <mergeCell ref="AX67:BB68"/>
    <mergeCell ref="BC67:BG68"/>
    <mergeCell ref="BH66:BU68"/>
    <mergeCell ref="AT75:BU75"/>
    <mergeCell ref="AM1:BU2"/>
    <mergeCell ref="BA4:BD5"/>
    <mergeCell ref="AQ4:AZ5"/>
    <mergeCell ref="AM3:AP3"/>
    <mergeCell ref="AQ3:AV3"/>
    <mergeCell ref="BA3:BD3"/>
    <mergeCell ref="BE3:BH3"/>
    <mergeCell ref="BN3:BQ3"/>
    <mergeCell ref="BR3:BU3"/>
    <mergeCell ref="BI3:BM3"/>
    <mergeCell ref="AM4:AP5"/>
    <mergeCell ref="AW3:AZ3"/>
    <mergeCell ref="BE4:BM5"/>
    <mergeCell ref="BN4:BQ5"/>
    <mergeCell ref="BR4:BU5"/>
    <mergeCell ref="B2:E2"/>
    <mergeCell ref="F2:K2"/>
    <mergeCell ref="L2:O2"/>
    <mergeCell ref="P2:S2"/>
    <mergeCell ref="T2:W2"/>
    <mergeCell ref="X2:AB2"/>
    <mergeCell ref="T3:AB4"/>
    <mergeCell ref="AC2:AF2"/>
    <mergeCell ref="AG2:AJ2"/>
    <mergeCell ref="B3:E4"/>
    <mergeCell ref="F3:O4"/>
    <mergeCell ref="P3:S4"/>
    <mergeCell ref="BQ13:BU13"/>
    <mergeCell ref="AM13:AQ13"/>
    <mergeCell ref="AR13:AV13"/>
    <mergeCell ref="AW13:BA13"/>
    <mergeCell ref="BB13:BF13"/>
    <mergeCell ref="BG13:BK13"/>
    <mergeCell ref="BD7:BF7"/>
    <mergeCell ref="BO7:BQ7"/>
    <mergeCell ref="BP9:BU9"/>
    <mergeCell ref="BL13:BP13"/>
    <mergeCell ref="AM7:AP7"/>
    <mergeCell ref="AQ7:AT7"/>
    <mergeCell ref="AX7:AZ7"/>
    <mergeCell ref="AM11:AO11"/>
    <mergeCell ref="AP11:AQ11"/>
    <mergeCell ref="AR14:AV16"/>
    <mergeCell ref="AW14:BA16"/>
    <mergeCell ref="BB14:BF16"/>
    <mergeCell ref="BG14:BK16"/>
    <mergeCell ref="BL14:BP16"/>
    <mergeCell ref="BQ14:BU16"/>
    <mergeCell ref="BG17:BK19"/>
    <mergeCell ref="BL17:BP19"/>
    <mergeCell ref="BQ17:BU19"/>
    <mergeCell ref="AM26:AQ28"/>
    <mergeCell ref="BB23:BF25"/>
    <mergeCell ref="BG23:BK25"/>
    <mergeCell ref="BL23:BP25"/>
    <mergeCell ref="BL20:BP22"/>
    <mergeCell ref="BQ20:BU22"/>
    <mergeCell ref="AW17:BA19"/>
    <mergeCell ref="BB17:BF19"/>
    <mergeCell ref="AW26:BA28"/>
    <mergeCell ref="BB26:BF28"/>
    <mergeCell ref="BG26:BK28"/>
    <mergeCell ref="BL26:BP28"/>
    <mergeCell ref="AM17:AQ19"/>
    <mergeCell ref="AR17:AV19"/>
    <mergeCell ref="AM23:AQ25"/>
    <mergeCell ref="BG20:BK22"/>
    <mergeCell ref="AR23:AV25"/>
    <mergeCell ref="AW23:BA25"/>
    <mergeCell ref="BQ23:BU25"/>
    <mergeCell ref="AR26:AV28"/>
    <mergeCell ref="BQ26:BU28"/>
    <mergeCell ref="AM20:AQ22"/>
    <mergeCell ref="AR20:AV22"/>
    <mergeCell ref="AW20:BA22"/>
    <mergeCell ref="Z163:AI163"/>
    <mergeCell ref="H79:J79"/>
    <mergeCell ref="P79:R79"/>
    <mergeCell ref="H75:J75"/>
    <mergeCell ref="P75:R75"/>
    <mergeCell ref="H77:J77"/>
    <mergeCell ref="P77:R77"/>
    <mergeCell ref="AW35:BA37"/>
    <mergeCell ref="BB35:BF37"/>
    <mergeCell ref="P71:R71"/>
    <mergeCell ref="H73:J73"/>
    <mergeCell ref="P73:R73"/>
    <mergeCell ref="AM77:AO77"/>
    <mergeCell ref="AP77:AT77"/>
    <mergeCell ref="AZ77:BC77"/>
    <mergeCell ref="BD77:BF77"/>
    <mergeCell ref="AM45:AO45"/>
    <mergeCell ref="AM41:AQ43"/>
    <mergeCell ref="AM38:AQ40"/>
    <mergeCell ref="AR41:AV43"/>
    <mergeCell ref="AW41:BA43"/>
    <mergeCell ref="BB41:BF43"/>
    <mergeCell ref="AB117:AJ117"/>
    <mergeCell ref="AB118:AJ118"/>
    <mergeCell ref="AM29:AQ31"/>
    <mergeCell ref="AR29:AV31"/>
    <mergeCell ref="AW29:BA31"/>
    <mergeCell ref="BB29:BF31"/>
    <mergeCell ref="BG29:BK31"/>
    <mergeCell ref="BL29:BP31"/>
    <mergeCell ref="BQ29:BU31"/>
    <mergeCell ref="BG35:BK37"/>
    <mergeCell ref="AM32:AQ34"/>
    <mergeCell ref="BL35:BP37"/>
    <mergeCell ref="BQ35:BU37"/>
    <mergeCell ref="AR32:AV34"/>
    <mergeCell ref="AW32:BA34"/>
    <mergeCell ref="BB32:BF34"/>
    <mergeCell ref="BG32:BK34"/>
    <mergeCell ref="BL32:BP34"/>
    <mergeCell ref="F125:I125"/>
    <mergeCell ref="F144:I144"/>
    <mergeCell ref="F157:I157"/>
    <mergeCell ref="G84:J84"/>
    <mergeCell ref="AP54:AS54"/>
    <mergeCell ref="AP75:AS75"/>
    <mergeCell ref="AM35:AQ37"/>
    <mergeCell ref="AR35:AV37"/>
    <mergeCell ref="BQ32:BU34"/>
    <mergeCell ref="BL41:BP43"/>
    <mergeCell ref="BQ41:BU43"/>
    <mergeCell ref="AR38:AV40"/>
    <mergeCell ref="AW38:BA40"/>
    <mergeCell ref="BB38:BF40"/>
    <mergeCell ref="BG38:BK40"/>
    <mergeCell ref="BL38:BP40"/>
    <mergeCell ref="BQ38:BU40"/>
    <mergeCell ref="BR46:BT46"/>
    <mergeCell ref="AM46:AO46"/>
    <mergeCell ref="AT46:AV46"/>
    <mergeCell ref="AW46:AY46"/>
    <mergeCell ref="AZ46:BB46"/>
    <mergeCell ref="BC46:BE46"/>
    <mergeCell ref="AM70:BU70"/>
  </mergeCells>
  <phoneticPr fontId="1" type="noConversion"/>
  <conditionalFormatting sqref="AM58:BU65 AM66:BG68 B99:AJ101 B114:AJ118 B130:AJ134 B149:AJ150 B161:AJ161 AI6">
    <cfRule type="expression" dxfId="59" priority="62">
      <formula>$BR$4="SI"</formula>
    </cfRule>
  </conditionalFormatting>
  <conditionalFormatting sqref="BV43:DA43">
    <cfRule type="containsText" dxfId="58" priority="59" operator="containsText" text="ERR.">
      <formula>NOT(ISERROR(SEARCH("ERR.",BV43)))</formula>
    </cfRule>
  </conditionalFormatting>
  <conditionalFormatting sqref="B20:AJ21 E22:M27">
    <cfRule type="expression" dxfId="57" priority="16">
      <formula>$W20="V1"</formula>
    </cfRule>
    <cfRule type="expression" dxfId="56" priority="24">
      <formula>$W20="V2"</formula>
    </cfRule>
    <cfRule type="expression" dxfId="55" priority="23">
      <formula>$W20="V3"</formula>
    </cfRule>
    <cfRule type="expression" dxfId="54" priority="25">
      <formula>$W20="V4"</formula>
    </cfRule>
    <cfRule type="expression" dxfId="53" priority="33">
      <formula>$AE20="X"</formula>
    </cfRule>
    <cfRule type="expression" dxfId="52" priority="15">
      <formula>$AH20="X"</formula>
    </cfRule>
  </conditionalFormatting>
  <conditionalFormatting sqref="W20:Y21">
    <cfRule type="expression" dxfId="51" priority="22">
      <formula>$AH20="X"</formula>
    </cfRule>
  </conditionalFormatting>
  <conditionalFormatting sqref="B22:D23 N22:AJ23">
    <cfRule type="expression" dxfId="50" priority="8">
      <formula>$AH22="X"</formula>
    </cfRule>
    <cfRule type="expression" dxfId="49" priority="9">
      <formula>$W22="V1"</formula>
    </cfRule>
    <cfRule type="expression" dxfId="48" priority="11">
      <formula>$W22="V3"</formula>
    </cfRule>
    <cfRule type="expression" dxfId="47" priority="12">
      <formula>$W22="V2"</formula>
    </cfRule>
    <cfRule type="expression" dxfId="46" priority="13">
      <formula>$W22="V4"</formula>
    </cfRule>
    <cfRule type="expression" dxfId="45" priority="14">
      <formula>$AE22="X"</formula>
    </cfRule>
  </conditionalFormatting>
  <conditionalFormatting sqref="W22:Y23">
    <cfRule type="expression" dxfId="44" priority="10">
      <formula>$AH22="X"</formula>
    </cfRule>
  </conditionalFormatting>
  <conditionalFormatting sqref="B24:D27 N24:AJ27 B28:AJ67">
    <cfRule type="expression" dxfId="43" priority="1">
      <formula>$AH24="X"</formula>
    </cfRule>
    <cfRule type="expression" dxfId="42" priority="2">
      <formula>$W24="V1"</formula>
    </cfRule>
    <cfRule type="expression" dxfId="41" priority="4">
      <formula>$W24="V3"</formula>
    </cfRule>
    <cfRule type="expression" dxfId="40" priority="5">
      <formula>$W24="V2"</formula>
    </cfRule>
    <cfRule type="expression" dxfId="39" priority="6">
      <formula>$W24="V4"</formula>
    </cfRule>
    <cfRule type="expression" dxfId="38" priority="7">
      <formula>$AE24="X"</formula>
    </cfRule>
  </conditionalFormatting>
  <conditionalFormatting sqref="W24:Y67">
    <cfRule type="expression" dxfId="37" priority="3">
      <formula>$AH24="X"</formula>
    </cfRule>
  </conditionalFormatting>
  <dataValidations count="5">
    <dataValidation type="list" allowBlank="1" showInputMessage="1" showErrorMessage="1" sqref="BR7:BU7" xr:uid="{00000000-0002-0000-0000-000000000000}">
      <formula1>"Mail, Telefono,Ristampa"</formula1>
    </dataValidation>
    <dataValidation type="textLength" operator="equal" allowBlank="1" showInputMessage="1" showErrorMessage="1" errorTitle="NON PUOI SCRIVERE" sqref="BV41:DA42 BW6:DA40" xr:uid="{00000000-0002-0000-0000-000001000000}">
      <formula1>0</formula1>
    </dataValidation>
    <dataValidation type="list" allowBlank="1" showInputMessage="1" showErrorMessage="1" sqref="BC50:BE50 BM78:BO78" xr:uid="{00000000-0002-0000-0000-000002000000}">
      <formula1>"12,13,14,15"</formula1>
    </dataValidation>
    <dataValidation type="list" allowBlank="1" showInputMessage="1" showErrorMessage="1" sqref="BI50:BK50" xr:uid="{00000000-0002-0000-0000-000003000000}">
      <formula1>"1,2"</formula1>
    </dataValidation>
    <dataValidation type="list" allowBlank="1" showInputMessage="1" showErrorMessage="1" sqref="W20:Y67" xr:uid="{00000000-0002-0000-0000-000004000000}">
      <formula1>"V1,V2,V3,V4,"</formula1>
    </dataValidation>
  </dataValidations>
  <pageMargins left="0.25" right="0.25" top="0.11111111111111099" bottom="0.11111111111111099" header="0.3" footer="0.3"/>
  <pageSetup paperSize="8" orientation="landscape" verticalDpi="203" r:id="rId1"/>
  <ignoredErrors>
    <ignoredError sqref="CW43:DA43 BW43:CU43" calculatedColumn="1"/>
    <ignoredError sqref="BV42 BV41 CV41:CV42" listDataValidation="1"/>
    <ignoredError sqref="CW41:DA41 CW42:DA42 BW42:CU42 BW41:CU41" listDataValidation="1" calculatedColum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5000000}">
          <x14:formula1>
            <xm:f>INDIRECT('CLIENTI'!$A$1:$A$126)</xm:f>
          </x14:formula1>
          <xm:sqref>AB9:AJ10 AB14:AJ15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6"/>
  <sheetViews>
    <sheetView topLeftCell="A81" workbookViewId="0">
      <selection activeCell="F23" sqref="F23"/>
    </sheetView>
  </sheetViews>
  <sheetFormatPr defaultColWidth="11" defaultRowHeight="15.75"/>
  <cols>
    <col min="1" max="1" width="25.125" bestFit="1" customWidth="1"/>
  </cols>
  <sheetData>
    <row r="1" spans="1:1">
      <c r="A1" s="4" t="s">
        <v>311</v>
      </c>
    </row>
    <row r="2" spans="1:1">
      <c r="A2" s="1" t="s">
        <v>186</v>
      </c>
    </row>
    <row r="3" spans="1:1">
      <c r="A3" s="2" t="s">
        <v>187</v>
      </c>
    </row>
    <row r="4" spans="1:1">
      <c r="A4" s="1" t="s">
        <v>188</v>
      </c>
    </row>
    <row r="5" spans="1:1">
      <c r="A5" s="2" t="s">
        <v>189</v>
      </c>
    </row>
    <row r="6" spans="1:1">
      <c r="A6" s="1" t="s">
        <v>190</v>
      </c>
    </row>
    <row r="7" spans="1:1">
      <c r="A7" s="2" t="s">
        <v>191</v>
      </c>
    </row>
    <row r="8" spans="1:1">
      <c r="A8" s="1" t="s">
        <v>192</v>
      </c>
    </row>
    <row r="9" spans="1:1">
      <c r="A9" s="2" t="s">
        <v>193</v>
      </c>
    </row>
    <row r="10" spans="1:1">
      <c r="A10" s="1" t="s">
        <v>194</v>
      </c>
    </row>
    <row r="11" spans="1:1">
      <c r="A11" s="2" t="s">
        <v>195</v>
      </c>
    </row>
    <row r="12" spans="1:1">
      <c r="A12" s="1" t="s">
        <v>196</v>
      </c>
    </row>
    <row r="13" spans="1:1">
      <c r="A13" s="2" t="s">
        <v>197</v>
      </c>
    </row>
    <row r="14" spans="1:1">
      <c r="A14" s="1" t="s">
        <v>198</v>
      </c>
    </row>
    <row r="15" spans="1:1">
      <c r="A15" s="2" t="s">
        <v>199</v>
      </c>
    </row>
    <row r="16" spans="1:1">
      <c r="A16" s="1" t="s">
        <v>200</v>
      </c>
    </row>
    <row r="17" spans="1:1">
      <c r="A17" s="2" t="s">
        <v>201</v>
      </c>
    </row>
    <row r="18" spans="1:1">
      <c r="A18" s="1" t="s">
        <v>202</v>
      </c>
    </row>
    <row r="19" spans="1:1">
      <c r="A19" s="2" t="s">
        <v>203</v>
      </c>
    </row>
    <row r="20" spans="1:1">
      <c r="A20" s="1" t="s">
        <v>204</v>
      </c>
    </row>
    <row r="21" spans="1:1">
      <c r="A21" s="2" t="s">
        <v>205</v>
      </c>
    </row>
    <row r="22" spans="1:1">
      <c r="A22" s="1" t="s">
        <v>206</v>
      </c>
    </row>
    <row r="23" spans="1:1">
      <c r="A23" s="2" t="s">
        <v>207</v>
      </c>
    </row>
    <row r="24" spans="1:1">
      <c r="A24" s="1" t="s">
        <v>208</v>
      </c>
    </row>
    <row r="25" spans="1:1">
      <c r="A25" s="2" t="s">
        <v>209</v>
      </c>
    </row>
    <row r="26" spans="1:1">
      <c r="A26" s="1" t="s">
        <v>210</v>
      </c>
    </row>
    <row r="27" spans="1:1">
      <c r="A27" s="2" t="s">
        <v>211</v>
      </c>
    </row>
    <row r="28" spans="1:1">
      <c r="A28" s="1" t="s">
        <v>212</v>
      </c>
    </row>
    <row r="29" spans="1:1">
      <c r="A29" s="2" t="s">
        <v>213</v>
      </c>
    </row>
    <row r="30" spans="1:1">
      <c r="A30" s="1" t="s">
        <v>214</v>
      </c>
    </row>
    <row r="31" spans="1:1">
      <c r="A31" s="2" t="s">
        <v>215</v>
      </c>
    </row>
    <row r="32" spans="1:1">
      <c r="A32" s="1" t="s">
        <v>216</v>
      </c>
    </row>
    <row r="33" spans="1:1">
      <c r="A33" s="2" t="s">
        <v>217</v>
      </c>
    </row>
    <row r="34" spans="1:1">
      <c r="A34" s="1" t="s">
        <v>218</v>
      </c>
    </row>
    <row r="35" spans="1:1">
      <c r="A35" s="2" t="s">
        <v>219</v>
      </c>
    </row>
    <row r="36" spans="1:1">
      <c r="A36" s="1" t="s">
        <v>220</v>
      </c>
    </row>
    <row r="37" spans="1:1">
      <c r="A37" s="2" t="s">
        <v>221</v>
      </c>
    </row>
    <row r="38" spans="1:1">
      <c r="A38" s="1" t="s">
        <v>222</v>
      </c>
    </row>
    <row r="39" spans="1:1">
      <c r="A39" s="2" t="s">
        <v>223</v>
      </c>
    </row>
    <row r="40" spans="1:1">
      <c r="A40" s="1" t="s">
        <v>224</v>
      </c>
    </row>
    <row r="41" spans="1:1">
      <c r="A41" s="2" t="s">
        <v>225</v>
      </c>
    </row>
    <row r="42" spans="1:1">
      <c r="A42" s="1" t="s">
        <v>226</v>
      </c>
    </row>
    <row r="43" spans="1:1">
      <c r="A43" s="2" t="s">
        <v>227</v>
      </c>
    </row>
    <row r="44" spans="1:1">
      <c r="A44" s="1" t="s">
        <v>228</v>
      </c>
    </row>
    <row r="45" spans="1:1">
      <c r="A45" s="2" t="s">
        <v>229</v>
      </c>
    </row>
    <row r="46" spans="1:1">
      <c r="A46" s="1" t="s">
        <v>230</v>
      </c>
    </row>
    <row r="47" spans="1:1">
      <c r="A47" s="2" t="s">
        <v>231</v>
      </c>
    </row>
    <row r="48" spans="1:1">
      <c r="A48" s="1" t="s">
        <v>232</v>
      </c>
    </row>
    <row r="49" spans="1:1">
      <c r="A49" s="2" t="s">
        <v>233</v>
      </c>
    </row>
    <row r="50" spans="1:1">
      <c r="A50" s="1" t="s">
        <v>234</v>
      </c>
    </row>
    <row r="51" spans="1:1">
      <c r="A51" s="2" t="s">
        <v>235</v>
      </c>
    </row>
    <row r="52" spans="1:1">
      <c r="A52" s="1" t="s">
        <v>236</v>
      </c>
    </row>
    <row r="53" spans="1:1">
      <c r="A53" s="2" t="s">
        <v>237</v>
      </c>
    </row>
    <row r="54" spans="1:1">
      <c r="A54" s="1" t="s">
        <v>238</v>
      </c>
    </row>
    <row r="55" spans="1:1">
      <c r="A55" s="2" t="s">
        <v>239</v>
      </c>
    </row>
    <row r="56" spans="1:1">
      <c r="A56" s="1" t="s">
        <v>240</v>
      </c>
    </row>
    <row r="57" spans="1:1">
      <c r="A57" s="2" t="s">
        <v>241</v>
      </c>
    </row>
    <row r="58" spans="1:1">
      <c r="A58" s="1" t="s">
        <v>242</v>
      </c>
    </row>
    <row r="59" spans="1:1">
      <c r="A59" s="2" t="s">
        <v>243</v>
      </c>
    </row>
    <row r="60" spans="1:1">
      <c r="A60" s="1" t="s">
        <v>244</v>
      </c>
    </row>
    <row r="61" spans="1:1">
      <c r="A61" s="2" t="s">
        <v>245</v>
      </c>
    </row>
    <row r="62" spans="1:1">
      <c r="A62" s="1" t="s">
        <v>246</v>
      </c>
    </row>
    <row r="63" spans="1:1">
      <c r="A63" s="2" t="s">
        <v>247</v>
      </c>
    </row>
    <row r="64" spans="1:1">
      <c r="A64" s="1" t="s">
        <v>248</v>
      </c>
    </row>
    <row r="65" spans="1:1">
      <c r="A65" s="2" t="s">
        <v>249</v>
      </c>
    </row>
    <row r="66" spans="1:1">
      <c r="A66" s="1" t="s">
        <v>250</v>
      </c>
    </row>
    <row r="67" spans="1:1">
      <c r="A67" s="2" t="s">
        <v>251</v>
      </c>
    </row>
    <row r="68" spans="1:1">
      <c r="A68" s="1" t="s">
        <v>252</v>
      </c>
    </row>
    <row r="69" spans="1:1">
      <c r="A69" s="2" t="s">
        <v>253</v>
      </c>
    </row>
    <row r="70" spans="1:1">
      <c r="A70" s="1" t="s">
        <v>254</v>
      </c>
    </row>
    <row r="71" spans="1:1">
      <c r="A71" s="2" t="s">
        <v>255</v>
      </c>
    </row>
    <row r="72" spans="1:1">
      <c r="A72" s="1" t="s">
        <v>256</v>
      </c>
    </row>
    <row r="73" spans="1:1">
      <c r="A73" s="2" t="s">
        <v>257</v>
      </c>
    </row>
    <row r="74" spans="1:1">
      <c r="A74" s="1" t="s">
        <v>258</v>
      </c>
    </row>
    <row r="75" spans="1:1">
      <c r="A75" s="2" t="s">
        <v>259</v>
      </c>
    </row>
    <row r="76" spans="1:1">
      <c r="A76" s="1" t="s">
        <v>260</v>
      </c>
    </row>
    <row r="77" spans="1:1">
      <c r="A77" s="2" t="s">
        <v>261</v>
      </c>
    </row>
    <row r="78" spans="1:1">
      <c r="A78" s="1" t="s">
        <v>262</v>
      </c>
    </row>
    <row r="79" spans="1:1">
      <c r="A79" s="2" t="s">
        <v>263</v>
      </c>
    </row>
    <row r="80" spans="1:1">
      <c r="A80" s="1" t="s">
        <v>264</v>
      </c>
    </row>
    <row r="81" spans="1:1">
      <c r="A81" s="2" t="s">
        <v>265</v>
      </c>
    </row>
    <row r="82" spans="1:1">
      <c r="A82" s="1" t="s">
        <v>266</v>
      </c>
    </row>
    <row r="83" spans="1:1">
      <c r="A83" s="2" t="s">
        <v>267</v>
      </c>
    </row>
    <row r="84" spans="1:1">
      <c r="A84" s="1" t="s">
        <v>268</v>
      </c>
    </row>
    <row r="85" spans="1:1">
      <c r="A85" s="2" t="s">
        <v>269</v>
      </c>
    </row>
    <row r="86" spans="1:1">
      <c r="A86" s="1" t="s">
        <v>270</v>
      </c>
    </row>
    <row r="87" spans="1:1">
      <c r="A87" s="2" t="s">
        <v>271</v>
      </c>
    </row>
    <row r="88" spans="1:1">
      <c r="A88" s="1" t="s">
        <v>272</v>
      </c>
    </row>
    <row r="89" spans="1:1">
      <c r="A89" s="2" t="s">
        <v>273</v>
      </c>
    </row>
    <row r="90" spans="1:1">
      <c r="A90" s="1" t="s">
        <v>274</v>
      </c>
    </row>
    <row r="91" spans="1:1">
      <c r="A91" s="2" t="s">
        <v>275</v>
      </c>
    </row>
    <row r="92" spans="1:1">
      <c r="A92" s="1" t="s">
        <v>276</v>
      </c>
    </row>
    <row r="93" spans="1:1">
      <c r="A93" s="2" t="s">
        <v>277</v>
      </c>
    </row>
    <row r="94" spans="1:1">
      <c r="A94" s="1" t="s">
        <v>278</v>
      </c>
    </row>
    <row r="95" spans="1:1">
      <c r="A95" s="2" t="s">
        <v>279</v>
      </c>
    </row>
    <row r="96" spans="1:1">
      <c r="A96" s="1" t="s">
        <v>280</v>
      </c>
    </row>
    <row r="97" spans="1:1">
      <c r="A97" s="2" t="s">
        <v>281</v>
      </c>
    </row>
    <row r="98" spans="1:1">
      <c r="A98" s="1" t="s">
        <v>282</v>
      </c>
    </row>
    <row r="99" spans="1:1">
      <c r="A99" s="2" t="s">
        <v>283</v>
      </c>
    </row>
    <row r="100" spans="1:1">
      <c r="A100" s="1" t="s">
        <v>284</v>
      </c>
    </row>
    <row r="101" spans="1:1">
      <c r="A101" s="2" t="s">
        <v>285</v>
      </c>
    </row>
    <row r="102" spans="1:1">
      <c r="A102" s="1" t="s">
        <v>286</v>
      </c>
    </row>
    <row r="103" spans="1:1">
      <c r="A103" s="2" t="s">
        <v>287</v>
      </c>
    </row>
    <row r="104" spans="1:1">
      <c r="A104" s="1" t="s">
        <v>288</v>
      </c>
    </row>
    <row r="105" spans="1:1">
      <c r="A105" s="2" t="s">
        <v>289</v>
      </c>
    </row>
    <row r="106" spans="1:1">
      <c r="A106" s="1" t="s">
        <v>290</v>
      </c>
    </row>
    <row r="107" spans="1:1">
      <c r="A107" s="2" t="s">
        <v>291</v>
      </c>
    </row>
    <row r="108" spans="1:1">
      <c r="A108" s="1" t="s">
        <v>292</v>
      </c>
    </row>
    <row r="109" spans="1:1">
      <c r="A109" s="2" t="s">
        <v>293</v>
      </c>
    </row>
    <row r="110" spans="1:1">
      <c r="A110" s="1" t="s">
        <v>294</v>
      </c>
    </row>
    <row r="111" spans="1:1">
      <c r="A111" s="2" t="s">
        <v>295</v>
      </c>
    </row>
    <row r="112" spans="1:1">
      <c r="A112" s="1" t="s">
        <v>296</v>
      </c>
    </row>
    <row r="113" spans="1:1">
      <c r="A113" s="2" t="s">
        <v>297</v>
      </c>
    </row>
    <row r="114" spans="1:1">
      <c r="A114" s="1" t="s">
        <v>298</v>
      </c>
    </row>
    <row r="115" spans="1:1">
      <c r="A115" s="2" t="s">
        <v>299</v>
      </c>
    </row>
    <row r="116" spans="1:1">
      <c r="A116" s="1" t="s">
        <v>300</v>
      </c>
    </row>
    <row r="117" spans="1:1">
      <c r="A117" s="2" t="s">
        <v>301</v>
      </c>
    </row>
    <row r="118" spans="1:1">
      <c r="A118" s="1" t="s">
        <v>302</v>
      </c>
    </row>
    <row r="119" spans="1:1">
      <c r="A119" s="2" t="s">
        <v>303</v>
      </c>
    </row>
    <row r="120" spans="1:1">
      <c r="A120" s="1" t="s">
        <v>304</v>
      </c>
    </row>
    <row r="121" spans="1:1">
      <c r="A121" s="2" t="s">
        <v>305</v>
      </c>
    </row>
    <row r="122" spans="1:1">
      <c r="A122" s="1" t="s">
        <v>306</v>
      </c>
    </row>
    <row r="123" spans="1:1">
      <c r="A123" s="2" t="s">
        <v>307</v>
      </c>
    </row>
    <row r="124" spans="1:1">
      <c r="A124" s="1" t="s">
        <v>308</v>
      </c>
    </row>
    <row r="125" spans="1:1">
      <c r="A125" s="2" t="s">
        <v>309</v>
      </c>
    </row>
    <row r="126" spans="1:1">
      <c r="A126" s="3" t="s">
        <v>310</v>
      </c>
    </row>
  </sheetData>
  <pageMargins left="0.7" right="0.7" top="0.75" bottom="0.75" header="0.3" footer="0.3"/>
  <pageSetup paperSize="8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Scheda</vt:lpstr>
      <vt:lpstr>CLIENTI</vt:lpstr>
      <vt:lpstr>Scheda!Area_stampa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AGL</cp:lastModifiedBy>
  <cp:lastPrinted>2022-11-07T09:03:08Z</cp:lastPrinted>
  <dcterms:created xsi:type="dcterms:W3CDTF">2022-10-07T06:53:30Z</dcterms:created>
  <dcterms:modified xsi:type="dcterms:W3CDTF">2022-11-17T15:45:37Z</dcterms:modified>
  <cp:category/>
</cp:coreProperties>
</file>